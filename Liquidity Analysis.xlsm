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228" codeName="{4D1C537B-E38A-612A-F078-A93A15B4B7F4}"/>
  <workbookPr codeName="ThisWorkbook"/>
  <mc:AlternateContent xmlns:mc="http://schemas.openxmlformats.org/markup-compatibility/2006">
    <mc:Choice Requires="x15">
      <x15ac:absPath xmlns:x15ac="http://schemas.microsoft.com/office/spreadsheetml/2010/11/ac" url="C:\Users\Lassi\Documents\Koulujuttuja\Maisteriopinnot\Investment and Business Analysis with Excel\Module 4\HW4\"/>
    </mc:Choice>
  </mc:AlternateContent>
  <xr:revisionPtr revIDLastSave="0" documentId="13_ncr:1_{52E82690-9AA8-4B39-A4C1-5AB799173104}" xr6:coauthVersionLast="47" xr6:coauthVersionMax="47" xr10:uidLastSave="{00000000-0000-0000-0000-000000000000}"/>
  <bookViews>
    <workbookView xWindow="-110" yWindow="-110" windowWidth="19420" windowHeight="10420" xr2:uid="{00000000-000D-0000-FFFF-FFFF00000000}"/>
  </bookViews>
  <sheets>
    <sheet name="Tasks 1 and 2" sheetId="1" r:id="rId1"/>
    <sheet name="Scenario Summary" sheetId="8" r:id="rId2"/>
  </sheets>
  <definedNames>
    <definedName name="Condominium1">'Tasks 1 and 2'!$P$9</definedName>
    <definedName name="Condominium2">'Tasks 1 and 2'!$P$19</definedName>
    <definedName name="Condominium3">'Tasks 1 and 2'!$P$29</definedName>
    <definedName name="Loan1">'Tasks 1 and 2'!$P$10</definedName>
    <definedName name="Loan2">'Tasks 1 and 2'!$P$20</definedName>
    <definedName name="Loan3">'Tasks 1 and 2'!$P$30</definedName>
    <definedName name="Months">'Tasks 1 and 2'!$R$25</definedName>
    <definedName name="_xlnm.Print_Area" localSheetId="0">'Tasks 1 and 2'!$A$1:$AB$46</definedName>
    <definedName name="Renovation">'Tasks 1 and 2'!$R$24</definedName>
    <definedName name="Rent1">'Tasks 1 and 2'!$P$4</definedName>
    <definedName name="Rent2">'Tasks 1 and 2'!$P$14</definedName>
    <definedName name="Rent3">'Tasks 1 and 2'!$P$24</definedName>
    <definedName name="Repair1">'Tasks 1 and 2'!$R$4</definedName>
    <definedName name="Repair2">'Tasks 1 and 2'!$R$14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26" i="1" l="1"/>
  <c r="R25" i="1"/>
  <c r="S3" i="1"/>
  <c r="T2" i="1"/>
  <c r="B20" i="1" s="1"/>
  <c r="T3" i="1"/>
  <c r="T1" i="1"/>
  <c r="B10" i="1" s="1"/>
  <c r="E23" i="1" l="1"/>
  <c r="F23" i="1"/>
  <c r="H20" i="1"/>
  <c r="G20" i="1"/>
  <c r="M20" i="1"/>
  <c r="C20" i="1"/>
  <c r="L20" i="1"/>
  <c r="K20" i="1"/>
  <c r="E20" i="1"/>
  <c r="I20" i="1"/>
  <c r="D20" i="1"/>
  <c r="M24" i="1"/>
  <c r="B29" i="1"/>
  <c r="F29" i="1"/>
  <c r="J29" i="1"/>
  <c r="C29" i="1"/>
  <c r="G29" i="1"/>
  <c r="K29" i="1"/>
  <c r="D29" i="1"/>
  <c r="H29" i="1"/>
  <c r="L29" i="1"/>
  <c r="E29" i="1"/>
  <c r="I29" i="1"/>
  <c r="M29" i="1"/>
  <c r="B23" i="1"/>
  <c r="J23" i="1"/>
  <c r="B24" i="1"/>
  <c r="F24" i="1"/>
  <c r="J24" i="1"/>
  <c r="M23" i="1"/>
  <c r="I23" i="1"/>
  <c r="C24" i="1"/>
  <c r="G24" i="1"/>
  <c r="K24" i="1"/>
  <c r="L23" i="1"/>
  <c r="H23" i="1"/>
  <c r="D23" i="1"/>
  <c r="D24" i="1"/>
  <c r="H24" i="1"/>
  <c r="L24" i="1"/>
  <c r="K23" i="1"/>
  <c r="G23" i="1"/>
  <c r="C23" i="1"/>
  <c r="E24" i="1"/>
  <c r="I24" i="1"/>
  <c r="G30" i="1"/>
  <c r="B30" i="1"/>
  <c r="I30" i="1"/>
  <c r="D30" i="1"/>
  <c r="J20" i="1"/>
  <c r="F20" i="1"/>
  <c r="B34" i="1"/>
  <c r="B37" i="1"/>
  <c r="B33" i="1"/>
  <c r="M30" i="1"/>
  <c r="L30" i="1"/>
  <c r="K30" i="1"/>
  <c r="J30" i="1"/>
  <c r="H30" i="1"/>
  <c r="F30" i="1"/>
  <c r="E30" i="1"/>
  <c r="C30" i="1"/>
  <c r="C28" i="1"/>
  <c r="C27" i="1"/>
  <c r="B28" i="1"/>
  <c r="B27" i="1"/>
  <c r="C18" i="1" l="1"/>
  <c r="D18" i="1"/>
  <c r="E18" i="1"/>
  <c r="F18" i="1"/>
  <c r="G18" i="1"/>
  <c r="H18" i="1"/>
  <c r="I18" i="1"/>
  <c r="J18" i="1"/>
  <c r="K18" i="1"/>
  <c r="L18" i="1"/>
  <c r="M18" i="1"/>
  <c r="B18" i="1"/>
  <c r="C17" i="1"/>
  <c r="D17" i="1"/>
  <c r="E17" i="1"/>
  <c r="F17" i="1"/>
  <c r="G17" i="1"/>
  <c r="H17" i="1"/>
  <c r="I17" i="1"/>
  <c r="J17" i="1"/>
  <c r="K17" i="1"/>
  <c r="L17" i="1"/>
  <c r="M17" i="1"/>
  <c r="B17" i="1"/>
  <c r="B7" i="1"/>
  <c r="D10" i="1"/>
  <c r="S1" i="1"/>
  <c r="B3" i="1" s="1"/>
  <c r="S2" i="1"/>
  <c r="C37" i="1"/>
  <c r="G10" i="1" l="1"/>
  <c r="G3" i="1"/>
  <c r="H3" i="1"/>
  <c r="M25" i="1"/>
  <c r="I25" i="1"/>
  <c r="E25" i="1"/>
  <c r="H25" i="1"/>
  <c r="K25" i="1"/>
  <c r="G25" i="1"/>
  <c r="C25" i="1"/>
  <c r="J25" i="1"/>
  <c r="F25" i="1"/>
  <c r="B25" i="1"/>
  <c r="L25" i="1"/>
  <c r="D25" i="1"/>
  <c r="J19" i="1"/>
  <c r="M13" i="1"/>
  <c r="I13" i="1"/>
  <c r="E13" i="1"/>
  <c r="B13" i="1"/>
  <c r="L13" i="1"/>
  <c r="H13" i="1"/>
  <c r="D13" i="1"/>
  <c r="F13" i="1"/>
  <c r="K13" i="1"/>
  <c r="G13" i="1"/>
  <c r="C13" i="1"/>
  <c r="J13" i="1"/>
  <c r="J9" i="1"/>
  <c r="C3" i="1"/>
  <c r="J3" i="1"/>
  <c r="F3" i="1"/>
  <c r="M3" i="1"/>
  <c r="I3" i="1"/>
  <c r="E3" i="1"/>
  <c r="L3" i="1"/>
  <c r="D3" i="1"/>
  <c r="K3" i="1"/>
  <c r="C10" i="1"/>
  <c r="E10" i="1"/>
  <c r="H14" i="1"/>
  <c r="L14" i="1"/>
  <c r="H15" i="1"/>
  <c r="L15" i="1"/>
  <c r="C19" i="1"/>
  <c r="G19" i="1"/>
  <c r="K19" i="1"/>
  <c r="B14" i="1"/>
  <c r="F14" i="1"/>
  <c r="J14" i="1"/>
  <c r="B15" i="1"/>
  <c r="F15" i="1"/>
  <c r="J15" i="1"/>
  <c r="E19" i="1"/>
  <c r="I19" i="1"/>
  <c r="M19" i="1"/>
  <c r="D14" i="1"/>
  <c r="D15" i="1"/>
  <c r="E14" i="1"/>
  <c r="I14" i="1"/>
  <c r="M14" i="1"/>
  <c r="E15" i="1"/>
  <c r="I15" i="1"/>
  <c r="M15" i="1"/>
  <c r="D19" i="1"/>
  <c r="H19" i="1"/>
  <c r="L19" i="1"/>
  <c r="C14" i="1"/>
  <c r="G14" i="1"/>
  <c r="K14" i="1"/>
  <c r="C15" i="1"/>
  <c r="G15" i="1"/>
  <c r="K15" i="1"/>
  <c r="B19" i="1"/>
  <c r="F19" i="1"/>
  <c r="F10" i="1"/>
  <c r="M10" i="1"/>
  <c r="I10" i="1"/>
  <c r="J10" i="1"/>
  <c r="L10" i="1"/>
  <c r="H10" i="1"/>
  <c r="K10" i="1"/>
  <c r="C9" i="1"/>
  <c r="K9" i="1"/>
  <c r="D9" i="1"/>
  <c r="H9" i="1"/>
  <c r="B4" i="1"/>
  <c r="E9" i="1"/>
  <c r="I9" i="1"/>
  <c r="M9" i="1"/>
  <c r="G9" i="1"/>
  <c r="L9" i="1"/>
  <c r="M4" i="1"/>
  <c r="B9" i="1"/>
  <c r="F9" i="1"/>
  <c r="F4" i="1"/>
  <c r="G4" i="1"/>
  <c r="J4" i="1"/>
  <c r="C4" i="1"/>
  <c r="K4" i="1"/>
  <c r="D4" i="1"/>
  <c r="H4" i="1"/>
  <c r="L4" i="1"/>
  <c r="E4" i="1"/>
  <c r="I4" i="1"/>
  <c r="D37" i="1"/>
  <c r="E37" i="1"/>
  <c r="F37" i="1"/>
  <c r="G37" i="1"/>
  <c r="H37" i="1"/>
  <c r="I37" i="1"/>
  <c r="J37" i="1"/>
  <c r="K37" i="1"/>
  <c r="L37" i="1"/>
  <c r="M37" i="1"/>
  <c r="C34" i="1"/>
  <c r="D34" i="1"/>
  <c r="E34" i="1"/>
  <c r="F34" i="1"/>
  <c r="G34" i="1"/>
  <c r="H34" i="1"/>
  <c r="I34" i="1"/>
  <c r="J34" i="1"/>
  <c r="K34" i="1"/>
  <c r="L34" i="1"/>
  <c r="M34" i="1"/>
  <c r="C33" i="1"/>
  <c r="D33" i="1"/>
  <c r="E33" i="1"/>
  <c r="F33" i="1"/>
  <c r="G33" i="1"/>
  <c r="H33" i="1"/>
  <c r="I33" i="1"/>
  <c r="J33" i="1"/>
  <c r="K33" i="1"/>
  <c r="L33" i="1"/>
  <c r="M33" i="1"/>
  <c r="D28" i="1"/>
  <c r="E28" i="1"/>
  <c r="F28" i="1"/>
  <c r="G28" i="1"/>
  <c r="H28" i="1"/>
  <c r="I28" i="1"/>
  <c r="J28" i="1"/>
  <c r="K28" i="1"/>
  <c r="L28" i="1"/>
  <c r="M28" i="1"/>
  <c r="D27" i="1"/>
  <c r="E27" i="1"/>
  <c r="F27" i="1"/>
  <c r="G27" i="1"/>
  <c r="H27" i="1"/>
  <c r="I27" i="1"/>
  <c r="J27" i="1"/>
  <c r="K27" i="1"/>
  <c r="L27" i="1"/>
  <c r="M27" i="1"/>
  <c r="C8" i="1"/>
  <c r="D8" i="1"/>
  <c r="E8" i="1"/>
  <c r="F8" i="1"/>
  <c r="G8" i="1"/>
  <c r="H8" i="1"/>
  <c r="I8" i="1"/>
  <c r="J8" i="1"/>
  <c r="K8" i="1"/>
  <c r="L8" i="1"/>
  <c r="M8" i="1"/>
  <c r="B8" i="1"/>
  <c r="C7" i="1"/>
  <c r="D7" i="1"/>
  <c r="E7" i="1"/>
  <c r="F7" i="1"/>
  <c r="G7" i="1"/>
  <c r="H7" i="1"/>
  <c r="I7" i="1"/>
  <c r="J7" i="1"/>
  <c r="K7" i="1"/>
  <c r="L7" i="1"/>
  <c r="M7" i="1"/>
  <c r="C5" i="1"/>
  <c r="D5" i="1"/>
  <c r="E5" i="1"/>
  <c r="F5" i="1"/>
  <c r="G5" i="1"/>
  <c r="H5" i="1"/>
  <c r="I5" i="1"/>
  <c r="J5" i="1"/>
  <c r="K5" i="1"/>
  <c r="L5" i="1"/>
  <c r="M5" i="1"/>
  <c r="B5" i="1"/>
  <c r="B40" i="1" l="1"/>
  <c r="D40" i="1"/>
  <c r="E40" i="1"/>
  <c r="F40" i="1"/>
  <c r="C40" i="1"/>
  <c r="H40" i="1"/>
  <c r="J40" i="1"/>
  <c r="C44" i="1" l="1"/>
  <c r="B44" i="1"/>
  <c r="B45" i="1" s="1"/>
  <c r="F44" i="1"/>
  <c r="I40" i="1"/>
  <c r="K40" i="1"/>
  <c r="M40" i="1"/>
  <c r="G40" i="1"/>
  <c r="L40" i="1"/>
  <c r="C45" i="1" l="1"/>
  <c r="B46" i="1"/>
  <c r="C46" i="1" l="1"/>
  <c r="J44" i="1"/>
  <c r="E44" i="1"/>
  <c r="K44" i="1"/>
  <c r="G44" i="1"/>
  <c r="I44" i="1"/>
  <c r="L44" i="1"/>
  <c r="H44" i="1"/>
  <c r="M44" i="1"/>
  <c r="D44" i="1"/>
  <c r="D45" i="1" s="1"/>
  <c r="E45" i="1" l="1"/>
  <c r="F45" i="1" s="1"/>
  <c r="D46" i="1"/>
  <c r="G45" i="1" l="1"/>
  <c r="E46" i="1"/>
  <c r="H45" i="1" l="1"/>
  <c r="I45" i="1" s="1"/>
  <c r="J45" i="1" s="1"/>
  <c r="K45" i="1" s="1"/>
  <c r="L45" i="1" s="1"/>
  <c r="M45" i="1" s="1"/>
  <c r="N45" i="1" s="1"/>
  <c r="F46" i="1"/>
  <c r="G46" i="1"/>
  <c r="H46" i="1" l="1"/>
  <c r="J46" i="1" l="1"/>
  <c r="I46" i="1"/>
  <c r="M46" i="1"/>
  <c r="L46" i="1" l="1"/>
  <c r="A53" i="1"/>
  <c r="K46" i="1"/>
</calcChain>
</file>

<file path=xl/sharedStrings.xml><?xml version="1.0" encoding="utf-8"?>
<sst xmlns="http://schemas.openxmlformats.org/spreadsheetml/2006/main" count="142" uniqueCount="73">
  <si>
    <t>Water per person</t>
  </si>
  <si>
    <t>Condominium</t>
  </si>
  <si>
    <t>Loan repayment</t>
  </si>
  <si>
    <t>January</t>
  </si>
  <si>
    <t>February</t>
  </si>
  <si>
    <t>March</t>
  </si>
  <si>
    <t>April</t>
  </si>
  <si>
    <t>May</t>
  </si>
  <si>
    <t>June</t>
  </si>
  <si>
    <t>July</t>
  </si>
  <si>
    <t>August</t>
  </si>
  <si>
    <t>Septemper</t>
  </si>
  <si>
    <t>October</t>
  </si>
  <si>
    <t>November</t>
  </si>
  <si>
    <t>December</t>
  </si>
  <si>
    <t>Rent</t>
  </si>
  <si>
    <t>Electicity</t>
  </si>
  <si>
    <t>Repairs</t>
  </si>
  <si>
    <t>APARTMENT 1</t>
  </si>
  <si>
    <t>APARTMENT 2</t>
  </si>
  <si>
    <t>APARTMENT 3</t>
  </si>
  <si>
    <t>OTHER COSTS</t>
  </si>
  <si>
    <t>Banking</t>
  </si>
  <si>
    <t>Miscellaneous</t>
  </si>
  <si>
    <t>Book keeping</t>
  </si>
  <si>
    <t>Previous taxes</t>
  </si>
  <si>
    <t>Quarterly misc.</t>
  </si>
  <si>
    <t>Insurance</t>
  </si>
  <si>
    <t>Other</t>
  </si>
  <si>
    <t>BUDGET</t>
  </si>
  <si>
    <t>Balance</t>
  </si>
  <si>
    <t>Liquidity</t>
  </si>
  <si>
    <t>Cash Flow</t>
  </si>
  <si>
    <t>Inserting money</t>
  </si>
  <si>
    <t>Resulting liquidity</t>
  </si>
  <si>
    <t>Tenants move in</t>
  </si>
  <si>
    <t>Tenants move in:</t>
  </si>
  <si>
    <t>Fixed costs</t>
  </si>
  <si>
    <t>Other costs</t>
  </si>
  <si>
    <t>Rent percentage increase</t>
  </si>
  <si>
    <t>Sensitivity analysis</t>
  </si>
  <si>
    <t>Rent increase-% to brake even</t>
  </si>
  <si>
    <t>#</t>
  </si>
  <si>
    <t>Condominium1</t>
  </si>
  <si>
    <t>Condominium2</t>
  </si>
  <si>
    <t>Condominium3</t>
  </si>
  <si>
    <t>$N$45</t>
  </si>
  <si>
    <t>Created by Lassi on 5.8.2021
Modified by Lassi on 5.8.2021</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</si>
  <si>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</si>
  <si>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</si>
  <si>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</si>
  <si>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</si>
  <si>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</si>
  <si>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</si>
  <si>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</si>
  <si>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Rent1</t>
  </si>
  <si>
    <t>Rent2</t>
  </si>
  <si>
    <t>Rent3</t>
  </si>
  <si>
    <t>Rent decrese</t>
  </si>
  <si>
    <t>Created by Lassi on 5.8.2021</t>
  </si>
  <si>
    <t>Condominium increases</t>
  </si>
  <si>
    <t>No. Of Months</t>
  </si>
  <si>
    <t>Renovation cost</t>
  </si>
  <si>
    <t>Repair:</t>
  </si>
  <si>
    <t>Renovation:</t>
  </si>
  <si>
    <t>Repair1</t>
  </si>
  <si>
    <t>Repair2</t>
  </si>
  <si>
    <t>Repairs increase</t>
  </si>
  <si>
    <t>Created by Lassi on 5.8.2021
Modified by Lassi on 5.8.2021
Modified by Lassi on 6.8.2021</t>
  </si>
  <si>
    <t>No. Of months</t>
  </si>
  <si>
    <t>Rented delay</t>
  </si>
  <si>
    <t>Scenario analysis</t>
  </si>
  <si>
    <t>Move in delay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</si>
</sst>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quot;€&quot;"/>
  </numFmts>
  <fonts count="14" x14ac:knownFonts="1">
    <font>
      <sz val="11"/>
      <color theme="1"/>
      <name val="Calibri"/>
      <family val="2"/>
      <scheme val="minor"/>
    </font>
    <font>
      <b/>
      <sz val="11"/>
      <color theme="1"/>
      <name val="Calibri"/>
      <family val="2"/>
      <scheme val="minor"/>
    </font>
    <font>
      <sz val="11"/>
      <color rgb="FF3F3F76"/>
      <name val="Calibri"/>
      <family val="2"/>
      <scheme val="minor"/>
    </font>
    <font>
      <i/>
      <sz val="11"/>
      <color theme="1"/>
      <name val="Calibri"/>
      <family val="2"/>
      <scheme val="minor"/>
    </font>
    <font>
      <sz val="11"/>
      <color theme="1"/>
      <name val="Calibri"/>
      <family val="2"/>
      <scheme val="minor"/>
    </font>
    <font>
      <b/>
      <sz val="11"/>
      <color rgb="FFFA7D00"/>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0"/>
      <color indexed="9"/>
      <name val="Calibri"/>
      <family val="2"/>
      <scheme val="minor"/>
    </font>
    <font>
      <sz val="8"/>
      <color theme="1"/>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s>
  <fills count="22">
    <fill>
      <patternFill patternType="none"/>
    </fill>
    <fill>
      <patternFill patternType="gray125"/>
    </fill>
    <fill>
      <patternFill patternType="solid">
        <fgColor rgb="FFFFCC99"/>
      </patternFill>
    </fill>
    <fill>
      <patternFill patternType="solid">
        <fgColor theme="7" tint="0.79998168889431442"/>
        <bgColor indexed="64"/>
      </patternFill>
    </fill>
    <fill>
      <patternFill patternType="solid">
        <fgColor rgb="FFF2F2F2"/>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
      <patternFill patternType="solid">
        <fgColor theme="8" tint="0.79998168889431442"/>
        <bgColor indexed="64"/>
      </patternFill>
    </fill>
    <fill>
      <patternFill patternType="solid">
        <fgColor theme="4" tint="0.79998168889431442"/>
        <bgColor indexed="64"/>
      </patternFill>
    </fill>
  </fills>
  <borders count="29">
    <border>
      <left/>
      <right/>
      <top/>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rgb="FF7F7F7F"/>
      </right>
      <top/>
      <bottom/>
      <diagonal/>
    </border>
    <border>
      <left style="thin">
        <color indexed="64"/>
      </left>
      <right/>
      <top/>
      <bottom style="thin">
        <color indexed="64"/>
      </bottom>
      <diagonal/>
    </border>
    <border>
      <left/>
      <right/>
      <top/>
      <bottom style="thick">
        <color theme="4" tint="0.499984740745262"/>
      </bottom>
      <diagonal/>
    </border>
    <border>
      <left/>
      <right style="thin">
        <color rgb="FF7F7F7F"/>
      </right>
      <top/>
      <bottom/>
      <diagonal/>
    </border>
    <border>
      <left style="thin">
        <color indexed="64"/>
      </left>
      <right/>
      <top style="thin">
        <color indexed="64"/>
      </top>
      <bottom style="thick">
        <color theme="4" tint="0.499984740745262"/>
      </bottom>
      <diagonal/>
    </border>
    <border>
      <left/>
      <right style="thin">
        <color rgb="FF7F7F7F"/>
      </right>
      <top style="thin">
        <color rgb="FF7F7F7F"/>
      </top>
      <bottom style="thin">
        <color rgb="FF7F7F7F"/>
      </bottom>
      <diagonal/>
    </border>
    <border>
      <left style="thin">
        <color indexed="64"/>
      </left>
      <right/>
      <top/>
      <bottom style="thick">
        <color theme="4" tint="0.499984740745262"/>
      </bottom>
      <diagonal/>
    </border>
    <border>
      <left/>
      <right style="thin">
        <color indexed="64"/>
      </right>
      <top style="thin">
        <color indexed="64"/>
      </top>
      <bottom style="thick">
        <color theme="4" tint="0.499984740745262"/>
      </bottom>
      <diagonal/>
    </border>
    <border>
      <left/>
      <right style="thin">
        <color indexed="64"/>
      </right>
      <top/>
      <bottom style="thick">
        <color theme="4" tint="0.499984740745262"/>
      </bottom>
      <diagonal/>
    </border>
    <border>
      <left/>
      <right style="thin">
        <color rgb="FF7F7F7F"/>
      </right>
      <top/>
      <bottom style="thin">
        <color indexed="64"/>
      </bottom>
      <diagonal/>
    </border>
    <border>
      <left style="thin">
        <color rgb="FF7F7F7F"/>
      </left>
      <right style="thin">
        <color rgb="FF7F7F7F"/>
      </right>
      <top style="thin">
        <color rgb="FF7F7F7F"/>
      </top>
      <bottom style="thin">
        <color indexed="64"/>
      </bottom>
      <diagonal/>
    </border>
    <border>
      <left/>
      <right/>
      <top/>
      <bottom style="medium">
        <color theme="4" tint="0.39997558519241921"/>
      </bottom>
      <diagonal/>
    </border>
    <border>
      <left/>
      <right/>
      <top style="thin">
        <color indexed="64"/>
      </top>
      <bottom style="thin">
        <color indexed="64"/>
      </bottom>
      <diagonal/>
    </border>
    <border>
      <left/>
      <right/>
      <top style="medium">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medium">
        <color indexed="64"/>
      </bottom>
      <diagonal/>
    </border>
    <border>
      <left/>
      <right/>
      <top style="thin">
        <color rgb="FF7F7F7F"/>
      </top>
      <bottom style="thin">
        <color rgb="FF7F7F7F"/>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s>
  <cellStyleXfs count="15">
    <xf numFmtId="0" fontId="0" fillId="0" borderId="0"/>
    <xf numFmtId="0" fontId="2" fillId="2" borderId="2" applyNumberFormat="0" applyAlignment="0" applyProtection="0"/>
    <xf numFmtId="0" fontId="5" fillId="4" borderId="2" applyNumberFormat="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9" fontId="4" fillId="0" borderId="0" applyFont="0" applyFill="0" applyBorder="0" applyAlignment="0" applyProtection="0"/>
    <xf numFmtId="0" fontId="7" fillId="0" borderId="11" applyNumberFormat="0" applyFill="0" applyAlignment="0" applyProtection="0"/>
    <xf numFmtId="0" fontId="8" fillId="0" borderId="20" applyNumberFormat="0" applyFill="0" applyAlignment="0" applyProtection="0"/>
  </cellStyleXfs>
  <cellXfs count="138">
    <xf numFmtId="0" fontId="0" fillId="0" borderId="0" xfId="0"/>
    <xf numFmtId="164" fontId="0" fillId="0" borderId="0" xfId="0" applyNumberFormat="1"/>
    <xf numFmtId="0" fontId="0" fillId="0" borderId="1" xfId="0" applyBorder="1"/>
    <xf numFmtId="0" fontId="0" fillId="0" borderId="0" xfId="0" applyBorder="1"/>
    <xf numFmtId="164" fontId="0" fillId="0" borderId="0" xfId="0" applyNumberFormat="1" applyBorder="1"/>
    <xf numFmtId="0" fontId="0" fillId="0" borderId="3" xfId="0" applyBorder="1"/>
    <xf numFmtId="0" fontId="1" fillId="0" borderId="0" xfId="0" applyFont="1" applyBorder="1"/>
    <xf numFmtId="164" fontId="0" fillId="0" borderId="4" xfId="0" applyNumberFormat="1" applyBorder="1"/>
    <xf numFmtId="0" fontId="0" fillId="0" borderId="5" xfId="0" applyBorder="1"/>
    <xf numFmtId="0" fontId="0" fillId="0" borderId="6" xfId="0" applyBorder="1"/>
    <xf numFmtId="0" fontId="1" fillId="0" borderId="7" xfId="0" applyFont="1" applyBorder="1"/>
    <xf numFmtId="0" fontId="1" fillId="0" borderId="0" xfId="0" applyFont="1" applyFill="1" applyBorder="1"/>
    <xf numFmtId="0" fontId="3" fillId="0" borderId="8" xfId="0" applyFont="1" applyBorder="1"/>
    <xf numFmtId="164" fontId="2" fillId="2" borderId="2" xfId="1" applyNumberFormat="1"/>
    <xf numFmtId="164" fontId="0" fillId="0" borderId="1" xfId="0" applyNumberFormat="1" applyBorder="1"/>
    <xf numFmtId="14" fontId="0" fillId="3" borderId="5" xfId="0" applyNumberFormat="1" applyFill="1" applyBorder="1"/>
    <xf numFmtId="0" fontId="0" fillId="0" borderId="0" xfId="0" applyNumberFormat="1" applyFill="1" applyBorder="1"/>
    <xf numFmtId="0" fontId="0" fillId="0" borderId="0" xfId="0" applyFill="1"/>
    <xf numFmtId="14" fontId="6" fillId="0" borderId="0" xfId="0" applyNumberFormat="1" applyFont="1" applyFill="1" applyBorder="1" applyProtection="1">
      <protection hidden="1"/>
    </xf>
    <xf numFmtId="0" fontId="6" fillId="0" borderId="0" xfId="0" applyFont="1" applyFill="1" applyBorder="1" applyProtection="1">
      <protection hidden="1"/>
    </xf>
    <xf numFmtId="0" fontId="4" fillId="7" borderId="0" xfId="5"/>
    <xf numFmtId="0" fontId="4" fillId="7" borderId="0" xfId="5" applyBorder="1"/>
    <xf numFmtId="0" fontId="4" fillId="9" borderId="0" xfId="7"/>
    <xf numFmtId="0" fontId="4" fillId="9" borderId="0" xfId="7" applyBorder="1"/>
    <xf numFmtId="0" fontId="4" fillId="5" borderId="0" xfId="3"/>
    <xf numFmtId="0" fontId="4" fillId="9" borderId="9" xfId="7" applyBorder="1"/>
    <xf numFmtId="0" fontId="4" fillId="11" borderId="0" xfId="9"/>
    <xf numFmtId="0" fontId="4" fillId="11" borderId="0" xfId="9" applyBorder="1"/>
    <xf numFmtId="0" fontId="0" fillId="0" borderId="0" xfId="0" applyFill="1" applyBorder="1"/>
    <xf numFmtId="0" fontId="4" fillId="0" borderId="0" xfId="5" applyFill="1" applyBorder="1"/>
    <xf numFmtId="164" fontId="4" fillId="0" borderId="0" xfId="5" applyNumberFormat="1" applyFill="1"/>
    <xf numFmtId="164" fontId="4" fillId="0" borderId="0" xfId="5" applyNumberFormat="1" applyFill="1" applyAlignment="1"/>
    <xf numFmtId="164" fontId="2" fillId="2" borderId="2" xfId="1" applyNumberFormat="1" applyBorder="1"/>
    <xf numFmtId="0" fontId="2" fillId="2" borderId="2" xfId="1" applyNumberFormat="1"/>
    <xf numFmtId="164" fontId="4" fillId="0" borderId="0" xfId="5" applyNumberFormat="1" applyFill="1" applyBorder="1"/>
    <xf numFmtId="164" fontId="5" fillId="0" borderId="0" xfId="2" applyNumberFormat="1" applyFill="1" applyBorder="1"/>
    <xf numFmtId="0" fontId="4" fillId="0" borderId="0" xfId="7" applyFill="1" applyBorder="1"/>
    <xf numFmtId="164" fontId="4" fillId="0" borderId="0" xfId="7" applyNumberFormat="1" applyFill="1" applyBorder="1"/>
    <xf numFmtId="0" fontId="4" fillId="0" borderId="0" xfId="3" applyFill="1" applyBorder="1"/>
    <xf numFmtId="164" fontId="4" fillId="0" borderId="0" xfId="3" applyNumberFormat="1" applyFill="1" applyBorder="1"/>
    <xf numFmtId="0" fontId="4" fillId="0" borderId="0" xfId="9" applyFill="1" applyBorder="1"/>
    <xf numFmtId="164" fontId="4" fillId="0" borderId="0" xfId="9" applyNumberFormat="1" applyFill="1" applyBorder="1"/>
    <xf numFmtId="0" fontId="4" fillId="5" borderId="12" xfId="3" applyBorder="1"/>
    <xf numFmtId="0" fontId="4" fillId="9" borderId="12" xfId="7" applyBorder="1"/>
    <xf numFmtId="0" fontId="1" fillId="0" borderId="0" xfId="4" applyFont="1" applyFill="1" applyBorder="1" applyAlignment="1"/>
    <xf numFmtId="0" fontId="1" fillId="0" borderId="0" xfId="8" applyFont="1" applyFill="1" applyBorder="1" applyAlignment="1"/>
    <xf numFmtId="0" fontId="4" fillId="5" borderId="18" xfId="3" applyBorder="1"/>
    <xf numFmtId="164" fontId="2" fillId="2" borderId="19" xfId="1" applyNumberFormat="1" applyBorder="1"/>
    <xf numFmtId="0" fontId="4" fillId="5" borderId="1" xfId="3" applyBorder="1"/>
    <xf numFmtId="14" fontId="4" fillId="0" borderId="0" xfId="7" applyNumberFormat="1" applyFill="1" applyBorder="1" applyProtection="1">
      <protection hidden="1"/>
    </xf>
    <xf numFmtId="9" fontId="2" fillId="0" borderId="0" xfId="12" applyFont="1" applyFill="1" applyBorder="1" applyProtection="1">
      <protection hidden="1"/>
    </xf>
    <xf numFmtId="0" fontId="6" fillId="0" borderId="0" xfId="0" applyFont="1" applyFill="1"/>
    <xf numFmtId="9" fontId="0" fillId="0" borderId="0" xfId="12" applyFont="1"/>
    <xf numFmtId="9" fontId="0" fillId="0" borderId="0" xfId="0" applyNumberFormat="1"/>
    <xf numFmtId="0" fontId="0" fillId="0" borderId="0" xfId="0" applyNumberFormat="1"/>
    <xf numFmtId="0" fontId="0" fillId="0" borderId="0" xfId="12" applyNumberFormat="1" applyFont="1"/>
    <xf numFmtId="0" fontId="3" fillId="0" borderId="10" xfId="0" applyFont="1" applyBorder="1"/>
    <xf numFmtId="0" fontId="0" fillId="7" borderId="0" xfId="5" applyFont="1" applyBorder="1"/>
    <xf numFmtId="0" fontId="0" fillId="0" borderId="0" xfId="0" applyFill="1" applyBorder="1" applyAlignment="1"/>
    <xf numFmtId="164" fontId="0" fillId="0" borderId="0" xfId="0" applyNumberFormat="1" applyFill="1" applyBorder="1" applyAlignment="1"/>
    <xf numFmtId="164" fontId="0" fillId="0" borderId="3" xfId="0" applyNumberFormat="1" applyFill="1" applyBorder="1" applyAlignment="1"/>
    <xf numFmtId="0" fontId="0" fillId="0" borderId="21" xfId="0" applyFill="1" applyBorder="1" applyAlignment="1"/>
    <xf numFmtId="0" fontId="9" fillId="17" borderId="22" xfId="0" applyFont="1" applyFill="1" applyBorder="1" applyAlignment="1">
      <alignment horizontal="right"/>
    </xf>
    <xf numFmtId="0" fontId="9" fillId="17" borderId="1" xfId="0" applyFont="1" applyFill="1" applyBorder="1" applyAlignment="1">
      <alignment horizontal="right"/>
    </xf>
    <xf numFmtId="164" fontId="0" fillId="19" borderId="0" xfId="0" applyNumberFormat="1" applyFill="1" applyBorder="1" applyAlignment="1"/>
    <xf numFmtId="0" fontId="10" fillId="0" borderId="0" xfId="0" applyFont="1" applyFill="1" applyBorder="1" applyAlignment="1">
      <alignment vertical="top" wrapText="1"/>
    </xf>
    <xf numFmtId="0" fontId="0" fillId="5" borderId="0" xfId="3" applyFont="1" applyBorder="1"/>
    <xf numFmtId="14" fontId="0" fillId="15" borderId="5" xfId="0" applyNumberFormat="1" applyFill="1" applyBorder="1"/>
    <xf numFmtId="9" fontId="0" fillId="15" borderId="0" xfId="12" applyFont="1" applyFill="1"/>
    <xf numFmtId="164" fontId="5" fillId="4" borderId="2" xfId="2" applyNumberFormat="1"/>
    <xf numFmtId="164" fontId="0" fillId="0" borderId="23" xfId="0" applyNumberFormat="1" applyBorder="1"/>
    <xf numFmtId="0" fontId="3" fillId="0" borderId="0" xfId="0" applyFont="1" applyBorder="1"/>
    <xf numFmtId="164" fontId="2" fillId="0" borderId="0" xfId="1" applyNumberFormat="1" applyFill="1" applyBorder="1"/>
    <xf numFmtId="0" fontId="11" fillId="17" borderId="1" xfId="0" applyFont="1" applyFill="1" applyBorder="1" applyAlignment="1">
      <alignment horizontal="left"/>
    </xf>
    <xf numFmtId="0" fontId="11" fillId="17" borderId="22" xfId="0" applyFont="1" applyFill="1" applyBorder="1" applyAlignment="1">
      <alignment horizontal="left"/>
    </xf>
    <xf numFmtId="0" fontId="12" fillId="18" borderId="0" xfId="0" applyFont="1" applyFill="1" applyBorder="1" applyAlignment="1">
      <alignment horizontal="left"/>
    </xf>
    <xf numFmtId="0" fontId="13" fillId="18" borderId="21" xfId="0" applyFont="1" applyFill="1" applyBorder="1" applyAlignment="1">
      <alignment horizontal="left"/>
    </xf>
    <xf numFmtId="0" fontId="12" fillId="18" borderId="3" xfId="0" applyFont="1" applyFill="1" applyBorder="1" applyAlignment="1">
      <alignment horizontal="left"/>
    </xf>
    <xf numFmtId="0" fontId="0" fillId="19" borderId="0" xfId="0" applyFill="1" applyBorder="1" applyAlignment="1"/>
    <xf numFmtId="0" fontId="4" fillId="5" borderId="0" xfId="3" quotePrefix="1" applyFont="1" applyBorder="1" applyAlignment="1">
      <alignment horizontal="left"/>
    </xf>
    <xf numFmtId="0" fontId="0" fillId="21" borderId="24" xfId="0" applyFill="1" applyBorder="1"/>
    <xf numFmtId="0" fontId="0" fillId="0" borderId="24" xfId="0" applyBorder="1"/>
    <xf numFmtId="0" fontId="0" fillId="5" borderId="0" xfId="3" applyFont="1"/>
    <xf numFmtId="0" fontId="2" fillId="2" borderId="2" xfId="1"/>
    <xf numFmtId="0" fontId="0" fillId="15" borderId="24" xfId="0" applyFill="1" applyBorder="1"/>
    <xf numFmtId="0" fontId="4" fillId="15" borderId="0" xfId="3" applyFill="1" applyBorder="1"/>
    <xf numFmtId="0" fontId="4" fillId="15" borderId="0" xfId="3" applyFill="1" applyAlignment="1"/>
    <xf numFmtId="0" fontId="4" fillId="15" borderId="0" xfId="3" applyFill="1" applyAlignment="1">
      <alignment horizontal="center"/>
    </xf>
    <xf numFmtId="14" fontId="0" fillId="3" borderId="6" xfId="0" applyNumberFormat="1" applyFill="1" applyBorder="1"/>
    <xf numFmtId="0" fontId="0" fillId="0" borderId="4" xfId="0" applyNumberFormat="1" applyFill="1" applyBorder="1"/>
    <xf numFmtId="0" fontId="0" fillId="0" borderId="4" xfId="0" applyBorder="1"/>
    <xf numFmtId="0" fontId="0" fillId="0" borderId="23" xfId="0" applyBorder="1"/>
    <xf numFmtId="0" fontId="0" fillId="0" borderId="25" xfId="0" applyBorder="1"/>
    <xf numFmtId="9" fontId="2" fillId="0" borderId="0" xfId="12" applyFont="1" applyFill="1" applyBorder="1" applyAlignment="1">
      <alignment vertical="center"/>
    </xf>
    <xf numFmtId="0" fontId="0" fillId="15" borderId="28" xfId="0" applyFill="1" applyBorder="1"/>
    <xf numFmtId="0" fontId="0" fillId="21" borderId="27" xfId="0" applyFill="1" applyBorder="1"/>
    <xf numFmtId="0" fontId="0" fillId="0" borderId="27" xfId="0" applyBorder="1"/>
    <xf numFmtId="0" fontId="0" fillId="21" borderId="28" xfId="0" applyFill="1" applyBorder="1"/>
    <xf numFmtId="0" fontId="0" fillId="0" borderId="28" xfId="0" applyBorder="1"/>
    <xf numFmtId="0" fontId="0" fillId="15" borderId="27" xfId="0" applyFill="1" applyBorder="1"/>
    <xf numFmtId="0" fontId="1" fillId="8" borderId="0" xfId="6" applyFont="1" applyAlignment="1">
      <alignment horizontal="center"/>
    </xf>
    <xf numFmtId="0" fontId="1" fillId="7" borderId="8" xfId="5" applyFont="1" applyBorder="1" applyAlignment="1">
      <alignment horizontal="center"/>
    </xf>
    <xf numFmtId="0" fontId="1" fillId="7" borderId="0" xfId="5" applyFont="1" applyBorder="1" applyAlignment="1">
      <alignment horizontal="center"/>
    </xf>
    <xf numFmtId="0" fontId="1" fillId="7" borderId="0" xfId="5" applyFont="1" applyBorder="1" applyAlignment="1">
      <alignment horizontal="center" vertical="center"/>
    </xf>
    <xf numFmtId="0" fontId="7" fillId="15" borderId="13" xfId="13" applyFill="1" applyBorder="1" applyAlignment="1">
      <alignment horizontal="center" vertical="center"/>
    </xf>
    <xf numFmtId="0" fontId="7" fillId="15" borderId="16" xfId="13" applyFill="1" applyBorder="1" applyAlignment="1">
      <alignment horizontal="center" vertical="center"/>
    </xf>
    <xf numFmtId="0" fontId="7" fillId="15" borderId="15" xfId="13" applyFill="1" applyBorder="1" applyAlignment="1">
      <alignment horizontal="center" vertical="center"/>
    </xf>
    <xf numFmtId="0" fontId="7" fillId="15" borderId="17" xfId="13" applyFill="1" applyBorder="1" applyAlignment="1">
      <alignment horizontal="center" vertical="center"/>
    </xf>
    <xf numFmtId="164" fontId="2" fillId="2" borderId="14" xfId="1" applyNumberFormat="1" applyBorder="1" applyAlignment="1">
      <alignment horizontal="center" vertical="center"/>
    </xf>
    <xf numFmtId="0" fontId="6" fillId="14" borderId="0" xfId="1" applyNumberFormat="1" applyFont="1" applyFill="1" applyBorder="1" applyAlignment="1">
      <alignment horizontal="center"/>
    </xf>
    <xf numFmtId="0" fontId="1" fillId="13" borderId="0" xfId="11" applyFont="1" applyAlignment="1">
      <alignment horizontal="center"/>
    </xf>
    <xf numFmtId="0" fontId="6" fillId="14" borderId="0" xfId="7" applyFont="1" applyFill="1" applyAlignment="1">
      <alignment horizontal="center"/>
    </xf>
    <xf numFmtId="0" fontId="6" fillId="14" borderId="8" xfId="0" applyFont="1" applyFill="1" applyBorder="1" applyAlignment="1">
      <alignment horizontal="center"/>
    </xf>
    <xf numFmtId="0" fontId="6" fillId="14" borderId="0" xfId="0" applyFont="1" applyFill="1" applyBorder="1" applyAlignment="1">
      <alignment horizontal="center"/>
    </xf>
    <xf numFmtId="0" fontId="1" fillId="9" borderId="0" xfId="7" applyFont="1" applyAlignment="1">
      <alignment horizontal="center" vertical="center"/>
    </xf>
    <xf numFmtId="0" fontId="1" fillId="8" borderId="0" xfId="6" applyFont="1" applyBorder="1" applyAlignment="1">
      <alignment horizontal="center"/>
    </xf>
    <xf numFmtId="0" fontId="1" fillId="10" borderId="5" xfId="8" applyFont="1" applyBorder="1" applyAlignment="1">
      <alignment horizontal="center"/>
    </xf>
    <xf numFmtId="0" fontId="1" fillId="9" borderId="8" xfId="7" applyFont="1" applyBorder="1" applyAlignment="1">
      <alignment horizontal="center"/>
    </xf>
    <xf numFmtId="0" fontId="1" fillId="9" borderId="0" xfId="7" applyFont="1" applyBorder="1" applyAlignment="1">
      <alignment horizontal="center"/>
    </xf>
    <xf numFmtId="0" fontId="1" fillId="12" borderId="0" xfId="10" applyFont="1" applyAlignment="1">
      <alignment horizontal="center"/>
    </xf>
    <xf numFmtId="0" fontId="1" fillId="10" borderId="0" xfId="8" applyFont="1" applyBorder="1" applyAlignment="1">
      <alignment horizontal="center"/>
    </xf>
    <xf numFmtId="0" fontId="1" fillId="5" borderId="8" xfId="3" applyFont="1" applyBorder="1" applyAlignment="1">
      <alignment horizontal="center"/>
    </xf>
    <xf numFmtId="0" fontId="1" fillId="5" borderId="0" xfId="3" applyFont="1" applyBorder="1" applyAlignment="1">
      <alignment horizontal="center"/>
    </xf>
    <xf numFmtId="0" fontId="7" fillId="20" borderId="11" xfId="13" applyFill="1" applyAlignment="1">
      <alignment horizontal="center"/>
    </xf>
    <xf numFmtId="0" fontId="0" fillId="14" borderId="8" xfId="0" applyFill="1" applyBorder="1" applyAlignment="1">
      <alignment horizontal="center"/>
    </xf>
    <xf numFmtId="0" fontId="0" fillId="14" borderId="0" xfId="0" applyFill="1" applyBorder="1" applyAlignment="1">
      <alignment horizontal="center"/>
    </xf>
    <xf numFmtId="0" fontId="1" fillId="5" borderId="0" xfId="3" applyFont="1" applyBorder="1" applyAlignment="1">
      <alignment horizontal="center" vertical="center"/>
    </xf>
    <xf numFmtId="0" fontId="1" fillId="5" borderId="4" xfId="3" applyFont="1" applyBorder="1" applyAlignment="1">
      <alignment horizontal="center" vertical="center"/>
    </xf>
    <xf numFmtId="0" fontId="1" fillId="6" borderId="0" xfId="4" applyFont="1" applyBorder="1" applyAlignment="1">
      <alignment horizontal="center"/>
    </xf>
    <xf numFmtId="0" fontId="1" fillId="6" borderId="5" xfId="4" applyFont="1" applyBorder="1" applyAlignment="1">
      <alignment horizontal="center"/>
    </xf>
    <xf numFmtId="0" fontId="6" fillId="14" borderId="0" xfId="1" applyFont="1" applyFill="1" applyBorder="1" applyAlignment="1">
      <alignment horizontal="center" vertical="center"/>
    </xf>
    <xf numFmtId="0" fontId="6" fillId="14" borderId="4" xfId="1" applyFont="1" applyFill="1" applyBorder="1" applyAlignment="1">
      <alignment horizontal="center" vertical="center"/>
    </xf>
    <xf numFmtId="0" fontId="1" fillId="16" borderId="20" xfId="14" applyFont="1" applyFill="1" applyAlignment="1">
      <alignment horizontal="center" vertical="center"/>
    </xf>
    <xf numFmtId="9" fontId="2" fillId="2" borderId="26" xfId="12" applyFont="1" applyFill="1" applyBorder="1" applyAlignment="1">
      <alignment horizontal="center" vertical="center"/>
    </xf>
    <xf numFmtId="0" fontId="8" fillId="15" borderId="13" xfId="13" applyFont="1" applyFill="1" applyBorder="1" applyAlignment="1">
      <alignment horizontal="center" vertical="center"/>
    </xf>
    <xf numFmtId="0" fontId="8" fillId="15" borderId="16" xfId="13" applyFont="1" applyFill="1" applyBorder="1" applyAlignment="1">
      <alignment horizontal="center" vertical="center"/>
    </xf>
    <xf numFmtId="0" fontId="8" fillId="15" borderId="15" xfId="13" applyFont="1" applyFill="1" applyBorder="1" applyAlignment="1">
      <alignment horizontal="center" vertical="center"/>
    </xf>
    <xf numFmtId="0" fontId="8" fillId="15" borderId="17" xfId="13" applyFont="1" applyFill="1" applyBorder="1" applyAlignment="1">
      <alignment horizontal="center" vertical="center"/>
    </xf>
  </cellXfs>
  <cellStyles count="15">
    <cellStyle name="20% - Accent1" xfId="3" builtinId="30"/>
    <cellStyle name="20% - Accent2" xfId="5" builtinId="34"/>
    <cellStyle name="20% - Accent4" xfId="7" builtinId="42"/>
    <cellStyle name="20% - Accent6" xfId="9" builtinId="50"/>
    <cellStyle name="40% - Accent1" xfId="4" builtinId="31"/>
    <cellStyle name="40% - Accent2" xfId="6" builtinId="35"/>
    <cellStyle name="40% - Accent4" xfId="8" builtinId="43"/>
    <cellStyle name="40% - Accent6" xfId="10" builtinId="51"/>
    <cellStyle name="60% - Accent6" xfId="11" builtinId="52"/>
    <cellStyle name="Calculation" xfId="2" builtinId="22"/>
    <cellStyle name="Heading 2" xfId="13" builtinId="17"/>
    <cellStyle name="Heading 3" xfId="14" builtinId="18"/>
    <cellStyle name="Input" xfId="1" builtinId="20"/>
    <cellStyle name="Normal" xfId="0" builtinId="0"/>
    <cellStyle name="Percent" xfId="12" builtinId="5"/>
  </cellStyles>
  <dxfs count="32">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'Tasks 1 and 2'!$A$45</c:f>
              <c:strCache>
                <c:ptCount val="1"/>
                <c:pt idx="0">
                  <c:v>Inserting money</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'Tasks 1 and 2'!$B$1:$M$1</c:f>
              <c:strCache>
                <c:ptCount val="12"/>
                <c:pt idx="0">
                  <c:v>January</c:v>
                </c:pt>
                <c:pt idx="1">
                  <c:v>February</c:v>
                </c:pt>
                <c:pt idx="2">
                  <c:v>March</c:v>
                </c:pt>
                <c:pt idx="3">
                  <c:v>April</c:v>
                </c:pt>
                <c:pt idx="4">
                  <c:v>May</c:v>
                </c:pt>
                <c:pt idx="5">
                  <c:v>June</c:v>
                </c:pt>
                <c:pt idx="6">
                  <c:v>July</c:v>
                </c:pt>
                <c:pt idx="7">
                  <c:v>August</c:v>
                </c:pt>
                <c:pt idx="8">
                  <c:v>Septemper</c:v>
                </c:pt>
                <c:pt idx="9">
                  <c:v>October</c:v>
                </c:pt>
                <c:pt idx="10">
                  <c:v>November</c:v>
                </c:pt>
                <c:pt idx="11">
                  <c:v>December</c:v>
                </c:pt>
              </c:strCache>
            </c:strRef>
          </c:cat>
          <c:val>
            <c:numRef>
              <c:f>'Tasks 1 and 2'!$B$45:$M$45</c:f>
              <c:numCache>
                <c:formatCode>#\ ##0\ "€"</c:formatCode>
                <c:ptCount val="12"/>
                <c:pt idx="0">
                  <c:v>0</c:v>
                </c:pt>
                <c:pt idx="1">
                  <c:v>1000</c:v>
                </c:pt>
                <c:pt idx="2">
                  <c:v>2000</c:v>
                </c:pt>
                <c:pt idx="3">
                  <c:v>1000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1313-4ED6-AA9A-DD4353EF55AE}"/>
            </c:ext>
          </c:extLst>
        </c:ser>
        <c:dLbls>
          <c:showLegendKey val="0"/>
          <c:showVal val="0"/>
          <c:showCatName val="0"/>
          <c:showSerName val="0"/>
          <c:showPercent val="0"/>
          <c:showBubbleSize val="0"/>
        </c:dLbls>
        <c:gapWidth val="150"/>
        <c:axId val="1980201807"/>
        <c:axId val="1980202223"/>
      </c:barChart>
      <c:lineChart>
        <c:grouping val="standard"/>
        <c:varyColors val="0"/>
        <c:ser>
          <c:idx val="0"/>
          <c:order val="0"/>
          <c:tx>
            <c:strRef>
              <c:f>'Tasks 1 and 2'!$A$44</c:f>
              <c:strCache>
                <c:ptCount val="1"/>
                <c:pt idx="0">
                  <c:v>Liquidity</c:v>
                </c:pt>
              </c:strCache>
            </c:strRef>
          </c:tx>
          <c:spPr>
            <a:ln w="31750" cap="rnd">
              <a:solidFill>
                <a:schemeClr val="accent1"/>
              </a:solidFill>
              <a:round/>
            </a:ln>
            <a:effectLst/>
          </c:spPr>
          <c:marker>
            <c:symbol val="none"/>
          </c:marker>
          <c:cat>
            <c:strRef>
              <c:f>'Tasks 1 and 2'!$B$1:$M$1</c:f>
              <c:strCache>
                <c:ptCount val="12"/>
                <c:pt idx="0">
                  <c:v>January</c:v>
                </c:pt>
                <c:pt idx="1">
                  <c:v>February</c:v>
                </c:pt>
                <c:pt idx="2">
                  <c:v>March</c:v>
                </c:pt>
                <c:pt idx="3">
                  <c:v>April</c:v>
                </c:pt>
                <c:pt idx="4">
                  <c:v>May</c:v>
                </c:pt>
                <c:pt idx="5">
                  <c:v>June</c:v>
                </c:pt>
                <c:pt idx="6">
                  <c:v>July</c:v>
                </c:pt>
                <c:pt idx="7">
                  <c:v>August</c:v>
                </c:pt>
                <c:pt idx="8">
                  <c:v>Septemper</c:v>
                </c:pt>
                <c:pt idx="9">
                  <c:v>October</c:v>
                </c:pt>
                <c:pt idx="10">
                  <c:v>November</c:v>
                </c:pt>
                <c:pt idx="11">
                  <c:v>December</c:v>
                </c:pt>
              </c:strCache>
            </c:strRef>
          </c:cat>
          <c:val>
            <c:numRef>
              <c:f>'Tasks 1 and 2'!$B$44:$M$44</c:f>
              <c:numCache>
                <c:formatCode>#\ ##0\ "€"</c:formatCode>
                <c:ptCount val="12"/>
                <c:pt idx="0">
                  <c:v>1048</c:v>
                </c:pt>
                <c:pt idx="1">
                  <c:v>-204</c:v>
                </c:pt>
                <c:pt idx="2">
                  <c:v>-2056</c:v>
                </c:pt>
                <c:pt idx="3">
                  <c:v>-3008</c:v>
                </c:pt>
                <c:pt idx="4">
                  <c:v>-2260</c:v>
                </c:pt>
                <c:pt idx="5">
                  <c:v>-1242</c:v>
                </c:pt>
                <c:pt idx="6">
                  <c:v>-494</c:v>
                </c:pt>
                <c:pt idx="7">
                  <c:v>154</c:v>
                </c:pt>
                <c:pt idx="8">
                  <c:v>902</c:v>
                </c:pt>
                <c:pt idx="9">
                  <c:v>1010</c:v>
                </c:pt>
                <c:pt idx="10">
                  <c:v>1758</c:v>
                </c:pt>
                <c:pt idx="11">
                  <c:v>2406</c:v>
                </c:pt>
              </c:numCache>
            </c:numRef>
          </c:val>
          <c:smooth val="0"/>
          <c:extLst>
            <c:ext xmlns:c16="http://schemas.microsoft.com/office/drawing/2014/chart" uri="{C3380CC4-5D6E-409C-BE32-E72D297353CC}">
              <c16:uniqueId val="{00000000-1313-4ED6-AA9A-DD4353EF55AE}"/>
            </c:ext>
          </c:extLst>
        </c:ser>
        <c:ser>
          <c:idx val="2"/>
          <c:order val="2"/>
          <c:tx>
            <c:strRef>
              <c:f>'Tasks 1 and 2'!$A$46</c:f>
              <c:strCache>
                <c:ptCount val="1"/>
                <c:pt idx="0">
                  <c:v>Resulting liquidity</c:v>
                </c:pt>
              </c:strCache>
            </c:strRef>
          </c:tx>
          <c:spPr>
            <a:ln w="31750" cap="rnd">
              <a:solidFill>
                <a:schemeClr val="accent3"/>
              </a:solidFill>
              <a:round/>
            </a:ln>
            <a:effectLst/>
          </c:spPr>
          <c:marker>
            <c:symbol val="none"/>
          </c:marker>
          <c:cat>
            <c:strRef>
              <c:f>'Tasks 1 and 2'!$B$1:$M$1</c:f>
              <c:strCache>
                <c:ptCount val="12"/>
                <c:pt idx="0">
                  <c:v>January</c:v>
                </c:pt>
                <c:pt idx="1">
                  <c:v>February</c:v>
                </c:pt>
                <c:pt idx="2">
                  <c:v>March</c:v>
                </c:pt>
                <c:pt idx="3">
                  <c:v>April</c:v>
                </c:pt>
                <c:pt idx="4">
                  <c:v>May</c:v>
                </c:pt>
                <c:pt idx="5">
                  <c:v>June</c:v>
                </c:pt>
                <c:pt idx="6">
                  <c:v>July</c:v>
                </c:pt>
                <c:pt idx="7">
                  <c:v>August</c:v>
                </c:pt>
                <c:pt idx="8">
                  <c:v>Septemper</c:v>
                </c:pt>
                <c:pt idx="9">
                  <c:v>October</c:v>
                </c:pt>
                <c:pt idx="10">
                  <c:v>November</c:v>
                </c:pt>
                <c:pt idx="11">
                  <c:v>December</c:v>
                </c:pt>
              </c:strCache>
            </c:strRef>
          </c:cat>
          <c:val>
            <c:numRef>
              <c:f>'Tasks 1 and 2'!$B$46:$M$46</c:f>
              <c:numCache>
                <c:formatCode>#\ ##0\ "€"</c:formatCode>
                <c:ptCount val="12"/>
                <c:pt idx="0">
                  <c:v>1048</c:v>
                </c:pt>
                <c:pt idx="1">
                  <c:v>796</c:v>
                </c:pt>
                <c:pt idx="2">
                  <c:v>944</c:v>
                </c:pt>
                <c:pt idx="3">
                  <c:v>992</c:v>
                </c:pt>
                <c:pt idx="4">
                  <c:v>1740</c:v>
                </c:pt>
                <c:pt idx="5">
                  <c:v>2758</c:v>
                </c:pt>
                <c:pt idx="6">
                  <c:v>3506</c:v>
                </c:pt>
                <c:pt idx="7">
                  <c:v>4154</c:v>
                </c:pt>
                <c:pt idx="8">
                  <c:v>4902</c:v>
                </c:pt>
                <c:pt idx="9">
                  <c:v>5010</c:v>
                </c:pt>
                <c:pt idx="10">
                  <c:v>5758</c:v>
                </c:pt>
                <c:pt idx="11">
                  <c:v>6406</c:v>
                </c:pt>
              </c:numCache>
            </c:numRef>
          </c:val>
          <c:smooth val="0"/>
          <c:extLst>
            <c:ext xmlns:c16="http://schemas.microsoft.com/office/drawing/2014/chart" uri="{C3380CC4-5D6E-409C-BE32-E72D297353CC}">
              <c16:uniqueId val="{00000002-1313-4ED6-AA9A-DD4353EF55AE}"/>
            </c:ext>
          </c:extLst>
        </c:ser>
        <c:dLbls>
          <c:showLegendKey val="0"/>
          <c:showVal val="0"/>
          <c:showCatName val="0"/>
          <c:showSerName val="0"/>
          <c:showPercent val="0"/>
          <c:showBubbleSize val="0"/>
        </c:dLbls>
        <c:marker val="1"/>
        <c:smooth val="0"/>
        <c:axId val="1980201807"/>
        <c:axId val="1980202223"/>
      </c:lineChart>
      <c:catAx>
        <c:axId val="1980201807"/>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i-FI"/>
          </a:p>
        </c:txPr>
        <c:crossAx val="1980202223"/>
        <c:crosses val="autoZero"/>
        <c:auto val="1"/>
        <c:lblAlgn val="ctr"/>
        <c:lblOffset val="100"/>
        <c:noMultiLvlLbl val="0"/>
      </c:catAx>
      <c:valAx>
        <c:axId val="1980202223"/>
        <c:scaling>
          <c:orientation val="minMax"/>
        </c:scaling>
        <c:delete val="0"/>
        <c:axPos val="l"/>
        <c:majorGridlines>
          <c:spPr>
            <a:ln w="9525" cap="flat" cmpd="sng" algn="ctr">
              <a:solidFill>
                <a:schemeClr val="tx2">
                  <a:lumMod val="15000"/>
                  <a:lumOff val="85000"/>
                </a:schemeClr>
              </a:solidFill>
              <a:round/>
            </a:ln>
            <a:effectLst/>
          </c:spPr>
        </c:majorGridlines>
        <c:numFmt formatCode="#\ ##0\ &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i-FI"/>
          </a:p>
        </c:txPr>
        <c:crossAx val="19802018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i-FI"/>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Radio" checked="Checked" firstButton="1" fmlaLink="$O$53"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20</xdr:col>
      <xdr:colOff>78006</xdr:colOff>
      <xdr:row>0</xdr:row>
      <xdr:rowOff>38869</xdr:rowOff>
    </xdr:from>
    <xdr:to>
      <xdr:col>27</xdr:col>
      <xdr:colOff>531090</xdr:colOff>
      <xdr:row>17</xdr:row>
      <xdr:rowOff>23091</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369455</xdr:colOff>
      <xdr:row>51</xdr:row>
      <xdr:rowOff>40069</xdr:rowOff>
    </xdr:from>
    <xdr:to>
      <xdr:col>29</xdr:col>
      <xdr:colOff>287812</xdr:colOff>
      <xdr:row>70</xdr:row>
      <xdr:rowOff>82467</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769273" y="9541978"/>
          <a:ext cx="5390903" cy="3621489"/>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fi-FI" sz="1100"/>
            <a:t>(a) The enterprise</a:t>
          </a:r>
          <a:r>
            <a:rPr lang="fi-FI" sz="1100" baseline="0"/>
            <a:t> has negative balance six times in a row and three months must be financed in order to avoid the problem</a:t>
          </a:r>
        </a:p>
        <a:p>
          <a:endParaRPr lang="fi-FI" sz="1100" baseline="0"/>
        </a:p>
        <a:p>
          <a:r>
            <a:rPr lang="fi-FI" sz="1100" baseline="0"/>
            <a:t>(b) One should be careful when using goal seek especially when doing this kind of tasks.</a:t>
          </a:r>
        </a:p>
        <a:p>
          <a:endParaRPr lang="fi-FI" sz="1100" baseline="0"/>
        </a:p>
        <a:p>
          <a:r>
            <a:rPr lang="fi-FI" sz="1100" baseline="0"/>
            <a:t>(c) After May delaying refrigerator does not make any change and with rent increases 140% and 150% it does not matter when the refrigerator is changed.</a:t>
          </a:r>
        </a:p>
        <a:p>
          <a:endParaRPr lang="fi-FI" sz="1100" baseline="0"/>
        </a:p>
        <a:p>
          <a:r>
            <a:rPr lang="fi-FI" sz="1100" baseline="0"/>
            <a:t>(d) Changing delay in apartments 3 rent does not affect overall extra money needed.</a:t>
          </a:r>
        </a:p>
        <a:p>
          <a:endParaRPr lang="fi-FI" sz="1100" baseline="0"/>
        </a:p>
        <a:p>
          <a:r>
            <a:rPr lang="fi-FI" sz="1100" baseline="0"/>
            <a:t>(e) Changing the renovation duration from two to three months, and from three to four months does not affect overall extra money needed, but affects in which month the extra money is needed. </a:t>
          </a:r>
        </a:p>
        <a:p>
          <a:endParaRPr lang="fi-FI" sz="1100" baseline="0"/>
        </a:p>
        <a:p>
          <a:r>
            <a:rPr lang="fi-FI" sz="1100" baseline="0"/>
            <a:t>(f) Liquidity and resulting liquidity fall after may, if 2 months delay is assumed</a:t>
          </a:r>
        </a:p>
        <a:p>
          <a:endParaRPr lang="fi-FI" sz="1100" baseline="0"/>
        </a:p>
        <a:p>
          <a:r>
            <a:rPr lang="fi-FI" sz="1100" baseline="0"/>
            <a:t>(g) I would choose renovation duration of 2 months because it has highest total resulting liquidity when compares to 3 and 4 months across all renting delays.</a:t>
          </a:r>
          <a:endParaRPr lang="fi-FI" sz="1100"/>
        </a:p>
      </xdr:txBody>
    </xdr:sp>
    <xdr:clientData/>
  </xdr:twoCellAnchor>
  <xdr:twoCellAnchor>
    <xdr:from>
      <xdr:col>7</xdr:col>
      <xdr:colOff>300182</xdr:colOff>
      <xdr:row>47</xdr:row>
      <xdr:rowOff>21877</xdr:rowOff>
    </xdr:from>
    <xdr:to>
      <xdr:col>11</xdr:col>
      <xdr:colOff>126999</xdr:colOff>
      <xdr:row>50</xdr:row>
      <xdr:rowOff>99859</xdr:rowOff>
    </xdr:to>
    <xdr:sp macro="[0]!resetall" textlink="">
      <xdr:nvSpPr>
        <xdr:cNvPr id="4" name="Rectangle: Rounded Corners 3">
          <a:extLst>
            <a:ext uri="{FF2B5EF4-FFF2-40B4-BE49-F238E27FC236}">
              <a16:creationId xmlns:a16="http://schemas.microsoft.com/office/drawing/2014/main" id="{00000000-0008-0000-0000-000004000000}"/>
            </a:ext>
          </a:extLst>
        </xdr:cNvPr>
        <xdr:cNvSpPr/>
      </xdr:nvSpPr>
      <xdr:spPr>
        <a:xfrm>
          <a:off x="5126182" y="8784877"/>
          <a:ext cx="2355272" cy="63216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fi-FI" sz="2800" b="1"/>
            <a:t>Refresh</a:t>
          </a:r>
          <a:endParaRPr lang="fi-FI" sz="1100" b="1"/>
        </a:p>
      </xdr:txBody>
    </xdr:sp>
    <xdr:clientData/>
  </xdr:twoCellAnchor>
  <xdr:twoCellAnchor>
    <xdr:from>
      <xdr:col>0</xdr:col>
      <xdr:colOff>0</xdr:colOff>
      <xdr:row>47</xdr:row>
      <xdr:rowOff>21877</xdr:rowOff>
    </xdr:from>
    <xdr:to>
      <xdr:col>2</xdr:col>
      <xdr:colOff>573425</xdr:colOff>
      <xdr:row>50</xdr:row>
      <xdr:rowOff>99859</xdr:rowOff>
    </xdr:to>
    <xdr:sp macro="[0]!toPDF"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0" y="8784877"/>
          <a:ext cx="2339880" cy="63216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fi-FI" sz="2800" b="1"/>
            <a:t>Print to PDF</a:t>
          </a:r>
          <a:endParaRPr lang="fi-FI" sz="1100" b="1"/>
        </a:p>
      </xdr:txBody>
    </xdr:sp>
    <xdr:clientData/>
  </xdr:twoCellAnchor>
  <xdr:twoCellAnchor>
    <xdr:from>
      <xdr:col>3</xdr:col>
      <xdr:colOff>182804</xdr:colOff>
      <xdr:row>47</xdr:row>
      <xdr:rowOff>21877</xdr:rowOff>
    </xdr:from>
    <xdr:to>
      <xdr:col>7</xdr:col>
      <xdr:colOff>78895</xdr:colOff>
      <xdr:row>50</xdr:row>
      <xdr:rowOff>99859</xdr:rowOff>
    </xdr:to>
    <xdr:sp macro="[0]!BreakANDreset" textlink="">
      <xdr:nvSpPr>
        <xdr:cNvPr id="12" name="Rectangle: Rounded Corners 11">
          <a:extLst>
            <a:ext uri="{FF2B5EF4-FFF2-40B4-BE49-F238E27FC236}">
              <a16:creationId xmlns:a16="http://schemas.microsoft.com/office/drawing/2014/main" id="{00000000-0008-0000-0000-00000C000000}"/>
            </a:ext>
          </a:extLst>
        </xdr:cNvPr>
        <xdr:cNvSpPr/>
      </xdr:nvSpPr>
      <xdr:spPr>
        <a:xfrm>
          <a:off x="2561168" y="8784877"/>
          <a:ext cx="2343727" cy="63216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fi-FI" sz="2000" b="1"/>
            <a:t>Break even analysis</a:t>
          </a:r>
          <a:endParaRPr lang="fi-FI" sz="1000" b="1"/>
        </a:p>
      </xdr:txBody>
    </xdr:sp>
    <xdr:clientData/>
  </xdr:twoCellAnchor>
  <mc:AlternateContent xmlns:mc="http://schemas.openxmlformats.org/markup-compatibility/2006">
    <mc:Choice xmlns:a14="http://schemas.microsoft.com/office/drawing/2010/main" Requires="a14">
      <xdr:twoCellAnchor editAs="oneCell">
        <xdr:from>
          <xdr:col>14</xdr:col>
          <xdr:colOff>476250</xdr:colOff>
          <xdr:row>59</xdr:row>
          <xdr:rowOff>139700</xdr:rowOff>
        </xdr:from>
        <xdr:to>
          <xdr:col>14</xdr:col>
          <xdr:colOff>768350</xdr:colOff>
          <xdr:row>61</xdr:row>
          <xdr:rowOff>50800</xdr:rowOff>
        </xdr:to>
        <xdr:sp macro="" textlink="">
          <xdr:nvSpPr>
            <xdr:cNvPr id="1031" name="Option 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476250</xdr:colOff>
          <xdr:row>60</xdr:row>
          <xdr:rowOff>152400</xdr:rowOff>
        </xdr:from>
        <xdr:to>
          <xdr:col>14</xdr:col>
          <xdr:colOff>768350</xdr:colOff>
          <xdr:row>62</xdr:row>
          <xdr:rowOff>57150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476250</xdr:colOff>
          <xdr:row>52</xdr:row>
          <xdr:rowOff>165100</xdr:rowOff>
        </xdr:from>
        <xdr:to>
          <xdr:col>14</xdr:col>
          <xdr:colOff>768350</xdr:colOff>
          <xdr:row>54</xdr:row>
          <xdr:rowOff>50800</xdr:rowOff>
        </xdr:to>
        <xdr:sp macro="" textlink="">
          <xdr:nvSpPr>
            <xdr:cNvPr id="1034" name="Option 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476250</xdr:colOff>
          <xdr:row>53</xdr:row>
          <xdr:rowOff>152400</xdr:rowOff>
        </xdr:from>
        <xdr:to>
          <xdr:col>14</xdr:col>
          <xdr:colOff>768350</xdr:colOff>
          <xdr:row>55</xdr:row>
          <xdr:rowOff>57150</xdr:rowOff>
        </xdr:to>
        <xdr:sp macro="" textlink="">
          <xdr:nvSpPr>
            <xdr:cNvPr id="1042" name="Option 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476250</xdr:colOff>
          <xdr:row>54</xdr:row>
          <xdr:rowOff>158750</xdr:rowOff>
        </xdr:from>
        <xdr:to>
          <xdr:col>14</xdr:col>
          <xdr:colOff>768350</xdr:colOff>
          <xdr:row>56</xdr:row>
          <xdr:rowOff>57150</xdr:rowOff>
        </xdr:to>
        <xdr:sp macro="" textlink="">
          <xdr:nvSpPr>
            <xdr:cNvPr id="1043" name="Option 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476250</xdr:colOff>
          <xdr:row>55</xdr:row>
          <xdr:rowOff>165100</xdr:rowOff>
        </xdr:from>
        <xdr:to>
          <xdr:col>14</xdr:col>
          <xdr:colOff>768350</xdr:colOff>
          <xdr:row>57</xdr:row>
          <xdr:rowOff>44450</xdr:rowOff>
        </xdr:to>
        <xdr:sp macro="" textlink="">
          <xdr:nvSpPr>
            <xdr:cNvPr id="1044" name="Option 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476250</xdr:colOff>
          <xdr:row>56</xdr:row>
          <xdr:rowOff>146050</xdr:rowOff>
        </xdr:from>
        <xdr:to>
          <xdr:col>14</xdr:col>
          <xdr:colOff>768350</xdr:colOff>
          <xdr:row>58</xdr:row>
          <xdr:rowOff>57150</xdr:rowOff>
        </xdr:to>
        <xdr:sp macro="" textlink="">
          <xdr:nvSpPr>
            <xdr:cNvPr id="1045" name="Option 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476250</xdr:colOff>
          <xdr:row>57</xdr:row>
          <xdr:rowOff>152400</xdr:rowOff>
        </xdr:from>
        <xdr:to>
          <xdr:col>14</xdr:col>
          <xdr:colOff>768350</xdr:colOff>
          <xdr:row>59</xdr:row>
          <xdr:rowOff>50800</xdr:rowOff>
        </xdr:to>
        <xdr:sp macro="" textlink="">
          <xdr:nvSpPr>
            <xdr:cNvPr id="1046" name="Option 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476250</xdr:colOff>
          <xdr:row>58</xdr:row>
          <xdr:rowOff>165100</xdr:rowOff>
        </xdr:from>
        <xdr:to>
          <xdr:col>14</xdr:col>
          <xdr:colOff>768350</xdr:colOff>
          <xdr:row>60</xdr:row>
          <xdr:rowOff>38100</xdr:rowOff>
        </xdr:to>
        <xdr:sp macro="" textlink="">
          <xdr:nvSpPr>
            <xdr:cNvPr id="1047" name="Option 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25400</xdr:colOff>
      <xdr:row>15</xdr:row>
      <xdr:rowOff>25400</xdr:rowOff>
    </xdr:from>
    <xdr:to>
      <xdr:col>4</xdr:col>
      <xdr:colOff>1193800</xdr:colOff>
      <xdr:row>21</xdr:row>
      <xdr:rowOff>127000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35000" y="2641600"/>
          <a:ext cx="4083050" cy="120650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fi-FI" sz="1100"/>
            <a:t>Increasing Condominium and decreasing</a:t>
          </a:r>
          <a:r>
            <a:rPr lang="fi-FI" sz="1100" baseline="0"/>
            <a:t> rent by a small amount does not affect total extra money needed, but if refrigerator change costs 1000 € and 1500€ worth of repairs must be done to apartment 2 total extra money needed increases.</a:t>
          </a:r>
        </a:p>
        <a:p>
          <a:endParaRPr lang="fi-FI"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87"/>
  <sheetViews>
    <sheetView tabSelected="1" topLeftCell="A4" zoomScale="55" zoomScaleNormal="55" workbookViewId="0"/>
  </sheetViews>
  <sheetFormatPr defaultRowHeight="14.5" x14ac:dyDescent="0.35"/>
  <cols>
    <col min="1" max="1" width="17" bestFit="1" customWidth="1"/>
    <col min="2" max="2" width="8.1796875" bestFit="1" customWidth="1"/>
    <col min="8" max="8" width="8.7265625" bestFit="1" customWidth="1"/>
    <col min="10" max="10" width="10.81640625" bestFit="1" customWidth="1"/>
    <col min="12" max="12" width="10.1796875" bestFit="1" customWidth="1"/>
    <col min="13" max="13" width="10.36328125" customWidth="1"/>
    <col min="14" max="14" width="9.90625" hidden="1" customWidth="1"/>
    <col min="15" max="15" width="15.6328125" customWidth="1"/>
    <col min="16" max="16" width="7.81640625" customWidth="1"/>
    <col min="17" max="17" width="15.6328125" bestFit="1" customWidth="1"/>
    <col min="18" max="18" width="11.6328125" bestFit="1" customWidth="1"/>
    <col min="19" max="19" width="8.7265625" hidden="1" customWidth="1"/>
    <col min="20" max="20" width="12.81640625" hidden="1" customWidth="1"/>
    <col min="21" max="21" width="8.7265625" customWidth="1"/>
    <col min="22" max="22" width="7.90625" customWidth="1"/>
    <col min="23" max="23" width="7.90625" bestFit="1" customWidth="1"/>
    <col min="24" max="24" width="9.90625" bestFit="1" customWidth="1"/>
  </cols>
  <sheetData>
    <row r="1" spans="1:25" x14ac:dyDescent="0.35">
      <c r="A1" s="3"/>
      <c r="B1" s="15" t="s">
        <v>3</v>
      </c>
      <c r="C1" s="15" t="s">
        <v>4</v>
      </c>
      <c r="D1" s="15" t="s">
        <v>5</v>
      </c>
      <c r="E1" s="15" t="s">
        <v>6</v>
      </c>
      <c r="F1" s="15" t="s">
        <v>7</v>
      </c>
      <c r="G1" s="15" t="s">
        <v>8</v>
      </c>
      <c r="H1" s="15" t="s">
        <v>9</v>
      </c>
      <c r="I1" s="15" t="s">
        <v>10</v>
      </c>
      <c r="J1" s="15" t="s">
        <v>11</v>
      </c>
      <c r="K1" s="15" t="s">
        <v>12</v>
      </c>
      <c r="L1" s="15" t="s">
        <v>13</v>
      </c>
      <c r="M1" s="88" t="s">
        <v>14</v>
      </c>
      <c r="O1" s="100" t="s">
        <v>18</v>
      </c>
      <c r="P1" s="100"/>
      <c r="Q1" s="100"/>
      <c r="R1" s="100"/>
      <c r="S1">
        <f>IF(O3=B1,1,IF(O3=C1,2,IF(O3=D1,3,IF(O3=E1,4,IF(O3=F1,5,IF(O3=G1,6,IF(O3=H1,7,IF(O3=I1,8,IF(O3=J1,9,IF(O3=K1,10,IF(O3=L1,11,IF(O3=M1,12,""))))))))))))</f>
        <v>1</v>
      </c>
      <c r="T1">
        <f>IF(Q3=B1,1,IF(Q3=C1,2,IF(Q3=D1,3,IF(Q3=E1,4,IF(Q3=F1,5,IF(Q3=G1,6,IF(Q3=H1,7,IF(Q3=I1,8,IF(Q3=J1,9,IF(Q3=K1,10,IF(Q3=L1,11,IF(Q3=M1,12,""))))))))))))</f>
        <v>3</v>
      </c>
    </row>
    <row r="2" spans="1:25" x14ac:dyDescent="0.35">
      <c r="A2" s="6" t="s">
        <v>18</v>
      </c>
      <c r="B2" s="16">
        <v>1</v>
      </c>
      <c r="C2" s="16">
        <v>2</v>
      </c>
      <c r="D2" s="16">
        <v>3</v>
      </c>
      <c r="E2" s="16">
        <v>4</v>
      </c>
      <c r="F2" s="16">
        <v>5</v>
      </c>
      <c r="G2" s="16">
        <v>6</v>
      </c>
      <c r="H2" s="16">
        <v>7</v>
      </c>
      <c r="I2" s="16">
        <v>8</v>
      </c>
      <c r="J2" s="16">
        <v>9</v>
      </c>
      <c r="K2" s="16">
        <v>10</v>
      </c>
      <c r="L2" s="16">
        <v>11</v>
      </c>
      <c r="M2" s="89">
        <v>12</v>
      </c>
      <c r="O2" s="103" t="s">
        <v>36</v>
      </c>
      <c r="P2" s="103"/>
      <c r="Q2" s="101" t="s">
        <v>63</v>
      </c>
      <c r="R2" s="102"/>
      <c r="S2">
        <f>IF(O13=B1,1,IF(O13=C1,2,IF(O13=D1,3,IF(O13=E1,4,IF(O13=F1,5,IF(O13=G1,6,IF(O13=H1,7,IF(O13=I1,8,IF(O13=J1,9,IF(O13=K1,10,IF(O13=L1,11,IF(O13=M1,12,""))))))))))))</f>
        <v>3</v>
      </c>
      <c r="T2">
        <f>IF(Q13=B1,1,IF(Q13=C1,2,IF(Q13=D1,3,IF(Q13=E1,4,IF(Q13=F1,5,IF(Q13=G1,6,IF(Q13=H1,7,IF(Q13=I1,8,IF(Q13=J1,9,IF(Q13=K1,10,IF(Q13=L1,11,IF(Q13=M1,12,""))))))))))))</f>
        <v>1</v>
      </c>
      <c r="Y2" s="1"/>
    </row>
    <row r="3" spans="1:25" x14ac:dyDescent="0.35">
      <c r="A3" s="3" t="s">
        <v>15</v>
      </c>
      <c r="B3" s="1">
        <f>IF($S$1&lt;=1,$P$4*(1+$Q$41),"")</f>
        <v>345</v>
      </c>
      <c r="C3" s="1">
        <f>IF($S$1&lt;=2,$P$4*(1+$Q$41),"")</f>
        <v>345</v>
      </c>
      <c r="D3" s="1">
        <f>IF($S$1&lt;=3,$P$4*(1+$Q$41),"")</f>
        <v>345</v>
      </c>
      <c r="E3" s="1">
        <f>IF($S$1&lt;=4,$P$4*(1+$Q$41),"")</f>
        <v>345</v>
      </c>
      <c r="F3" s="1">
        <f>IF($S$1&lt;=5,$P$4*(1+$Q$41),"")</f>
        <v>345</v>
      </c>
      <c r="G3" s="1">
        <f>IF($S$1&lt;=6,$P$4*(1+$Q$41),"")</f>
        <v>345</v>
      </c>
      <c r="H3" s="1">
        <f>IF($S$1&lt;=7,$P$4*(1+$Q$41),"")</f>
        <v>345</v>
      </c>
      <c r="I3" s="1">
        <f>IF($S$1&lt;=8,$P$4*(1+$Q$41),"")</f>
        <v>345</v>
      </c>
      <c r="J3" s="1">
        <f>IF($S$1&lt;=9,$P$4*(1+$Q$41),"")</f>
        <v>345</v>
      </c>
      <c r="K3" s="1">
        <f>IF($S$1&lt;=10,$P$4*(1+$Q$41),"")</f>
        <v>345</v>
      </c>
      <c r="L3" s="1">
        <f>IF($S$1&lt;=11,$P$4*(1+$Q$41),"")</f>
        <v>345</v>
      </c>
      <c r="M3" s="7">
        <f>IF($S$1&lt;=12,$P$4*(1+$Q$41),"")</f>
        <v>345</v>
      </c>
      <c r="N3" s="1"/>
      <c r="O3" s="109" t="s">
        <v>3</v>
      </c>
      <c r="P3" s="109"/>
      <c r="Q3" s="112" t="s">
        <v>5</v>
      </c>
      <c r="R3" s="113"/>
      <c r="S3">
        <f>IF(O23=B1,1,IF(O23=C1,2,IF(O23=D1,3,IF(O23=E1,4,IF(O23=F1,5,IF(O23=G1,6,IF(O23=H1,7,IF(O23=I1,8,IF(O23=J1,9,IF(O23=K1,10,IF(O23=L1,11,IF(O23=M1,12,""))))))))))))</f>
        <v>1</v>
      </c>
      <c r="T3" t="str">
        <f>IF(Q23=B1,1,IF(Q23=C1,2,IF(Q23=D1,3,IF(Q23=E1,4,IF(Q23=F1,5,IF(Q23=G1,6,IF(Q23=H1,7,IF(Q23=I1,8,IF(Q23=J1,9,IF(Q23=K1,10,IF(Q23=L1,11,IF(Q23=M1,12,""))))))))))))</f>
        <v/>
      </c>
      <c r="U3" s="18"/>
    </row>
    <row r="4" spans="1:25" x14ac:dyDescent="0.35">
      <c r="A4" s="3" t="s">
        <v>0</v>
      </c>
      <c r="B4" s="1">
        <f>IF($S$1&lt;=1,$P$5,"")</f>
        <v>20</v>
      </c>
      <c r="C4" s="1">
        <f>IF($S$1&lt;=2,$P$5,"")</f>
        <v>20</v>
      </c>
      <c r="D4" s="1">
        <f>IF($S$1&lt;=3,$P$5,"")</f>
        <v>20</v>
      </c>
      <c r="E4" s="1">
        <f>IF($S$1&lt;=4,$P$5,"")</f>
        <v>20</v>
      </c>
      <c r="F4" s="1">
        <f>IF($S$1&lt;=5,$P$5,"")</f>
        <v>20</v>
      </c>
      <c r="G4" s="1">
        <f>IF($S$1&lt;=6,$P$5,"")</f>
        <v>20</v>
      </c>
      <c r="H4" s="1">
        <f>IF($S$1&lt;=7,$P$5,"")</f>
        <v>20</v>
      </c>
      <c r="I4" s="1">
        <f>IF($S$1&lt;=8,$P$5,"")</f>
        <v>20</v>
      </c>
      <c r="J4" s="1">
        <f>IF($S$1&lt;=9,$P$5,"")</f>
        <v>20</v>
      </c>
      <c r="K4" s="1">
        <f>IF($S$1&lt;=10,$P$5,"")</f>
        <v>20</v>
      </c>
      <c r="L4" s="1">
        <f>IF($S$1&lt;=11,$P$5,"")</f>
        <v>20</v>
      </c>
      <c r="M4" s="7">
        <f>IF($S$1&lt;=12,$P$5,"")</f>
        <v>20</v>
      </c>
      <c r="O4" s="21" t="s">
        <v>15</v>
      </c>
      <c r="P4" s="13">
        <v>345</v>
      </c>
      <c r="Q4" s="21" t="s">
        <v>17</v>
      </c>
      <c r="R4" s="13">
        <v>-700</v>
      </c>
      <c r="T4" s="28"/>
    </row>
    <row r="5" spans="1:25" x14ac:dyDescent="0.35">
      <c r="A5" s="3" t="s">
        <v>16</v>
      </c>
      <c r="B5" s="1">
        <f t="shared" ref="B5:M5" si="0">$P$6</f>
        <v>0</v>
      </c>
      <c r="C5" s="1">
        <f t="shared" si="0"/>
        <v>0</v>
      </c>
      <c r="D5" s="1">
        <f t="shared" si="0"/>
        <v>0</v>
      </c>
      <c r="E5" s="1">
        <f t="shared" si="0"/>
        <v>0</v>
      </c>
      <c r="F5" s="1">
        <f t="shared" si="0"/>
        <v>0</v>
      </c>
      <c r="G5" s="1">
        <f t="shared" si="0"/>
        <v>0</v>
      </c>
      <c r="H5" s="1">
        <f t="shared" si="0"/>
        <v>0</v>
      </c>
      <c r="I5" s="1">
        <f t="shared" si="0"/>
        <v>0</v>
      </c>
      <c r="J5" s="1">
        <f t="shared" si="0"/>
        <v>0</v>
      </c>
      <c r="K5" s="1">
        <f t="shared" si="0"/>
        <v>0</v>
      </c>
      <c r="L5" s="1">
        <f t="shared" si="0"/>
        <v>0</v>
      </c>
      <c r="M5" s="7">
        <f t="shared" si="0"/>
        <v>0</v>
      </c>
      <c r="N5" s="52"/>
      <c r="O5" s="21" t="s">
        <v>0</v>
      </c>
      <c r="P5" s="13">
        <v>20</v>
      </c>
      <c r="Q5" s="20"/>
      <c r="R5" s="20"/>
      <c r="T5" s="28"/>
    </row>
    <row r="6" spans="1:25" x14ac:dyDescent="0.35">
      <c r="A6" s="3"/>
      <c r="M6" s="90"/>
      <c r="O6" s="21" t="s">
        <v>16</v>
      </c>
      <c r="P6" s="13">
        <v>0</v>
      </c>
      <c r="Q6" s="20"/>
      <c r="R6" s="20"/>
      <c r="T6" s="28"/>
      <c r="U6" s="18"/>
      <c r="V6" s="19"/>
      <c r="W6" s="28"/>
      <c r="X6" s="18"/>
    </row>
    <row r="7" spans="1:25" x14ac:dyDescent="0.35">
      <c r="A7" s="3" t="s">
        <v>1</v>
      </c>
      <c r="B7" s="1">
        <f t="shared" ref="B7:M7" si="1">$P$9</f>
        <v>-122</v>
      </c>
      <c r="C7" s="1">
        <f t="shared" si="1"/>
        <v>-122</v>
      </c>
      <c r="D7" s="1">
        <f t="shared" si="1"/>
        <v>-122</v>
      </c>
      <c r="E7" s="1">
        <f t="shared" si="1"/>
        <v>-122</v>
      </c>
      <c r="F7" s="1">
        <f t="shared" si="1"/>
        <v>-122</v>
      </c>
      <c r="G7" s="1">
        <f t="shared" si="1"/>
        <v>-122</v>
      </c>
      <c r="H7" s="1">
        <f t="shared" si="1"/>
        <v>-122</v>
      </c>
      <c r="I7" s="1">
        <f t="shared" si="1"/>
        <v>-122</v>
      </c>
      <c r="J7" s="1">
        <f t="shared" si="1"/>
        <v>-122</v>
      </c>
      <c r="K7" s="1">
        <f t="shared" si="1"/>
        <v>-122</v>
      </c>
      <c r="L7" s="1">
        <f t="shared" si="1"/>
        <v>-122</v>
      </c>
      <c r="M7" s="7">
        <f t="shared" si="1"/>
        <v>-122</v>
      </c>
      <c r="O7" s="21" t="s">
        <v>0</v>
      </c>
      <c r="P7" s="13">
        <v>-20</v>
      </c>
      <c r="Q7" s="20"/>
      <c r="R7" s="20"/>
      <c r="T7" s="28"/>
      <c r="U7" s="18"/>
      <c r="V7" s="19"/>
      <c r="W7" s="28"/>
      <c r="X7" s="18"/>
    </row>
    <row r="8" spans="1:25" x14ac:dyDescent="0.35">
      <c r="A8" s="3" t="s">
        <v>2</v>
      </c>
      <c r="B8" s="1">
        <f t="shared" ref="B8:M8" si="2">$P$10</f>
        <v>-43</v>
      </c>
      <c r="C8" s="1">
        <f t="shared" si="2"/>
        <v>-43</v>
      </c>
      <c r="D8" s="1">
        <f t="shared" si="2"/>
        <v>-43</v>
      </c>
      <c r="E8" s="1">
        <f t="shared" si="2"/>
        <v>-43</v>
      </c>
      <c r="F8" s="1">
        <f t="shared" si="2"/>
        <v>-43</v>
      </c>
      <c r="G8" s="1">
        <f t="shared" si="2"/>
        <v>-43</v>
      </c>
      <c r="H8" s="1">
        <f t="shared" si="2"/>
        <v>-43</v>
      </c>
      <c r="I8" s="1">
        <f t="shared" si="2"/>
        <v>-43</v>
      </c>
      <c r="J8" s="1">
        <f t="shared" si="2"/>
        <v>-43</v>
      </c>
      <c r="K8" s="1">
        <f t="shared" si="2"/>
        <v>-43</v>
      </c>
      <c r="L8" s="1">
        <f t="shared" si="2"/>
        <v>-43</v>
      </c>
      <c r="M8" s="7">
        <f t="shared" si="2"/>
        <v>-43</v>
      </c>
      <c r="O8" s="115" t="s">
        <v>37</v>
      </c>
      <c r="P8" s="115"/>
      <c r="Q8" s="20"/>
      <c r="R8" s="20"/>
      <c r="T8" s="28"/>
      <c r="U8" s="18"/>
      <c r="V8" s="19"/>
      <c r="W8" s="28"/>
      <c r="X8" s="18"/>
    </row>
    <row r="9" spans="1:25" x14ac:dyDescent="0.35">
      <c r="A9" s="3" t="s">
        <v>0</v>
      </c>
      <c r="B9" s="1">
        <f>IF($S$1&lt;=1,$P$7,"")</f>
        <v>-20</v>
      </c>
      <c r="C9" s="1">
        <f>IF($S$1&lt;=2,$P$7,"")</f>
        <v>-20</v>
      </c>
      <c r="D9" s="1">
        <f>IF($S$1&lt;=3,$P$7,"")</f>
        <v>-20</v>
      </c>
      <c r="E9" s="1">
        <f>IF($S$1&lt;=4,$P$7,"")</f>
        <v>-20</v>
      </c>
      <c r="F9" s="1">
        <f>IF($S$1&lt;=5,$P$7,"")</f>
        <v>-20</v>
      </c>
      <c r="G9" s="1">
        <f>IF($S$1&lt;=6,$P$7,"")</f>
        <v>-20</v>
      </c>
      <c r="H9" s="1">
        <f>IF($S$1&lt;=7,$P$7,"")</f>
        <v>-20</v>
      </c>
      <c r="I9" s="1">
        <f>IF($S$1&lt;=8,$P$7,"")</f>
        <v>-20</v>
      </c>
      <c r="J9" s="1">
        <f>IF($S$1&lt;=9,$P$7,"")</f>
        <v>-20</v>
      </c>
      <c r="K9" s="1">
        <f>IF($S$1&lt;=10,$P$7,"")</f>
        <v>-20</v>
      </c>
      <c r="L9" s="1">
        <f>IF($S$1&lt;=11,$P$7,"")</f>
        <v>-20</v>
      </c>
      <c r="M9" s="7">
        <f>IF($S$1&lt;=12,$P$7,"")</f>
        <v>-20</v>
      </c>
      <c r="O9" s="57" t="s">
        <v>1</v>
      </c>
      <c r="P9" s="13">
        <v>-122</v>
      </c>
      <c r="Q9" s="21"/>
      <c r="R9" s="21"/>
      <c r="T9" s="28"/>
      <c r="U9" s="18"/>
      <c r="V9" s="19"/>
      <c r="W9" s="28"/>
      <c r="X9" s="18"/>
    </row>
    <row r="10" spans="1:25" x14ac:dyDescent="0.35">
      <c r="A10" s="2" t="s">
        <v>17</v>
      </c>
      <c r="B10" s="2" t="str">
        <f>IF($T$1=B2,$R$4,"")</f>
        <v/>
      </c>
      <c r="C10" s="2" t="str">
        <f t="shared" ref="C10:M10" si="3">IF($T$1=C2,$R$4,"")</f>
        <v/>
      </c>
      <c r="D10" s="2">
        <f t="shared" si="3"/>
        <v>-700</v>
      </c>
      <c r="E10" s="2" t="str">
        <f t="shared" si="3"/>
        <v/>
      </c>
      <c r="F10" s="2" t="str">
        <f t="shared" si="3"/>
        <v/>
      </c>
      <c r="G10" s="2" t="str">
        <f>IF($T$1=G2,$R$4,"")</f>
        <v/>
      </c>
      <c r="H10" s="2" t="str">
        <f t="shared" si="3"/>
        <v/>
      </c>
      <c r="I10" s="2" t="str">
        <f t="shared" si="3"/>
        <v/>
      </c>
      <c r="J10" s="2" t="str">
        <f t="shared" si="3"/>
        <v/>
      </c>
      <c r="K10" s="2" t="str">
        <f t="shared" si="3"/>
        <v/>
      </c>
      <c r="L10" s="2" t="str">
        <f t="shared" si="3"/>
        <v/>
      </c>
      <c r="M10" s="91" t="str">
        <f t="shared" si="3"/>
        <v/>
      </c>
      <c r="N10" s="2"/>
      <c r="O10" s="21" t="s">
        <v>2</v>
      </c>
      <c r="P10" s="13">
        <v>-43</v>
      </c>
      <c r="Q10" s="20"/>
      <c r="R10" s="20"/>
      <c r="T10" s="28"/>
      <c r="W10" s="28"/>
      <c r="X10" s="18"/>
    </row>
    <row r="11" spans="1:25" x14ac:dyDescent="0.35">
      <c r="A11" s="3"/>
      <c r="M11" s="90"/>
      <c r="N11" s="1"/>
      <c r="O11" s="116" t="s">
        <v>19</v>
      </c>
      <c r="P11" s="116"/>
      <c r="Q11" s="116"/>
      <c r="R11" s="116"/>
      <c r="T11" s="28"/>
      <c r="U11" s="18"/>
      <c r="V11" s="19"/>
      <c r="W11" s="28"/>
      <c r="X11" s="18"/>
    </row>
    <row r="12" spans="1:25" x14ac:dyDescent="0.35">
      <c r="A12" s="6" t="s">
        <v>19</v>
      </c>
      <c r="M12" s="90"/>
      <c r="O12" s="114" t="s">
        <v>36</v>
      </c>
      <c r="P12" s="114"/>
      <c r="Q12" s="117" t="s">
        <v>63</v>
      </c>
      <c r="R12" s="118"/>
      <c r="T12" s="28"/>
      <c r="U12" s="18"/>
      <c r="V12" s="19"/>
      <c r="W12" s="28"/>
      <c r="X12" s="18"/>
    </row>
    <row r="13" spans="1:25" x14ac:dyDescent="0.35">
      <c r="A13" s="3" t="s">
        <v>15</v>
      </c>
      <c r="B13" s="1" t="str">
        <f>IF($S$2&lt;=1,$P$14*(1+$Q$41),"")</f>
        <v/>
      </c>
      <c r="C13" s="1" t="str">
        <f>IF($S$2&lt;=2,$P$14*(1+$Q$41),"")</f>
        <v/>
      </c>
      <c r="D13" s="1">
        <f>IF($S$2&lt;=3,$P$14*(1+$Q$41),"")</f>
        <v>440</v>
      </c>
      <c r="E13" s="1">
        <f>IF($S$2&lt;=4,$P$14*(1+$Q$41),"")</f>
        <v>440</v>
      </c>
      <c r="F13" s="1">
        <f>IF($S$2&lt;=4,$P$14*(1+$Q$41),"")</f>
        <v>440</v>
      </c>
      <c r="G13" s="1">
        <f>IF($S$2&lt;=6,$P$14*(1+$Q$41),"")</f>
        <v>440</v>
      </c>
      <c r="H13" s="1">
        <f>IF($S$2&lt;=7,$P$14*(1+$Q$41),"")</f>
        <v>440</v>
      </c>
      <c r="I13" s="1">
        <f>IF($S$2&lt;=8,$P$14*(1+$Q$41),"")</f>
        <v>440</v>
      </c>
      <c r="J13" s="1">
        <f>IF($S$2&lt;=9,$P$14*(1+$Q$41),"")</f>
        <v>440</v>
      </c>
      <c r="K13" s="1">
        <f>IF($S$2&lt;=10,$P$14*(1+$Q$41),"")</f>
        <v>440</v>
      </c>
      <c r="L13" s="1">
        <f>IF($S$2&lt;=11,$P$14*(1+$Q$41),"")</f>
        <v>440</v>
      </c>
      <c r="M13" s="7">
        <f>IF($S$2&lt;=12,$P$14*(1+$Q$41*(1+$X$2)),"")</f>
        <v>440</v>
      </c>
      <c r="N13" s="51"/>
      <c r="O13" s="111" t="s">
        <v>5</v>
      </c>
      <c r="P13" s="111"/>
      <c r="Q13" s="124" t="s">
        <v>3</v>
      </c>
      <c r="R13" s="125"/>
      <c r="T13" s="28"/>
      <c r="U13" s="28"/>
      <c r="V13" s="28"/>
      <c r="W13" s="28"/>
      <c r="X13" s="18"/>
    </row>
    <row r="14" spans="1:25" x14ac:dyDescent="0.35">
      <c r="A14" s="3" t="s">
        <v>0</v>
      </c>
      <c r="B14" s="1" t="str">
        <f>IF($S$2&lt;=1,$P$15,"")</f>
        <v/>
      </c>
      <c r="C14" s="1" t="str">
        <f>IF($S$2&lt;=2,$P$15,"")</f>
        <v/>
      </c>
      <c r="D14" s="1">
        <f>IF($S$2&lt;=3,$P$15,"")</f>
        <v>0</v>
      </c>
      <c r="E14" s="1">
        <f>IF($S$2&lt;=4,$P$15,"")</f>
        <v>0</v>
      </c>
      <c r="F14" s="1">
        <f>IF($S$2&lt;=4,$P$15,"")</f>
        <v>0</v>
      </c>
      <c r="G14" s="1">
        <f>IF($S$2&lt;=6,$P$15,"")</f>
        <v>0</v>
      </c>
      <c r="H14" s="1">
        <f>IF($S$2&lt;=7,$P$15,"")</f>
        <v>0</v>
      </c>
      <c r="I14" s="1">
        <f>IF($S$2&lt;=8,$P$15,"")</f>
        <v>0</v>
      </c>
      <c r="J14" s="1">
        <f>IF($S$2&lt;=9,$P$15,"")</f>
        <v>0</v>
      </c>
      <c r="K14" s="1">
        <f>IF($S$2&lt;=10,$P$15,"")</f>
        <v>0</v>
      </c>
      <c r="L14" s="1">
        <f>IF($S$2&lt;=11,$P$15,"")</f>
        <v>0</v>
      </c>
      <c r="M14" s="7">
        <f>IF($S$2&lt;=12,$P$15,"")</f>
        <v>0</v>
      </c>
      <c r="N14" s="28"/>
      <c r="O14" s="43" t="s">
        <v>15</v>
      </c>
      <c r="P14" s="13">
        <v>440</v>
      </c>
      <c r="Q14" s="25" t="s">
        <v>17</v>
      </c>
      <c r="R14" s="13"/>
      <c r="T14" s="28"/>
      <c r="U14" s="28"/>
      <c r="V14" s="28"/>
      <c r="W14" s="28"/>
    </row>
    <row r="15" spans="1:25" x14ac:dyDescent="0.35">
      <c r="A15" s="3" t="s">
        <v>16</v>
      </c>
      <c r="B15" s="1" t="str">
        <f>IF($S$2&lt;=1,$P$16,"")</f>
        <v/>
      </c>
      <c r="C15" s="1" t="str">
        <f>IF($S$2&lt;=2,$P$16,"")</f>
        <v/>
      </c>
      <c r="D15" s="1">
        <f>IF($S$2&lt;=3,$P$16,"")</f>
        <v>0</v>
      </c>
      <c r="E15" s="1">
        <f>IF($S$2&lt;=4,$P$16,"")</f>
        <v>0</v>
      </c>
      <c r="F15" s="1">
        <f>IF($S$2&lt;=4,$P$16,"")</f>
        <v>0</v>
      </c>
      <c r="G15" s="1">
        <f>IF($S$2&lt;=6,$P$16,"")</f>
        <v>0</v>
      </c>
      <c r="H15" s="1">
        <f>IF($S$2&lt;=7,$P$16,"")</f>
        <v>0</v>
      </c>
      <c r="I15" s="1">
        <f>IF($S$2&lt;=8,$P$16,"")</f>
        <v>0</v>
      </c>
      <c r="J15" s="1">
        <f>IF($S$2&lt;=9,$P$16,"")</f>
        <v>0</v>
      </c>
      <c r="K15" s="1">
        <f>IF($S$2&lt;=10,$P$16,"")</f>
        <v>0</v>
      </c>
      <c r="L15" s="1">
        <f>IF($S$2&lt;=11,$P$16,"")</f>
        <v>0</v>
      </c>
      <c r="M15" s="7">
        <f>IF($S$2&lt;=12,$P$16,"")</f>
        <v>0</v>
      </c>
      <c r="N15" s="3"/>
      <c r="O15" s="43" t="s">
        <v>0</v>
      </c>
      <c r="P15" s="13">
        <v>0</v>
      </c>
      <c r="Q15" s="22"/>
      <c r="R15" s="22"/>
      <c r="T15" s="28"/>
      <c r="U15" s="28"/>
      <c r="V15" s="28"/>
      <c r="W15" s="28"/>
    </row>
    <row r="16" spans="1:25" x14ac:dyDescent="0.35">
      <c r="A16" s="3"/>
      <c r="B16" s="1"/>
      <c r="C16" s="1"/>
      <c r="D16" s="1"/>
      <c r="E16" s="1"/>
      <c r="F16" s="1"/>
      <c r="G16" s="1"/>
      <c r="H16" s="1"/>
      <c r="I16" s="1"/>
      <c r="J16" s="1"/>
      <c r="K16" s="1"/>
      <c r="L16" s="1"/>
      <c r="M16" s="7"/>
      <c r="N16" s="3"/>
      <c r="O16" s="43" t="s">
        <v>16</v>
      </c>
      <c r="P16" s="13">
        <v>0</v>
      </c>
      <c r="Q16" s="22"/>
      <c r="R16" s="22"/>
      <c r="U16" s="28"/>
      <c r="V16" s="28"/>
      <c r="W16" s="28"/>
    </row>
    <row r="17" spans="1:23" x14ac:dyDescent="0.35">
      <c r="A17" s="3" t="s">
        <v>1</v>
      </c>
      <c r="B17" s="1">
        <f t="shared" ref="B17:M17" si="4">$P$19</f>
        <v>-202</v>
      </c>
      <c r="C17" s="1">
        <f t="shared" si="4"/>
        <v>-202</v>
      </c>
      <c r="D17" s="1">
        <f t="shared" si="4"/>
        <v>-202</v>
      </c>
      <c r="E17" s="1">
        <f t="shared" si="4"/>
        <v>-202</v>
      </c>
      <c r="F17" s="1">
        <f t="shared" si="4"/>
        <v>-202</v>
      </c>
      <c r="G17" s="1">
        <f t="shared" si="4"/>
        <v>-202</v>
      </c>
      <c r="H17" s="1">
        <f t="shared" si="4"/>
        <v>-202</v>
      </c>
      <c r="I17" s="1">
        <f t="shared" si="4"/>
        <v>-202</v>
      </c>
      <c r="J17" s="1">
        <f t="shared" si="4"/>
        <v>-202</v>
      </c>
      <c r="K17" s="1">
        <f t="shared" si="4"/>
        <v>-202</v>
      </c>
      <c r="L17" s="1">
        <f t="shared" si="4"/>
        <v>-202</v>
      </c>
      <c r="M17" s="7">
        <f t="shared" si="4"/>
        <v>-202</v>
      </c>
      <c r="N17" s="28"/>
      <c r="O17" s="23" t="s">
        <v>0</v>
      </c>
      <c r="P17" s="13">
        <v>-40</v>
      </c>
      <c r="Q17" s="23"/>
      <c r="R17" s="23"/>
      <c r="S17" s="29"/>
      <c r="T17" s="30"/>
      <c r="U17" s="28"/>
      <c r="V17" s="28"/>
      <c r="W17" s="28"/>
    </row>
    <row r="18" spans="1:23" x14ac:dyDescent="0.35">
      <c r="A18" s="3" t="s">
        <v>2</v>
      </c>
      <c r="B18" s="1">
        <f t="shared" ref="B18:M18" si="5">$P$20</f>
        <v>0</v>
      </c>
      <c r="C18" s="1">
        <f t="shared" si="5"/>
        <v>0</v>
      </c>
      <c r="D18" s="1">
        <f t="shared" si="5"/>
        <v>0</v>
      </c>
      <c r="E18" s="1">
        <f t="shared" si="5"/>
        <v>0</v>
      </c>
      <c r="F18" s="1">
        <f t="shared" si="5"/>
        <v>0</v>
      </c>
      <c r="G18" s="1">
        <f t="shared" si="5"/>
        <v>0</v>
      </c>
      <c r="H18" s="1">
        <f t="shared" si="5"/>
        <v>0</v>
      </c>
      <c r="I18" s="1">
        <f t="shared" si="5"/>
        <v>0</v>
      </c>
      <c r="J18" s="1">
        <f t="shared" si="5"/>
        <v>0</v>
      </c>
      <c r="K18" s="1">
        <f t="shared" si="5"/>
        <v>0</v>
      </c>
      <c r="L18" s="1">
        <f t="shared" si="5"/>
        <v>0</v>
      </c>
      <c r="M18" s="7">
        <f t="shared" si="5"/>
        <v>0</v>
      </c>
      <c r="N18" s="3"/>
      <c r="O18" s="120" t="s">
        <v>37</v>
      </c>
      <c r="P18" s="120"/>
      <c r="Q18" s="22"/>
      <c r="R18" s="23"/>
      <c r="S18" s="29"/>
      <c r="T18" s="30"/>
      <c r="U18" s="28"/>
      <c r="V18" s="28"/>
      <c r="W18" s="28"/>
    </row>
    <row r="19" spans="1:23" x14ac:dyDescent="0.35">
      <c r="A19" s="3" t="s">
        <v>0</v>
      </c>
      <c r="B19" s="1" t="str">
        <f>IF($S$2&lt;=1,$P$17,"")</f>
        <v/>
      </c>
      <c r="C19" s="1" t="str">
        <f>IF($S$2&lt;=2,$P$17,"")</f>
        <v/>
      </c>
      <c r="D19" s="1">
        <f>IF($S$2&lt;=3,$P$17,"")</f>
        <v>-40</v>
      </c>
      <c r="E19" s="1">
        <f>IF($S$2&lt;=4,$P$17,"")</f>
        <v>-40</v>
      </c>
      <c r="F19" s="1">
        <f>IF($S$2&lt;=4,$P$17,"")</f>
        <v>-40</v>
      </c>
      <c r="G19" s="1">
        <f>IF($S$2&lt;=6,$P$17,"")</f>
        <v>-40</v>
      </c>
      <c r="H19" s="1">
        <f>IF($S$2&lt;=7,$P$17,"")</f>
        <v>-40</v>
      </c>
      <c r="I19" s="1">
        <f>IF($S$2&lt;=8,$P$17,"")</f>
        <v>-40</v>
      </c>
      <c r="J19" s="1">
        <f>IF($S$2&lt;=9,$P$17,"")</f>
        <v>-40</v>
      </c>
      <c r="K19" s="1">
        <f>IF($S$2&lt;=10,$P$17,"")</f>
        <v>-40</v>
      </c>
      <c r="L19" s="1">
        <f>IF($S$2&lt;=11,$P$17,"")</f>
        <v>-40</v>
      </c>
      <c r="M19" s="7">
        <f>IF($S$2&lt;=12,$P$17,"")</f>
        <v>-40</v>
      </c>
      <c r="N19" s="28"/>
      <c r="O19" s="43" t="s">
        <v>1</v>
      </c>
      <c r="P19" s="32">
        <v>-202</v>
      </c>
      <c r="Q19" s="22"/>
      <c r="R19" s="23"/>
      <c r="S19" s="29"/>
      <c r="T19" s="30"/>
      <c r="U19" s="28"/>
      <c r="V19" s="28"/>
      <c r="W19" s="28"/>
    </row>
    <row r="20" spans="1:23" x14ac:dyDescent="0.35">
      <c r="A20" s="2" t="s">
        <v>17</v>
      </c>
      <c r="B20" s="14">
        <f>IF($T$2=B2,$R$14,"")</f>
        <v>0</v>
      </c>
      <c r="C20" s="14" t="str">
        <f>IF($T$2=C2,$R$14,"")</f>
        <v/>
      </c>
      <c r="D20" s="14" t="str">
        <f>IF($T$2=D2,$R$14,"")</f>
        <v/>
      </c>
      <c r="E20" s="14" t="str">
        <f t="shared" ref="E20:M20" si="6">IF($T$2=E2,$R$14,"")</f>
        <v/>
      </c>
      <c r="F20" s="14" t="str">
        <f t="shared" si="6"/>
        <v/>
      </c>
      <c r="G20" s="14" t="str">
        <f t="shared" si="6"/>
        <v/>
      </c>
      <c r="H20" s="14" t="str">
        <f t="shared" si="6"/>
        <v/>
      </c>
      <c r="I20" s="14" t="str">
        <f t="shared" si="6"/>
        <v/>
      </c>
      <c r="J20" s="14" t="str">
        <f t="shared" si="6"/>
        <v/>
      </c>
      <c r="K20" s="14" t="str">
        <f t="shared" si="6"/>
        <v/>
      </c>
      <c r="L20" s="14" t="str">
        <f t="shared" si="6"/>
        <v/>
      </c>
      <c r="M20" s="70" t="str">
        <f t="shared" si="6"/>
        <v/>
      </c>
      <c r="N20" s="2"/>
      <c r="O20" s="43" t="s">
        <v>2</v>
      </c>
      <c r="P20" s="32">
        <v>0</v>
      </c>
      <c r="Q20" s="22"/>
      <c r="R20" s="22"/>
      <c r="S20" s="29"/>
      <c r="T20" s="30"/>
      <c r="U20" s="28"/>
      <c r="V20" s="28"/>
      <c r="W20" s="28"/>
    </row>
    <row r="21" spans="1:23" x14ac:dyDescent="0.35">
      <c r="A21" s="3"/>
      <c r="M21" s="90"/>
      <c r="O21" s="129" t="s">
        <v>20</v>
      </c>
      <c r="P21" s="129"/>
      <c r="Q21" s="129"/>
      <c r="R21" s="129"/>
      <c r="S21" s="29"/>
      <c r="T21" s="31"/>
      <c r="U21" s="29"/>
      <c r="V21" s="34"/>
      <c r="W21" s="28"/>
    </row>
    <row r="22" spans="1:23" x14ac:dyDescent="0.35">
      <c r="A22" s="6" t="s">
        <v>20</v>
      </c>
      <c r="M22" s="90"/>
      <c r="O22" s="126" t="s">
        <v>35</v>
      </c>
      <c r="P22" s="127"/>
      <c r="Q22" s="121" t="s">
        <v>64</v>
      </c>
      <c r="R22" s="122"/>
      <c r="S22" s="29"/>
      <c r="T22" s="31"/>
      <c r="U22" s="29"/>
      <c r="V22" s="34"/>
    </row>
    <row r="23" spans="1:23" x14ac:dyDescent="0.35">
      <c r="A23" s="3" t="s">
        <v>15</v>
      </c>
      <c r="B23" s="1" t="str">
        <f>IF(AND(Months=0,$R$25+$R$26&lt;=0),$P$24*(1+$Q$41),"")</f>
        <v/>
      </c>
      <c r="C23" s="1" t="str">
        <f>IF(AND(Months&lt;=2,$R$25+$R$26&lt;=1),$P$24*(1+$Q$41),"")</f>
        <v/>
      </c>
      <c r="D23" s="1" t="str">
        <f>IF(AND(Months&lt;=3,$R$25+$R$26&lt;=2),$P$24*(1+$Q$41),"")</f>
        <v/>
      </c>
      <c r="E23" s="1" t="str">
        <f>IF(AND(Months&lt;=4,$R$25+$R$26&lt;=3),$P$24*(1+$Q$41),"")</f>
        <v/>
      </c>
      <c r="F23" s="1">
        <f>IF(AND(Months&lt;=5,$R$25+$R$26&lt;=4),$P$24*(1+$Q$41),"")</f>
        <v>600</v>
      </c>
      <c r="G23" s="1">
        <f>IF(AND(Months&lt;=6,$R$25+$R$26&lt;=5),$P$24*(1+$Q$41),"")</f>
        <v>600</v>
      </c>
      <c r="H23" s="1">
        <f>IF(AND(Months&lt;=7,$R$25+$R$26&lt;=6),$P$24*(1+$Q$41),"")</f>
        <v>600</v>
      </c>
      <c r="I23" s="1">
        <f>IF(AND(Months&lt;=8,$R$25+$R$26&lt;=7),$P$24*(1+$Q$41),"")</f>
        <v>600</v>
      </c>
      <c r="J23" s="1">
        <f>IF(AND(Months&lt;=9,$R$25+$R$26&lt;=8),$P$24*(1+$Q$41),"")</f>
        <v>600</v>
      </c>
      <c r="K23" s="1">
        <f>IF(AND(Months&lt;=10,$R$25+$R$26&lt;=9),$P$24*(1+$Q$41),"")</f>
        <v>600</v>
      </c>
      <c r="L23" s="1">
        <f>IF(AND(Months&lt;=11,$R$25+$R$26&lt;=10),$P$24*(1+$Q$41),"")</f>
        <v>600</v>
      </c>
      <c r="M23" s="7">
        <f>IF(AND(Months&lt;=12,$R$25+$R$26&lt;=11),$P$24*(1+$Q$41),"")</f>
        <v>600</v>
      </c>
      <c r="O23" s="130" t="s">
        <v>3</v>
      </c>
      <c r="P23" s="131"/>
      <c r="Q23" s="112"/>
      <c r="R23" s="113"/>
      <c r="S23" s="29"/>
      <c r="T23" s="30"/>
      <c r="U23" s="29"/>
      <c r="V23" s="34"/>
    </row>
    <row r="24" spans="1:23" x14ac:dyDescent="0.35">
      <c r="A24" s="3" t="s">
        <v>0</v>
      </c>
      <c r="B24" s="1" t="str">
        <f>IF(AND(Months=0,$R$25+$R$26&lt;=0),$P$25*(1+$Q$41),"")</f>
        <v/>
      </c>
      <c r="C24" s="1" t="str">
        <f>IF(AND(Months&lt;=2,$R$25+$R$26&lt;=1),$P$25*(1+$Q$41),"")</f>
        <v/>
      </c>
      <c r="D24" s="1" t="str">
        <f>IF(AND(Months&lt;=3,$R$25+$R$26&lt;=2),$P$25*(1+$Q$41),"")</f>
        <v/>
      </c>
      <c r="E24" s="1" t="str">
        <f>IF(AND(Months&lt;=4,$R$25+$R$26&lt;=3),$P$25*(1+$Q$41),"")</f>
        <v/>
      </c>
      <c r="F24" s="1">
        <f>IF(AND(Months&lt;=5,$R$25+$R$26&lt;=4),$P$25*(1+$Q$41),"")</f>
        <v>51</v>
      </c>
      <c r="G24" s="1">
        <f>IF(AND(Months&lt;=6,$R$25+$R$26&lt;=5),$P$25*(1+$Q$41),"")</f>
        <v>51</v>
      </c>
      <c r="H24" s="1">
        <f>IF(AND(Months&lt;=7,$R$25+$R$26&lt;=6),$P$25*(1+$Q$41),"")</f>
        <v>51</v>
      </c>
      <c r="I24" s="1">
        <f>IF(AND(Months&lt;=8,$R$25+$R$26&lt;=7),$P$25*(1+$Q$41),"")</f>
        <v>51</v>
      </c>
      <c r="J24" s="1">
        <f>IF(AND(Months&lt;=9,$R$25+$R$26&lt;=8),$P$25*(1+$Q$41),"")</f>
        <v>51</v>
      </c>
      <c r="K24" s="1">
        <f>IF(AND(Months&lt;=10,$R$25+$R$26&lt;=9),$P$25*(1+$Q$41),"")</f>
        <v>51</v>
      </c>
      <c r="L24" s="1">
        <f>IF(AND(Months&lt;=11,$R$25+$R$26&lt;=10),$P$25*(1+$Q$41),"")</f>
        <v>51</v>
      </c>
      <c r="M24" s="7">
        <f>IF(AND(Months&lt;=12,$R$25+$R$26&lt;=11),$P$25*(1+$Q$41),"")</f>
        <v>51</v>
      </c>
      <c r="N24" s="3"/>
      <c r="O24" s="42" t="s">
        <v>15</v>
      </c>
      <c r="P24" s="13">
        <v>600</v>
      </c>
      <c r="Q24" s="66" t="s">
        <v>62</v>
      </c>
      <c r="R24" s="13">
        <v>-4000</v>
      </c>
      <c r="T24" s="28"/>
      <c r="U24" s="29"/>
    </row>
    <row r="25" spans="1:23" x14ac:dyDescent="0.35">
      <c r="A25" s="3" t="s">
        <v>16</v>
      </c>
      <c r="B25" s="1">
        <f>IF($S$3&lt;=1,$P$26,0)</f>
        <v>0</v>
      </c>
      <c r="C25" s="1">
        <f>IF($S$3&lt;=2,$P$26,0)</f>
        <v>0</v>
      </c>
      <c r="D25" s="1">
        <f>IF($S$3&lt;=3,$P$26,0)</f>
        <v>0</v>
      </c>
      <c r="E25" s="1">
        <f>IF($S$3&lt;=4,$P$26,0)</f>
        <v>0</v>
      </c>
      <c r="F25" s="1">
        <f>IF($S$3&lt;=5,$P$26,0)</f>
        <v>0</v>
      </c>
      <c r="G25" s="1">
        <f>IF($S$3&lt;=6,$P$26,0)</f>
        <v>0</v>
      </c>
      <c r="H25" s="1">
        <f>IF($S$3&lt;=7,$P$26,0)</f>
        <v>0</v>
      </c>
      <c r="I25" s="1">
        <f>IF($S$3&lt;=8,$P$26,0)</f>
        <v>0</v>
      </c>
      <c r="J25" s="1">
        <f>IF($S$3&lt;=9,$P$26,0)</f>
        <v>0</v>
      </c>
      <c r="K25" s="1">
        <f>IF($S$3&lt;=10,$P$26,0)</f>
        <v>0</v>
      </c>
      <c r="L25" s="1">
        <f>IF($S$3&lt;=11,$P$26,0)</f>
        <v>0</v>
      </c>
      <c r="M25" s="7">
        <f>IF($S$3&lt;=12,$P$26,0)</f>
        <v>0</v>
      </c>
      <c r="N25" s="3"/>
      <c r="O25" s="42" t="s">
        <v>0</v>
      </c>
      <c r="P25" s="13">
        <v>51</v>
      </c>
      <c r="Q25" s="79" t="s">
        <v>61</v>
      </c>
      <c r="R25" s="33">
        <f>VLOOKUP($O$53,$P$53:$R$62,2,FALSE)</f>
        <v>4</v>
      </c>
      <c r="T25" s="28"/>
      <c r="U25" s="29"/>
    </row>
    <row r="26" spans="1:23" x14ac:dyDescent="0.35">
      <c r="A26" s="3"/>
      <c r="B26" s="1"/>
      <c r="C26" s="1"/>
      <c r="D26" s="1"/>
      <c r="E26" s="1"/>
      <c r="F26" s="1"/>
      <c r="G26" s="1"/>
      <c r="H26" s="1"/>
      <c r="I26" s="1"/>
      <c r="J26" s="1"/>
      <c r="K26" s="1"/>
      <c r="L26" s="1"/>
      <c r="M26" s="7"/>
      <c r="N26" s="3"/>
      <c r="O26" s="42" t="s">
        <v>16</v>
      </c>
      <c r="P26" s="13">
        <v>0</v>
      </c>
      <c r="Q26" s="82" t="s">
        <v>72</v>
      </c>
      <c r="R26" s="83">
        <f>VLOOKUP($O$53,$P$53:$R$62,3,FALSE)</f>
        <v>0</v>
      </c>
      <c r="T26" s="28"/>
    </row>
    <row r="27" spans="1:23" x14ac:dyDescent="0.35">
      <c r="A27" s="3" t="s">
        <v>1</v>
      </c>
      <c r="B27" s="1">
        <f t="shared" ref="B27:M27" si="7">$P$29</f>
        <v>-121</v>
      </c>
      <c r="C27" s="1">
        <f t="shared" si="7"/>
        <v>-121</v>
      </c>
      <c r="D27" s="1">
        <f t="shared" si="7"/>
        <v>-121</v>
      </c>
      <c r="E27" s="1">
        <f t="shared" si="7"/>
        <v>-121</v>
      </c>
      <c r="F27" s="1">
        <f t="shared" si="7"/>
        <v>-121</v>
      </c>
      <c r="G27" s="1">
        <f t="shared" si="7"/>
        <v>-121</v>
      </c>
      <c r="H27" s="1">
        <f t="shared" si="7"/>
        <v>-121</v>
      </c>
      <c r="I27" s="1">
        <f t="shared" si="7"/>
        <v>-121</v>
      </c>
      <c r="J27" s="1">
        <f t="shared" si="7"/>
        <v>-121</v>
      </c>
      <c r="K27" s="1">
        <f t="shared" si="7"/>
        <v>-121</v>
      </c>
      <c r="L27" s="1">
        <f t="shared" si="7"/>
        <v>-121</v>
      </c>
      <c r="M27" s="7">
        <f t="shared" si="7"/>
        <v>-121</v>
      </c>
      <c r="N27" s="28"/>
      <c r="O27" s="42" t="s">
        <v>0</v>
      </c>
      <c r="P27" s="13">
        <v>-51</v>
      </c>
      <c r="Q27" s="24"/>
      <c r="R27" s="24"/>
      <c r="T27" s="28"/>
    </row>
    <row r="28" spans="1:23" x14ac:dyDescent="0.35">
      <c r="A28" s="3" t="s">
        <v>2</v>
      </c>
      <c r="B28" s="1">
        <f t="shared" ref="B28:M28" si="8">$P$30</f>
        <v>-44</v>
      </c>
      <c r="C28" s="1">
        <f t="shared" si="8"/>
        <v>-44</v>
      </c>
      <c r="D28" s="1">
        <f t="shared" si="8"/>
        <v>-44</v>
      </c>
      <c r="E28" s="1">
        <f t="shared" si="8"/>
        <v>-44</v>
      </c>
      <c r="F28" s="1">
        <f t="shared" si="8"/>
        <v>-44</v>
      </c>
      <c r="G28" s="1">
        <f t="shared" si="8"/>
        <v>-44</v>
      </c>
      <c r="H28" s="1">
        <f t="shared" si="8"/>
        <v>-44</v>
      </c>
      <c r="I28" s="1">
        <f t="shared" si="8"/>
        <v>-44</v>
      </c>
      <c r="J28" s="1">
        <f t="shared" si="8"/>
        <v>-44</v>
      </c>
      <c r="K28" s="1">
        <f t="shared" si="8"/>
        <v>-44</v>
      </c>
      <c r="L28" s="1">
        <f t="shared" si="8"/>
        <v>-44</v>
      </c>
      <c r="M28" s="7">
        <f t="shared" si="8"/>
        <v>-44</v>
      </c>
      <c r="N28" s="3"/>
      <c r="O28" s="128" t="s">
        <v>37</v>
      </c>
      <c r="P28" s="128"/>
      <c r="Q28" s="24"/>
      <c r="R28" s="24"/>
      <c r="T28" s="28"/>
      <c r="U28" s="29"/>
      <c r="V28" s="35"/>
      <c r="W28" s="28"/>
    </row>
    <row r="29" spans="1:23" x14ac:dyDescent="0.35">
      <c r="A29" s="3" t="s">
        <v>0</v>
      </c>
      <c r="B29" s="1" t="str">
        <f>IF(AND(Months=0,$R$25+$R$26&lt;=0),$P$27*(1+$Q$41),"")</f>
        <v/>
      </c>
      <c r="C29" s="1" t="str">
        <f>IF(AND(Months&lt;=2,$R$25+$R$26&lt;=1),$P$27*(1+$Q$41),"")</f>
        <v/>
      </c>
      <c r="D29" s="1" t="str">
        <f>IF(AND(Months&lt;=3,$R$25+$R$26&lt;=2),$P$27*(1+$Q$41),"")</f>
        <v/>
      </c>
      <c r="E29" s="1" t="str">
        <f>IF(AND(Months&lt;=4,$R$25+$R$26&lt;=3),$P$27*(1+$Q$41),"")</f>
        <v/>
      </c>
      <c r="F29" s="1">
        <f>IF(AND(Months&lt;=5,$R$25+$R$26&lt;=4),$P$27*(1+$Q$41),"")</f>
        <v>-51</v>
      </c>
      <c r="G29" s="1">
        <f>IF(AND(Months&lt;=6,$R$25+$R$26&lt;=5),$P$27*(1+$Q$41),"")</f>
        <v>-51</v>
      </c>
      <c r="H29" s="1">
        <f>IF(AND(Months&lt;=7,$R$25+$R$26&lt;=6),$P$27*(1+$Q$41),"")</f>
        <v>-51</v>
      </c>
      <c r="I29" s="1">
        <f>IF(AND(Months&lt;=8,$R$25+$R$26&lt;=7),$P$27*(1+$Q$41),"")</f>
        <v>-51</v>
      </c>
      <c r="J29" s="1">
        <f>IF(AND(Months&lt;=9,$R$25+$R$26&lt;=8),$P$27*(1+$Q$41),"")</f>
        <v>-51</v>
      </c>
      <c r="K29" s="1">
        <f>IF(AND(Months&lt;=10,$R$25+$R$26&lt;=9),$P$27*(1+$Q$41),"")</f>
        <v>-51</v>
      </c>
      <c r="L29" s="1">
        <f>IF(AND(Months&lt;=11,$R$25+$R$26&lt;=10),$P$27*(1+$Q$41),"")</f>
        <v>-51</v>
      </c>
      <c r="M29" s="7">
        <f>IF(AND(Months&lt;=12,$R$25+$R$26&lt;=11),$P$27*(1+$Q$41),"")</f>
        <v>-51</v>
      </c>
      <c r="N29" s="28"/>
      <c r="O29" s="42" t="s">
        <v>1</v>
      </c>
      <c r="P29" s="32">
        <v>-121</v>
      </c>
      <c r="Q29" s="24"/>
      <c r="R29" s="24"/>
      <c r="T29" s="28"/>
      <c r="U29" s="28"/>
      <c r="V29" s="28"/>
      <c r="W29" s="28"/>
    </row>
    <row r="30" spans="1:23" x14ac:dyDescent="0.35">
      <c r="A30" s="2" t="s">
        <v>17</v>
      </c>
      <c r="B30" s="14">
        <f>IF($R$25&gt;=1,$R$24/$R$25,"")</f>
        <v>-1000</v>
      </c>
      <c r="C30" s="14">
        <f>IF($R$25&gt;=2,$R$24/$R$25,"")</f>
        <v>-1000</v>
      </c>
      <c r="D30" s="14">
        <f>IF($R$25&gt;=3,$R$24/$R$25,"")</f>
        <v>-1000</v>
      </c>
      <c r="E30" s="14">
        <f>IF($R$25&gt;=4,$R$24/$R$25,"")</f>
        <v>-1000</v>
      </c>
      <c r="F30" s="14" t="str">
        <f>IF($R$25&gt;=5,$R$24/$R$25,"")</f>
        <v/>
      </c>
      <c r="G30" s="14" t="str">
        <f>IF($R$25&gt;=6,$R$24/$R$25,"")</f>
        <v/>
      </c>
      <c r="H30" s="14" t="str">
        <f>IF($R$25&gt;=7,$R$24/$R$25,"")</f>
        <v/>
      </c>
      <c r="I30" s="14" t="str">
        <f>IF($R$25&gt;=8,$R$24/$R$25,"")</f>
        <v/>
      </c>
      <c r="J30" s="14" t="str">
        <f>IF($R$25&gt;=9,$R$24/$R$25,"")</f>
        <v/>
      </c>
      <c r="K30" s="14" t="str">
        <f>IF($R$25&gt;=10,$R$24/$R$25,"")</f>
        <v/>
      </c>
      <c r="L30" s="14" t="str">
        <f>IF($R$25&gt;=11,$R$24/$R$25,"")</f>
        <v/>
      </c>
      <c r="M30" s="70" t="str">
        <f>IF($R$25&gt;=12,$R$24/$R$25,"")</f>
        <v/>
      </c>
      <c r="N30" s="2"/>
      <c r="O30" s="46" t="s">
        <v>2</v>
      </c>
      <c r="P30" s="47">
        <v>-44</v>
      </c>
      <c r="Q30" s="48"/>
      <c r="R30" s="48"/>
      <c r="T30" s="28"/>
      <c r="U30" s="45"/>
      <c r="V30" s="45"/>
      <c r="W30" s="28"/>
    </row>
    <row r="31" spans="1:23" x14ac:dyDescent="0.35">
      <c r="A31" s="3"/>
      <c r="M31" s="90"/>
      <c r="O31" s="119" t="s">
        <v>21</v>
      </c>
      <c r="P31" s="119"/>
      <c r="Q31" s="119"/>
      <c r="R31" s="119"/>
      <c r="T31" s="28"/>
      <c r="U31" s="28"/>
      <c r="V31" s="28"/>
      <c r="W31" s="28"/>
    </row>
    <row r="32" spans="1:23" x14ac:dyDescent="0.35">
      <c r="A32" s="6" t="s">
        <v>21</v>
      </c>
      <c r="M32" s="90"/>
      <c r="O32" s="110" t="s">
        <v>37</v>
      </c>
      <c r="P32" s="110"/>
      <c r="Q32" s="110" t="s">
        <v>38</v>
      </c>
      <c r="R32" s="110"/>
      <c r="T32" s="28"/>
      <c r="U32" s="36"/>
      <c r="V32" s="37"/>
      <c r="W32" s="28"/>
    </row>
    <row r="33" spans="1:23" x14ac:dyDescent="0.35">
      <c r="A33" s="3" t="s">
        <v>22</v>
      </c>
      <c r="B33" s="1">
        <f t="shared" ref="B33:M33" si="9">$P$33</f>
        <v>-10</v>
      </c>
      <c r="C33" s="1">
        <f t="shared" si="9"/>
        <v>-10</v>
      </c>
      <c r="D33" s="1">
        <f t="shared" si="9"/>
        <v>-10</v>
      </c>
      <c r="E33" s="1">
        <f t="shared" si="9"/>
        <v>-10</v>
      </c>
      <c r="F33" s="1">
        <f t="shared" si="9"/>
        <v>-10</v>
      </c>
      <c r="G33" s="1">
        <f t="shared" si="9"/>
        <v>-10</v>
      </c>
      <c r="H33" s="1">
        <f t="shared" si="9"/>
        <v>-10</v>
      </c>
      <c r="I33" s="1">
        <f t="shared" si="9"/>
        <v>-10</v>
      </c>
      <c r="J33" s="1">
        <f t="shared" si="9"/>
        <v>-10</v>
      </c>
      <c r="K33" s="1">
        <f t="shared" si="9"/>
        <v>-10</v>
      </c>
      <c r="L33" s="1">
        <f t="shared" si="9"/>
        <v>-10</v>
      </c>
      <c r="M33" s="7">
        <f t="shared" si="9"/>
        <v>-10</v>
      </c>
      <c r="O33" s="27" t="s">
        <v>22</v>
      </c>
      <c r="P33" s="13">
        <v>-10</v>
      </c>
      <c r="Q33" s="27" t="s">
        <v>24</v>
      </c>
      <c r="R33" s="13">
        <v>-300</v>
      </c>
      <c r="T33" s="28"/>
      <c r="U33" s="36"/>
      <c r="V33" s="37"/>
      <c r="W33" s="28"/>
    </row>
    <row r="34" spans="1:23" x14ac:dyDescent="0.35">
      <c r="A34" s="3" t="s">
        <v>23</v>
      </c>
      <c r="B34" s="1">
        <f t="shared" ref="B34:M34" si="10">$P$34</f>
        <v>-55</v>
      </c>
      <c r="C34" s="1">
        <f t="shared" si="10"/>
        <v>-55</v>
      </c>
      <c r="D34" s="1">
        <f t="shared" si="10"/>
        <v>-55</v>
      </c>
      <c r="E34" s="1">
        <f t="shared" si="10"/>
        <v>-55</v>
      </c>
      <c r="F34" s="1">
        <f t="shared" si="10"/>
        <v>-55</v>
      </c>
      <c r="G34" s="1">
        <f t="shared" si="10"/>
        <v>-55</v>
      </c>
      <c r="H34" s="1">
        <f t="shared" si="10"/>
        <v>-55</v>
      </c>
      <c r="I34" s="1">
        <f t="shared" si="10"/>
        <v>-55</v>
      </c>
      <c r="J34" s="1">
        <f t="shared" si="10"/>
        <v>-55</v>
      </c>
      <c r="K34" s="1">
        <f t="shared" si="10"/>
        <v>-55</v>
      </c>
      <c r="L34" s="1">
        <f t="shared" si="10"/>
        <v>-55</v>
      </c>
      <c r="M34" s="7">
        <f t="shared" si="10"/>
        <v>-55</v>
      </c>
      <c r="O34" s="27" t="s">
        <v>23</v>
      </c>
      <c r="P34" s="13">
        <v>-55</v>
      </c>
      <c r="Q34" s="27" t="s">
        <v>25</v>
      </c>
      <c r="R34" s="13">
        <v>-440</v>
      </c>
      <c r="T34" s="28"/>
      <c r="U34" s="36"/>
      <c r="V34" s="37"/>
      <c r="W34" s="28"/>
    </row>
    <row r="35" spans="1:23" x14ac:dyDescent="0.35">
      <c r="A35" s="3" t="s">
        <v>24</v>
      </c>
      <c r="D35">
        <v>-300</v>
      </c>
      <c r="M35" s="90"/>
      <c r="O35" s="27" t="s">
        <v>26</v>
      </c>
      <c r="P35" s="13">
        <v>-100</v>
      </c>
      <c r="Q35" s="27" t="s">
        <v>27</v>
      </c>
      <c r="R35" s="13">
        <v>-200</v>
      </c>
      <c r="T35" s="28"/>
      <c r="U35" s="36"/>
      <c r="V35" s="37"/>
      <c r="W35" s="28"/>
    </row>
    <row r="36" spans="1:23" x14ac:dyDescent="0.35">
      <c r="A36" s="3" t="s">
        <v>25</v>
      </c>
      <c r="K36">
        <v>-440</v>
      </c>
      <c r="M36" s="90"/>
      <c r="O36" s="26"/>
      <c r="P36" s="26"/>
      <c r="Q36" s="27" t="s">
        <v>28</v>
      </c>
      <c r="R36" s="13">
        <v>270</v>
      </c>
      <c r="T36" s="28"/>
      <c r="U36" s="36"/>
      <c r="W36" s="28"/>
    </row>
    <row r="37" spans="1:23" x14ac:dyDescent="0.35">
      <c r="A37" s="3" t="s">
        <v>26</v>
      </c>
      <c r="B37" t="str">
        <f t="shared" ref="B37:M37" si="11">IF(MOD(B2,4)=0,$P$35,"")</f>
        <v/>
      </c>
      <c r="C37" t="str">
        <f t="shared" si="11"/>
        <v/>
      </c>
      <c r="D37" t="str">
        <f t="shared" si="11"/>
        <v/>
      </c>
      <c r="E37">
        <f t="shared" si="11"/>
        <v>-100</v>
      </c>
      <c r="F37" t="str">
        <f t="shared" si="11"/>
        <v/>
      </c>
      <c r="G37" t="str">
        <f t="shared" si="11"/>
        <v/>
      </c>
      <c r="H37" t="str">
        <f t="shared" si="11"/>
        <v/>
      </c>
      <c r="I37">
        <f t="shared" si="11"/>
        <v>-100</v>
      </c>
      <c r="J37" t="str">
        <f t="shared" si="11"/>
        <v/>
      </c>
      <c r="K37" t="str">
        <f t="shared" si="11"/>
        <v/>
      </c>
      <c r="L37" t="str">
        <f t="shared" si="11"/>
        <v/>
      </c>
      <c r="M37" s="90">
        <f t="shared" si="11"/>
        <v>-100</v>
      </c>
      <c r="T37" s="28"/>
      <c r="U37" s="36"/>
      <c r="V37" s="37"/>
      <c r="W37" s="28"/>
    </row>
    <row r="38" spans="1:23" ht="15" thickBot="1" x14ac:dyDescent="0.4">
      <c r="A38" s="3" t="s">
        <v>27</v>
      </c>
      <c r="K38">
        <v>-200</v>
      </c>
      <c r="M38" s="90"/>
      <c r="O38" s="104" t="s">
        <v>33</v>
      </c>
      <c r="P38" s="105"/>
      <c r="Q38" s="108">
        <v>0</v>
      </c>
      <c r="T38" s="28"/>
      <c r="U38" s="36"/>
      <c r="V38" s="37"/>
      <c r="W38" s="28"/>
    </row>
    <row r="39" spans="1:23" ht="15.5" thickTop="1" thickBot="1" x14ac:dyDescent="0.4">
      <c r="A39" s="5" t="s">
        <v>28</v>
      </c>
      <c r="B39" s="5"/>
      <c r="C39" s="5"/>
      <c r="D39" s="5"/>
      <c r="E39" s="5"/>
      <c r="F39" s="5"/>
      <c r="G39" s="5">
        <v>270</v>
      </c>
      <c r="H39" s="5"/>
      <c r="I39" s="5"/>
      <c r="J39" s="5"/>
      <c r="K39" s="5"/>
      <c r="L39" s="5"/>
      <c r="M39" s="92"/>
      <c r="O39" s="106"/>
      <c r="P39" s="107"/>
      <c r="Q39" s="108"/>
      <c r="T39" s="28"/>
      <c r="U39" s="36"/>
      <c r="V39" s="35"/>
      <c r="W39" s="28"/>
    </row>
    <row r="40" spans="1:23" x14ac:dyDescent="0.35">
      <c r="A40" s="11" t="s">
        <v>32</v>
      </c>
      <c r="B40" s="4">
        <f>SUM(B3:B39)</f>
        <v>-1252</v>
      </c>
      <c r="C40" s="4">
        <f t="shared" ref="C40:M40" si="12">SUM(C3:C39)</f>
        <v>-1252</v>
      </c>
      <c r="D40" s="4">
        <f>SUM(D3:D39)</f>
        <v>-1852</v>
      </c>
      <c r="E40" s="4">
        <f t="shared" si="12"/>
        <v>-952</v>
      </c>
      <c r="F40" s="4">
        <f t="shared" si="12"/>
        <v>748</v>
      </c>
      <c r="G40" s="4">
        <f t="shared" si="12"/>
        <v>1018</v>
      </c>
      <c r="H40" s="4">
        <f t="shared" si="12"/>
        <v>748</v>
      </c>
      <c r="I40" s="4">
        <f t="shared" si="12"/>
        <v>648</v>
      </c>
      <c r="J40" s="4">
        <f t="shared" si="12"/>
        <v>748</v>
      </c>
      <c r="K40" s="4">
        <f t="shared" si="12"/>
        <v>108</v>
      </c>
      <c r="L40" s="4">
        <f t="shared" si="12"/>
        <v>748</v>
      </c>
      <c r="M40" s="4">
        <f t="shared" si="12"/>
        <v>648</v>
      </c>
      <c r="N40" s="1"/>
      <c r="T40" s="28"/>
      <c r="U40" s="28"/>
      <c r="V40" s="28"/>
      <c r="W40" s="28"/>
    </row>
    <row r="41" spans="1:23" ht="15" thickBot="1" x14ac:dyDescent="0.4">
      <c r="O41" s="134" t="s">
        <v>39</v>
      </c>
      <c r="P41" s="135"/>
      <c r="Q41" s="133">
        <v>0</v>
      </c>
      <c r="R41" s="93"/>
      <c r="T41" s="93"/>
      <c r="U41" s="93"/>
      <c r="V41" s="28"/>
      <c r="W41" s="28"/>
    </row>
    <row r="42" spans="1:23" ht="15.5" thickTop="1" thickBot="1" x14ac:dyDescent="0.4">
      <c r="A42" s="10" t="s">
        <v>29</v>
      </c>
      <c r="B42" s="8"/>
      <c r="C42" s="8"/>
      <c r="D42" s="8"/>
      <c r="E42" s="8"/>
      <c r="F42" s="8"/>
      <c r="G42" s="8"/>
      <c r="H42" s="8"/>
      <c r="I42" s="8"/>
      <c r="J42" s="8"/>
      <c r="K42" s="8"/>
      <c r="L42" s="8"/>
      <c r="M42" s="9"/>
      <c r="O42" s="136"/>
      <c r="P42" s="137"/>
      <c r="Q42" s="133"/>
      <c r="R42" s="93"/>
      <c r="T42" s="93"/>
      <c r="U42" s="93"/>
      <c r="V42" s="28"/>
      <c r="W42" s="28"/>
    </row>
    <row r="43" spans="1:23" ht="15" thickTop="1" x14ac:dyDescent="0.35">
      <c r="A43" s="12" t="s">
        <v>30</v>
      </c>
      <c r="B43" s="32">
        <v>2300</v>
      </c>
      <c r="C43" s="4"/>
      <c r="D43" s="4"/>
      <c r="E43" s="4"/>
      <c r="F43" s="4"/>
      <c r="G43" s="4"/>
      <c r="H43" s="4"/>
      <c r="I43" s="4"/>
      <c r="J43" s="4"/>
      <c r="K43" s="4"/>
      <c r="L43" s="4"/>
      <c r="M43" s="7"/>
      <c r="O43" s="49"/>
      <c r="Q43" s="50"/>
      <c r="T43" s="28"/>
      <c r="U43" s="44"/>
      <c r="V43" s="44"/>
      <c r="W43" s="28"/>
    </row>
    <row r="44" spans="1:23" ht="15" thickBot="1" x14ac:dyDescent="0.4">
      <c r="A44" s="12" t="s">
        <v>31</v>
      </c>
      <c r="B44" s="4">
        <f>$B$43+SUM($B$40:B40)</f>
        <v>1048</v>
      </c>
      <c r="C44" s="4">
        <f>$B$43+SUM($B$40:C40)</f>
        <v>-204</v>
      </c>
      <c r="D44" s="4">
        <f>$B$43+SUM($B$40:D40)</f>
        <v>-2056</v>
      </c>
      <c r="E44" s="4">
        <f>$B$43+SUM($B$40:E40)</f>
        <v>-3008</v>
      </c>
      <c r="F44" s="4">
        <f>$B$43+SUM($B$40:F40)</f>
        <v>-2260</v>
      </c>
      <c r="G44" s="4">
        <f>$B$43+SUM($B$40:G40)</f>
        <v>-1242</v>
      </c>
      <c r="H44" s="4">
        <f>$B$43+SUM($B$40:H40)</f>
        <v>-494</v>
      </c>
      <c r="I44" s="4">
        <f>$B$43+SUM($B$40:I40)</f>
        <v>154</v>
      </c>
      <c r="J44" s="4">
        <f>$B$43+SUM($B$40:J40)</f>
        <v>902</v>
      </c>
      <c r="K44" s="4">
        <f>$B$43+SUM($B$40:K40)</f>
        <v>1010</v>
      </c>
      <c r="L44" s="4">
        <f>$B$43+SUM($B$40:L40)</f>
        <v>1758</v>
      </c>
      <c r="M44" s="7">
        <f>$B$43+SUM($B$40:M40)</f>
        <v>2406</v>
      </c>
      <c r="O44" s="132" t="s">
        <v>41</v>
      </c>
      <c r="P44" s="132"/>
      <c r="Q44" s="132"/>
      <c r="R44" s="133"/>
      <c r="T44" s="28"/>
      <c r="U44" s="38"/>
      <c r="V44" s="38"/>
      <c r="W44" s="28"/>
    </row>
    <row r="45" spans="1:23" ht="15" thickBot="1" x14ac:dyDescent="0.4">
      <c r="A45" s="12" t="s">
        <v>33</v>
      </c>
      <c r="B45" s="4">
        <f>IF(B44&lt;0,Q38,0)</f>
        <v>0</v>
      </c>
      <c r="C45" s="4">
        <f>IF(SUM($B$45:B45)+C44&lt;0,FLOOR(SUM($B$45:B45)+C44,1000)*-1,"")</f>
        <v>1000</v>
      </c>
      <c r="D45" s="4">
        <f>IF(SUM($B$45:C45)+D44&lt;0,FLOOR(SUM($B$45:C45)+D44,1000)*-1,"")</f>
        <v>2000</v>
      </c>
      <c r="E45" s="4">
        <f>IF(SUM($B$45:D45)+E44&lt;0,FLOOR(SUM($B$45:D45)+E44,1000)*-1,"")</f>
        <v>1000</v>
      </c>
      <c r="F45" s="4" t="str">
        <f>IF(SUM($B$45:E45)+F44&lt;0,FLOOR(SUM($B$45:E45)+F44,1000)*-1,"")</f>
        <v/>
      </c>
      <c r="G45" s="4" t="str">
        <f>IF(SUM($B$45:F45)+G44&lt;0,FLOOR(SUM($B$45:F45)+G44,1000)*-1,"")</f>
        <v/>
      </c>
      <c r="H45" s="4" t="str">
        <f>IF(SUM($B$45:G45)+H44&lt;0,FLOOR(SUM($B$45:G45)+H44,1000)*-1,"")</f>
        <v/>
      </c>
      <c r="I45" s="4" t="str">
        <f>IF(SUM($B$45:H45)+I44&lt;0,FLOOR(SUM($B$45:H45)+I44,1000)*-1,"")</f>
        <v/>
      </c>
      <c r="J45" s="4" t="str">
        <f>IF(SUM($B$45:I45)+J44&lt;0,FLOOR(SUM($B$45:I45)+J44,1000)*-1,"")</f>
        <v/>
      </c>
      <c r="K45" s="4" t="str">
        <f>IF(SUM($B$45:J45)+K44&lt;0,FLOOR(SUM($B$45:J45)+K44,1000)*-1,"")</f>
        <v/>
      </c>
      <c r="L45" s="4" t="str">
        <f>IF(SUM($B$45:K45)+L44&lt;0,FLOOR(SUM($B$45:K45)+L44,1000)*-1,"")</f>
        <v/>
      </c>
      <c r="M45" s="7" t="str">
        <f>IF(SUM($B$45:L45)+M44&lt;0,FLOOR(SUM($B$45:L45)+M44,1000)*-1,"")</f>
        <v/>
      </c>
      <c r="N45" s="4">
        <f>SUM(B45:M45)</f>
        <v>4000</v>
      </c>
      <c r="O45" s="132"/>
      <c r="P45" s="132"/>
      <c r="Q45" s="132"/>
      <c r="R45" s="133"/>
      <c r="T45" s="28"/>
      <c r="U45" s="38"/>
      <c r="V45" s="38"/>
      <c r="W45" s="28"/>
    </row>
    <row r="46" spans="1:23" x14ac:dyDescent="0.35">
      <c r="A46" s="56" t="s">
        <v>34</v>
      </c>
      <c r="B46" s="14">
        <f>B44+SUM($B$45:B45)</f>
        <v>1048</v>
      </c>
      <c r="C46" s="14">
        <f>C44+SUM($B$45:C45)</f>
        <v>796</v>
      </c>
      <c r="D46" s="14">
        <f>D44+SUM($B$45:D45)</f>
        <v>944</v>
      </c>
      <c r="E46" s="14">
        <f>E44+SUM($B$45:E45)</f>
        <v>992</v>
      </c>
      <c r="F46" s="14">
        <f>F44+SUM($B$45:F45)</f>
        <v>1740</v>
      </c>
      <c r="G46" s="14">
        <f>G44+SUM($B$45:G45)</f>
        <v>2758</v>
      </c>
      <c r="H46" s="14">
        <f>H44+SUM($B$45:H45)</f>
        <v>3506</v>
      </c>
      <c r="I46" s="14">
        <f>I44+SUM($B$45:I45)</f>
        <v>4154</v>
      </c>
      <c r="J46" s="14">
        <f>J44+SUM($B$45:J45)</f>
        <v>4902</v>
      </c>
      <c r="K46" s="14">
        <f>K44+SUM($B$45:K45)</f>
        <v>5010</v>
      </c>
      <c r="L46" s="14">
        <f>L44+SUM($B$45:L45)</f>
        <v>5758</v>
      </c>
      <c r="M46" s="70">
        <f>M44+SUM($B$45:M45)</f>
        <v>6406</v>
      </c>
      <c r="N46" s="1"/>
      <c r="T46" s="28"/>
      <c r="U46" s="38"/>
      <c r="V46" s="38"/>
      <c r="W46" s="28"/>
    </row>
    <row r="47" spans="1:23" x14ac:dyDescent="0.35">
      <c r="T47" s="28"/>
      <c r="U47" s="38"/>
      <c r="V47" s="39"/>
      <c r="W47" s="28"/>
    </row>
    <row r="48" spans="1:23" x14ac:dyDescent="0.35">
      <c r="R48" s="17"/>
      <c r="T48" s="28"/>
      <c r="U48" s="38"/>
      <c r="V48" s="39"/>
      <c r="W48" s="28"/>
    </row>
    <row r="49" spans="1:27" x14ac:dyDescent="0.35">
      <c r="R49" s="17"/>
      <c r="T49" s="28"/>
      <c r="U49" s="38"/>
      <c r="V49" s="39"/>
      <c r="W49" s="28"/>
    </row>
    <row r="50" spans="1:27" x14ac:dyDescent="0.35">
      <c r="R50" s="17"/>
      <c r="T50" s="28"/>
      <c r="U50" s="38"/>
      <c r="V50" s="39"/>
      <c r="W50" s="28"/>
    </row>
    <row r="51" spans="1:27" x14ac:dyDescent="0.35">
      <c r="T51" s="28"/>
      <c r="U51" s="38"/>
      <c r="V51" s="39"/>
      <c r="W51" s="28"/>
    </row>
    <row r="52" spans="1:27" ht="17.5" thickBot="1" x14ac:dyDescent="0.45">
      <c r="A52" s="123" t="s">
        <v>40</v>
      </c>
      <c r="B52" s="123"/>
      <c r="C52" s="123"/>
      <c r="D52" s="123"/>
      <c r="E52" s="123"/>
      <c r="F52" s="123"/>
      <c r="G52" s="123"/>
      <c r="H52" s="123"/>
      <c r="I52" s="123"/>
      <c r="J52" s="123"/>
      <c r="K52" s="123"/>
      <c r="L52" s="123"/>
      <c r="M52" s="123"/>
      <c r="O52" s="123" t="s">
        <v>71</v>
      </c>
      <c r="P52" s="123"/>
      <c r="Q52" s="123"/>
      <c r="R52" s="123"/>
      <c r="T52" s="28"/>
      <c r="U52" s="38"/>
      <c r="V52" s="39"/>
      <c r="W52" s="28"/>
    </row>
    <row r="53" spans="1:27" ht="15" thickTop="1" x14ac:dyDescent="0.35">
      <c r="A53" s="69">
        <f>N45</f>
        <v>4000</v>
      </c>
      <c r="B53" s="67" t="s">
        <v>3</v>
      </c>
      <c r="C53" s="67" t="s">
        <v>4</v>
      </c>
      <c r="D53" s="67" t="s">
        <v>5</v>
      </c>
      <c r="E53" s="67" t="s">
        <v>6</v>
      </c>
      <c r="F53" s="67" t="s">
        <v>7</v>
      </c>
      <c r="G53" s="67" t="s">
        <v>8</v>
      </c>
      <c r="H53" s="67" t="s">
        <v>9</v>
      </c>
      <c r="I53" s="67" t="s">
        <v>10</v>
      </c>
      <c r="J53" s="67" t="s">
        <v>11</v>
      </c>
      <c r="K53" s="67" t="s">
        <v>12</v>
      </c>
      <c r="L53" s="67" t="s">
        <v>13</v>
      </c>
      <c r="M53" s="67" t="s">
        <v>14</v>
      </c>
      <c r="O53" s="85">
        <v>1</v>
      </c>
      <c r="P53" s="86" t="s">
        <v>42</v>
      </c>
      <c r="Q53" s="87" t="s">
        <v>69</v>
      </c>
      <c r="R53" s="86" t="s">
        <v>70</v>
      </c>
      <c r="T53" s="28"/>
      <c r="U53" s="38"/>
      <c r="V53" s="39"/>
      <c r="W53" s="28"/>
    </row>
    <row r="54" spans="1:27" x14ac:dyDescent="0.35">
      <c r="A54" s="68">
        <v>0</v>
      </c>
      <c r="B54" s="55">
        <f t="dataTable" ref="B54:M69" dt2D="1" dtr="1" r1="Q3" r2="Q41"/>
        <v>4000</v>
      </c>
      <c r="C54" s="55">
        <v>4000</v>
      </c>
      <c r="D54" s="55">
        <v>4000</v>
      </c>
      <c r="E54" s="55">
        <v>4000</v>
      </c>
      <c r="F54" s="55">
        <v>3000</v>
      </c>
      <c r="G54" s="55">
        <v>3000</v>
      </c>
      <c r="H54" s="55">
        <v>3000</v>
      </c>
      <c r="I54" s="55">
        <v>3000</v>
      </c>
      <c r="J54" s="55">
        <v>3000</v>
      </c>
      <c r="K54" s="55">
        <v>3000</v>
      </c>
      <c r="L54" s="55">
        <v>3000</v>
      </c>
      <c r="M54" s="55">
        <v>3000</v>
      </c>
      <c r="O54" s="80"/>
      <c r="P54" s="80">
        <v>1</v>
      </c>
      <c r="Q54" s="81">
        <v>4</v>
      </c>
      <c r="R54" s="81">
        <v>0</v>
      </c>
      <c r="Y54" s="53"/>
      <c r="Z54" s="35"/>
      <c r="AA54" s="28"/>
    </row>
    <row r="55" spans="1:27" x14ac:dyDescent="0.35">
      <c r="A55" s="68">
        <v>0.1</v>
      </c>
      <c r="B55" s="55">
        <v>3000</v>
      </c>
      <c r="C55" s="55">
        <v>3000</v>
      </c>
      <c r="D55" s="55">
        <v>3000</v>
      </c>
      <c r="E55" s="55">
        <v>3000</v>
      </c>
      <c r="F55" s="55">
        <v>3000</v>
      </c>
      <c r="G55" s="55">
        <v>3000</v>
      </c>
      <c r="H55" s="55">
        <v>3000</v>
      </c>
      <c r="I55" s="55">
        <v>3000</v>
      </c>
      <c r="J55" s="55">
        <v>3000</v>
      </c>
      <c r="K55" s="55">
        <v>3000</v>
      </c>
      <c r="L55" s="55">
        <v>3000</v>
      </c>
      <c r="M55" s="55">
        <v>3000</v>
      </c>
      <c r="O55" s="80"/>
      <c r="P55" s="80">
        <v>2</v>
      </c>
      <c r="Q55" s="81">
        <v>3</v>
      </c>
      <c r="R55" s="81">
        <v>1</v>
      </c>
    </row>
    <row r="56" spans="1:27" ht="15" thickBot="1" x14ac:dyDescent="0.4">
      <c r="A56" s="68">
        <v>0.2</v>
      </c>
      <c r="B56" s="55">
        <v>3000</v>
      </c>
      <c r="C56" s="55">
        <v>3000</v>
      </c>
      <c r="D56" s="54">
        <v>3000</v>
      </c>
      <c r="E56" s="54">
        <v>3000</v>
      </c>
      <c r="F56" s="54">
        <v>2000</v>
      </c>
      <c r="G56" s="54">
        <v>2000</v>
      </c>
      <c r="H56" s="54">
        <v>2000</v>
      </c>
      <c r="I56" s="54">
        <v>2000</v>
      </c>
      <c r="J56" s="54">
        <v>2000</v>
      </c>
      <c r="K56" s="54">
        <v>2000</v>
      </c>
      <c r="L56" s="54">
        <v>2000</v>
      </c>
      <c r="M56" s="54">
        <v>2000</v>
      </c>
      <c r="O56" s="95"/>
      <c r="P56" s="95">
        <v>3</v>
      </c>
      <c r="Q56" s="96">
        <v>2</v>
      </c>
      <c r="R56" s="96">
        <v>2</v>
      </c>
      <c r="T56" s="28"/>
      <c r="Z56" s="3"/>
    </row>
    <row r="57" spans="1:27" x14ac:dyDescent="0.35">
      <c r="A57" s="68">
        <v>0.3</v>
      </c>
      <c r="B57" s="55">
        <v>3000</v>
      </c>
      <c r="C57" s="54">
        <v>3000</v>
      </c>
      <c r="D57" s="54">
        <v>3000</v>
      </c>
      <c r="E57" s="54">
        <v>3000</v>
      </c>
      <c r="F57" s="54">
        <v>2000</v>
      </c>
      <c r="G57" s="54">
        <v>2000</v>
      </c>
      <c r="H57" s="54">
        <v>2000</v>
      </c>
      <c r="I57" s="54">
        <v>2000</v>
      </c>
      <c r="J57" s="54">
        <v>2000</v>
      </c>
      <c r="K57" s="54">
        <v>2000</v>
      </c>
      <c r="L57" s="54">
        <v>2000</v>
      </c>
      <c r="M57" s="54">
        <v>2000</v>
      </c>
      <c r="O57" s="94"/>
      <c r="P57" s="94">
        <v>4</v>
      </c>
      <c r="Q57" s="94">
        <v>4</v>
      </c>
      <c r="R57" s="94">
        <v>1</v>
      </c>
      <c r="T57" s="28"/>
      <c r="Z57" s="3"/>
    </row>
    <row r="58" spans="1:27" x14ac:dyDescent="0.35">
      <c r="A58" s="68">
        <v>0.4</v>
      </c>
      <c r="B58" s="55">
        <v>3000</v>
      </c>
      <c r="C58" s="55">
        <v>3000</v>
      </c>
      <c r="D58" s="55">
        <v>3000</v>
      </c>
      <c r="E58" s="55">
        <v>3000</v>
      </c>
      <c r="F58" s="55">
        <v>2000</v>
      </c>
      <c r="G58" s="55">
        <v>2000</v>
      </c>
      <c r="H58" s="55">
        <v>2000</v>
      </c>
      <c r="I58" s="55">
        <v>2000</v>
      </c>
      <c r="J58" s="55">
        <v>2000</v>
      </c>
      <c r="K58" s="55">
        <v>2000</v>
      </c>
      <c r="L58" s="55">
        <v>2000</v>
      </c>
      <c r="M58" s="55">
        <v>2000</v>
      </c>
      <c r="O58" s="84"/>
      <c r="P58" s="84">
        <v>5</v>
      </c>
      <c r="Q58" s="84">
        <v>3</v>
      </c>
      <c r="R58" s="84">
        <v>2</v>
      </c>
      <c r="T58" s="28"/>
      <c r="Z58" s="3"/>
    </row>
    <row r="59" spans="1:27" ht="15" thickBot="1" x14ac:dyDescent="0.4">
      <c r="A59" s="68">
        <v>0.5</v>
      </c>
      <c r="B59" s="55">
        <v>2000</v>
      </c>
      <c r="C59" s="55">
        <v>2000</v>
      </c>
      <c r="D59" s="55">
        <v>2000</v>
      </c>
      <c r="E59" s="55">
        <v>2000</v>
      </c>
      <c r="F59" s="55">
        <v>2000</v>
      </c>
      <c r="G59" s="55">
        <v>2000</v>
      </c>
      <c r="H59" s="55">
        <v>2000</v>
      </c>
      <c r="I59" s="55">
        <v>2000</v>
      </c>
      <c r="J59" s="55">
        <v>2000</v>
      </c>
      <c r="K59" s="55">
        <v>2000</v>
      </c>
      <c r="L59" s="55">
        <v>2000</v>
      </c>
      <c r="M59" s="55">
        <v>2000</v>
      </c>
      <c r="O59" s="99"/>
      <c r="P59" s="99">
        <v>6</v>
      </c>
      <c r="Q59" s="99">
        <v>2</v>
      </c>
      <c r="R59" s="99">
        <v>0</v>
      </c>
      <c r="T59" s="28"/>
      <c r="Y59" s="40"/>
      <c r="Z59" s="41"/>
      <c r="AA59" s="28"/>
    </row>
    <row r="60" spans="1:27" x14ac:dyDescent="0.35">
      <c r="A60" s="68">
        <v>0.6</v>
      </c>
      <c r="B60" s="55">
        <v>2000</v>
      </c>
      <c r="C60" s="55">
        <v>2000</v>
      </c>
      <c r="D60" s="55">
        <v>2000</v>
      </c>
      <c r="E60" s="55">
        <v>2000</v>
      </c>
      <c r="F60" s="55">
        <v>1000</v>
      </c>
      <c r="G60" s="55">
        <v>1000</v>
      </c>
      <c r="H60" s="55">
        <v>1000</v>
      </c>
      <c r="I60" s="55">
        <v>1000</v>
      </c>
      <c r="J60" s="55">
        <v>1000</v>
      </c>
      <c r="K60" s="55">
        <v>1000</v>
      </c>
      <c r="L60" s="55">
        <v>1000</v>
      </c>
      <c r="M60" s="55">
        <v>1000</v>
      </c>
      <c r="O60" s="97"/>
      <c r="P60" s="97">
        <v>7</v>
      </c>
      <c r="Q60" s="98">
        <v>4</v>
      </c>
      <c r="R60" s="98">
        <v>2</v>
      </c>
      <c r="T60" s="28"/>
      <c r="Y60" s="40"/>
      <c r="Z60" s="16"/>
      <c r="AA60" s="28"/>
    </row>
    <row r="61" spans="1:27" x14ac:dyDescent="0.35">
      <c r="A61" s="68">
        <v>0.7</v>
      </c>
      <c r="B61" s="55">
        <v>2000</v>
      </c>
      <c r="C61" s="55">
        <v>2000</v>
      </c>
      <c r="D61" s="55">
        <v>2000</v>
      </c>
      <c r="E61" s="55">
        <v>2000</v>
      </c>
      <c r="F61" s="55">
        <v>1000</v>
      </c>
      <c r="G61" s="55">
        <v>1000</v>
      </c>
      <c r="H61" s="55">
        <v>1000</v>
      </c>
      <c r="I61" s="55">
        <v>1000</v>
      </c>
      <c r="J61" s="55">
        <v>1000</v>
      </c>
      <c r="K61" s="55">
        <v>1000</v>
      </c>
      <c r="L61" s="55">
        <v>1000</v>
      </c>
      <c r="M61" s="55">
        <v>1000</v>
      </c>
      <c r="O61" s="80"/>
      <c r="P61" s="80">
        <v>8</v>
      </c>
      <c r="Q61" s="81">
        <v>3</v>
      </c>
      <c r="R61" s="81">
        <v>0</v>
      </c>
      <c r="T61" s="28"/>
      <c r="Y61" s="40"/>
      <c r="Z61" s="16"/>
      <c r="AA61" s="28"/>
    </row>
    <row r="62" spans="1:27" x14ac:dyDescent="0.35">
      <c r="A62" s="68">
        <v>0.8</v>
      </c>
      <c r="B62" s="55">
        <v>2000</v>
      </c>
      <c r="C62" s="55">
        <v>2000</v>
      </c>
      <c r="D62" s="55">
        <v>2000</v>
      </c>
      <c r="E62" s="55">
        <v>2000</v>
      </c>
      <c r="F62" s="55">
        <v>1000</v>
      </c>
      <c r="G62" s="55">
        <v>1000</v>
      </c>
      <c r="H62" s="55">
        <v>1000</v>
      </c>
      <c r="I62" s="55">
        <v>1000</v>
      </c>
      <c r="J62" s="55">
        <v>1000</v>
      </c>
      <c r="K62" s="55">
        <v>1000</v>
      </c>
      <c r="L62" s="55">
        <v>1000</v>
      </c>
      <c r="M62" s="55">
        <v>1000</v>
      </c>
      <c r="O62" s="80"/>
      <c r="P62" s="80">
        <v>9</v>
      </c>
      <c r="Q62" s="81">
        <v>2</v>
      </c>
      <c r="R62" s="81">
        <v>1</v>
      </c>
      <c r="T62" s="28"/>
      <c r="Y62" s="40"/>
      <c r="Z62" s="16"/>
      <c r="AA62" s="28"/>
    </row>
    <row r="63" spans="1:27" x14ac:dyDescent="0.35">
      <c r="A63" s="68">
        <v>0.9</v>
      </c>
      <c r="B63" s="55">
        <v>1000</v>
      </c>
      <c r="C63" s="55">
        <v>1000</v>
      </c>
      <c r="D63" s="55">
        <v>1000</v>
      </c>
      <c r="E63" s="55">
        <v>1000</v>
      </c>
      <c r="F63" s="55">
        <v>1000</v>
      </c>
      <c r="G63" s="55">
        <v>1000</v>
      </c>
      <c r="H63" s="55">
        <v>1000</v>
      </c>
      <c r="I63" s="55">
        <v>1000</v>
      </c>
      <c r="J63" s="55">
        <v>1000</v>
      </c>
      <c r="K63" s="55">
        <v>1000</v>
      </c>
      <c r="L63" s="55">
        <v>1000</v>
      </c>
      <c r="M63" s="55">
        <v>1000</v>
      </c>
      <c r="O63" s="55"/>
      <c r="P63" s="55"/>
      <c r="Q63" s="55"/>
      <c r="T63" s="28"/>
      <c r="Y63" s="40"/>
      <c r="Z63" s="16"/>
      <c r="AA63" s="28"/>
    </row>
    <row r="64" spans="1:27" x14ac:dyDescent="0.35">
      <c r="A64" s="68">
        <v>1</v>
      </c>
      <c r="B64" s="55">
        <v>1000</v>
      </c>
      <c r="C64" s="55">
        <v>1000</v>
      </c>
      <c r="D64" s="55">
        <v>1000</v>
      </c>
      <c r="E64" s="55">
        <v>1000</v>
      </c>
      <c r="F64" s="55">
        <v>1000</v>
      </c>
      <c r="G64" s="55">
        <v>1000</v>
      </c>
      <c r="H64" s="55">
        <v>1000</v>
      </c>
      <c r="I64" s="55">
        <v>1000</v>
      </c>
      <c r="J64" s="55">
        <v>1000</v>
      </c>
      <c r="K64" s="55">
        <v>1000</v>
      </c>
      <c r="L64" s="55">
        <v>1000</v>
      </c>
      <c r="M64" s="55">
        <v>1000</v>
      </c>
      <c r="O64" s="55"/>
      <c r="P64" s="55"/>
      <c r="Q64" s="55"/>
      <c r="T64" s="28"/>
      <c r="Y64" s="40"/>
      <c r="Z64" s="16"/>
      <c r="AA64" s="28"/>
    </row>
    <row r="65" spans="1:27" x14ac:dyDescent="0.35">
      <c r="A65" s="68">
        <v>1.1000000000000001</v>
      </c>
      <c r="B65" s="55">
        <v>1000</v>
      </c>
      <c r="C65" s="55">
        <v>1000</v>
      </c>
      <c r="D65" s="55">
        <v>1000</v>
      </c>
      <c r="E65" s="55">
        <v>1000</v>
      </c>
      <c r="F65" s="55">
        <v>0</v>
      </c>
      <c r="G65" s="55">
        <v>0</v>
      </c>
      <c r="H65" s="55">
        <v>0</v>
      </c>
      <c r="I65" s="55">
        <v>0</v>
      </c>
      <c r="J65" s="55">
        <v>0</v>
      </c>
      <c r="K65" s="55">
        <v>0</v>
      </c>
      <c r="L65" s="55">
        <v>0</v>
      </c>
      <c r="M65" s="55">
        <v>0</v>
      </c>
      <c r="O65" s="55"/>
      <c r="P65" s="55"/>
      <c r="Q65" s="55"/>
      <c r="T65" s="28"/>
      <c r="Y65" s="40"/>
      <c r="Z65" s="16"/>
      <c r="AA65" s="28"/>
    </row>
    <row r="66" spans="1:27" x14ac:dyDescent="0.35">
      <c r="A66" s="68">
        <v>1.2</v>
      </c>
      <c r="B66">
        <v>1000</v>
      </c>
      <c r="C66">
        <v>1000</v>
      </c>
      <c r="D66">
        <v>1000</v>
      </c>
      <c r="E66">
        <v>1000</v>
      </c>
      <c r="F66">
        <v>0</v>
      </c>
      <c r="G66">
        <v>0</v>
      </c>
      <c r="H66">
        <v>0</v>
      </c>
      <c r="I66">
        <v>0</v>
      </c>
      <c r="J66">
        <v>0</v>
      </c>
      <c r="K66">
        <v>0</v>
      </c>
      <c r="L66">
        <v>0</v>
      </c>
      <c r="M66">
        <v>0</v>
      </c>
      <c r="O66" s="55"/>
      <c r="P66" s="55"/>
      <c r="Q66" s="55"/>
      <c r="T66" s="28"/>
      <c r="Y66" s="28"/>
      <c r="Z66" s="16"/>
    </row>
    <row r="67" spans="1:27" x14ac:dyDescent="0.35">
      <c r="A67" s="68">
        <v>1.3</v>
      </c>
      <c r="B67">
        <v>1000</v>
      </c>
      <c r="C67">
        <v>1000</v>
      </c>
      <c r="D67">
        <v>1000</v>
      </c>
      <c r="E67">
        <v>1000</v>
      </c>
      <c r="F67">
        <v>0</v>
      </c>
      <c r="G67">
        <v>0</v>
      </c>
      <c r="H67">
        <v>0</v>
      </c>
      <c r="I67">
        <v>0</v>
      </c>
      <c r="J67">
        <v>0</v>
      </c>
      <c r="K67">
        <v>0</v>
      </c>
      <c r="L67">
        <v>0</v>
      </c>
      <c r="M67">
        <v>0</v>
      </c>
      <c r="O67" s="55"/>
      <c r="P67" s="55"/>
      <c r="Q67" s="55"/>
      <c r="T67" s="28"/>
      <c r="Y67" s="28"/>
      <c r="Z67" s="16"/>
    </row>
    <row r="68" spans="1:27" x14ac:dyDescent="0.35">
      <c r="A68" s="68">
        <v>1.4</v>
      </c>
      <c r="B68">
        <v>0</v>
      </c>
      <c r="C68">
        <v>0</v>
      </c>
      <c r="D68">
        <v>0</v>
      </c>
      <c r="E68">
        <v>0</v>
      </c>
      <c r="F68">
        <v>0</v>
      </c>
      <c r="G68">
        <v>0</v>
      </c>
      <c r="H68">
        <v>0</v>
      </c>
      <c r="I68">
        <v>0</v>
      </c>
      <c r="J68">
        <v>0</v>
      </c>
      <c r="K68">
        <v>0</v>
      </c>
      <c r="L68">
        <v>0</v>
      </c>
      <c r="M68">
        <v>0</v>
      </c>
      <c r="O68" s="55"/>
      <c r="P68" s="55"/>
      <c r="Q68" s="55"/>
      <c r="T68" s="28"/>
      <c r="Y68" s="28"/>
      <c r="Z68" s="16"/>
    </row>
    <row r="69" spans="1:27" x14ac:dyDescent="0.35">
      <c r="A69" s="68">
        <v>1.5</v>
      </c>
      <c r="B69">
        <v>0</v>
      </c>
      <c r="C69">
        <v>0</v>
      </c>
      <c r="D69">
        <v>0</v>
      </c>
      <c r="E69">
        <v>0</v>
      </c>
      <c r="F69">
        <v>0</v>
      </c>
      <c r="G69">
        <v>0</v>
      </c>
      <c r="H69">
        <v>0</v>
      </c>
      <c r="I69">
        <v>0</v>
      </c>
      <c r="J69">
        <v>0</v>
      </c>
      <c r="K69">
        <v>0</v>
      </c>
      <c r="L69">
        <v>0</v>
      </c>
      <c r="M69">
        <v>0</v>
      </c>
      <c r="T69" s="28"/>
      <c r="Y69" s="28"/>
      <c r="Z69" s="16"/>
    </row>
    <row r="70" spans="1:27" x14ac:dyDescent="0.35">
      <c r="T70" s="28"/>
      <c r="Y70" s="28"/>
      <c r="Z70" s="16"/>
    </row>
    <row r="71" spans="1:27" x14ac:dyDescent="0.35">
      <c r="T71" s="28"/>
      <c r="Y71" s="28"/>
      <c r="Z71" s="16"/>
    </row>
    <row r="72" spans="1:27" x14ac:dyDescent="0.35">
      <c r="T72" s="28"/>
      <c r="U72" s="28"/>
      <c r="Z72" s="3"/>
    </row>
    <row r="73" spans="1:27" x14ac:dyDescent="0.35">
      <c r="T73" s="28"/>
      <c r="U73" s="28"/>
      <c r="Z73" s="3"/>
    </row>
    <row r="74" spans="1:27" x14ac:dyDescent="0.35">
      <c r="A74" s="3"/>
      <c r="B74" s="3"/>
      <c r="C74" s="3"/>
      <c r="D74" s="3"/>
      <c r="E74" s="3"/>
      <c r="F74" s="3"/>
      <c r="G74" s="3"/>
      <c r="H74" s="3"/>
      <c r="I74" s="3"/>
      <c r="J74" s="3"/>
      <c r="K74" s="3"/>
      <c r="L74" s="3"/>
      <c r="M74" s="3"/>
      <c r="T74" s="28"/>
      <c r="U74" s="28"/>
    </row>
    <row r="75" spans="1:27" x14ac:dyDescent="0.35">
      <c r="A75" s="6"/>
      <c r="B75" s="3"/>
      <c r="C75" s="3"/>
      <c r="D75" s="3"/>
      <c r="E75" s="3"/>
      <c r="F75" s="3"/>
      <c r="G75" s="3"/>
      <c r="H75" s="3"/>
      <c r="I75" s="3"/>
      <c r="J75" s="3"/>
      <c r="K75" s="3"/>
      <c r="L75" s="3"/>
      <c r="M75" s="3"/>
      <c r="T75" s="28"/>
      <c r="U75" s="28"/>
    </row>
    <row r="76" spans="1:27" x14ac:dyDescent="0.35">
      <c r="A76" s="71"/>
      <c r="B76" s="72"/>
      <c r="C76" s="4"/>
      <c r="D76" s="4"/>
      <c r="E76" s="4"/>
      <c r="F76" s="4"/>
      <c r="G76" s="4"/>
      <c r="H76" s="4"/>
      <c r="I76" s="4"/>
      <c r="J76" s="4"/>
      <c r="K76" s="4"/>
      <c r="L76" s="4"/>
      <c r="M76" s="4"/>
      <c r="T76" s="28"/>
      <c r="U76" s="28"/>
    </row>
    <row r="77" spans="1:27" x14ac:dyDescent="0.35">
      <c r="A77" s="71"/>
      <c r="B77" s="4"/>
      <c r="C77" s="4"/>
      <c r="D77" s="4"/>
      <c r="E77" s="4"/>
      <c r="F77" s="4"/>
      <c r="G77" s="4"/>
      <c r="H77" s="4"/>
      <c r="I77" s="4"/>
      <c r="J77" s="4"/>
      <c r="K77" s="4"/>
      <c r="L77" s="4"/>
      <c r="M77" s="4"/>
      <c r="T77" s="28"/>
      <c r="U77" s="28"/>
    </row>
    <row r="78" spans="1:27" x14ac:dyDescent="0.35">
      <c r="A78" s="71"/>
      <c r="B78" s="4"/>
      <c r="C78" s="4"/>
      <c r="D78" s="4"/>
      <c r="E78" s="4"/>
      <c r="F78" s="4"/>
      <c r="G78" s="4"/>
      <c r="H78" s="4"/>
      <c r="I78" s="4"/>
      <c r="J78" s="4"/>
      <c r="K78" s="4"/>
      <c r="L78" s="4"/>
      <c r="M78" s="4"/>
      <c r="T78" s="28"/>
      <c r="U78" s="28"/>
    </row>
    <row r="79" spans="1:27" x14ac:dyDescent="0.35">
      <c r="A79" s="71"/>
      <c r="B79" s="4"/>
      <c r="C79" s="4"/>
      <c r="D79" s="4"/>
      <c r="E79" s="4"/>
      <c r="F79" s="4"/>
      <c r="G79" s="4"/>
      <c r="H79" s="4"/>
      <c r="I79" s="4"/>
      <c r="J79" s="4"/>
      <c r="K79" s="4"/>
      <c r="L79" s="4"/>
      <c r="M79" s="4"/>
      <c r="T79" s="28"/>
      <c r="U79" s="28"/>
    </row>
    <row r="80" spans="1:27" x14ac:dyDescent="0.35">
      <c r="T80" s="28"/>
      <c r="U80" s="28"/>
    </row>
    <row r="81" spans="20:21" x14ac:dyDescent="0.35">
      <c r="T81" s="28"/>
      <c r="U81" s="28"/>
    </row>
    <row r="82" spans="20:21" x14ac:dyDescent="0.35">
      <c r="T82" s="28"/>
      <c r="U82" s="28"/>
    </row>
    <row r="83" spans="20:21" x14ac:dyDescent="0.35">
      <c r="T83" s="28"/>
      <c r="U83" s="28"/>
    </row>
    <row r="84" spans="20:21" x14ac:dyDescent="0.35">
      <c r="T84" s="28"/>
      <c r="U84" s="28"/>
    </row>
    <row r="85" spans="20:21" x14ac:dyDescent="0.35">
      <c r="T85" s="28"/>
      <c r="U85" s="28"/>
    </row>
    <row r="86" spans="20:21" x14ac:dyDescent="0.35">
      <c r="T86" s="28"/>
      <c r="U86" s="28"/>
    </row>
    <row r="87" spans="20:21" x14ac:dyDescent="0.35">
      <c r="T87" s="28"/>
      <c r="U87" s="28"/>
    </row>
  </sheetData>
  <scenarios current="0" show="0" sqref="N45">
    <scenario name="Condominium increases" locked="1" count="3" user="Lassi" comment="Created by Lassi on 5.8.2021_x000a_Modified by Lassi on 5.8.2021">
      <inputCells r="P9" val="-150" numFmtId="164"/>
      <inputCells r="P19" val="-240" numFmtId="164"/>
      <inputCells r="P29" val="-130" numFmtId="164"/>
    </scenario>
    <scenario name="Rent decrese" locked="1" count="3" user="Lassi" comment="Created by Lassi on 5.8.2021">
      <inputCells r="P4" val="300" numFmtId="164"/>
      <inputCells r="P14" val="400" numFmtId="164"/>
      <inputCells r="P24" val="550" numFmtId="164"/>
    </scenario>
    <scenario name="Repairs increases" locked="1" count="2" user="Lassi" comment="Created by Lassi on 6.8.2021">
      <inputCells r="R4" val="-1000" numFmtId="164"/>
      <inputCells r="R14" val="-1500"/>
    </scenario>
  </scenarios>
  <mergeCells count="29">
    <mergeCell ref="A52:M52"/>
    <mergeCell ref="Q13:R13"/>
    <mergeCell ref="Q23:R23"/>
    <mergeCell ref="O52:R52"/>
    <mergeCell ref="O22:P22"/>
    <mergeCell ref="O28:P28"/>
    <mergeCell ref="O21:R21"/>
    <mergeCell ref="O23:P23"/>
    <mergeCell ref="O44:Q45"/>
    <mergeCell ref="R44:R45"/>
    <mergeCell ref="Q41:Q42"/>
    <mergeCell ref="Q32:R32"/>
    <mergeCell ref="O41:P42"/>
    <mergeCell ref="O1:R1"/>
    <mergeCell ref="Q2:R2"/>
    <mergeCell ref="O2:P2"/>
    <mergeCell ref="O38:P39"/>
    <mergeCell ref="Q38:Q39"/>
    <mergeCell ref="O3:P3"/>
    <mergeCell ref="O32:P32"/>
    <mergeCell ref="O13:P13"/>
    <mergeCell ref="Q3:R3"/>
    <mergeCell ref="O12:P12"/>
    <mergeCell ref="O8:P8"/>
    <mergeCell ref="O11:R11"/>
    <mergeCell ref="Q12:R12"/>
    <mergeCell ref="O31:R31"/>
    <mergeCell ref="O18:P18"/>
    <mergeCell ref="Q22:R22"/>
  </mergeCells>
  <conditionalFormatting sqref="V47:V53 B33:M39 Z59 R14 R4 B3:M10 R24 P24:P27 P29:P30 P14:P17 P19:P20 P4:P7 P9:P10 P33:P35 R33:R36 Q38 V32:V35 V37:V38 Q43 V21:V23 B46:M46 B45:N45 B13:M20 B23:M30">
    <cfRule type="cellIs" dxfId="31" priority="169" operator="lessThan">
      <formula>0</formula>
    </cfRule>
    <cfRule type="cellIs" dxfId="30" priority="170" operator="greaterThan">
      <formula>0</formula>
    </cfRule>
  </conditionalFormatting>
  <conditionalFormatting sqref="B40:M40">
    <cfRule type="cellIs" dxfId="29" priority="149" operator="lessThan">
      <formula>0</formula>
    </cfRule>
    <cfRule type="cellIs" dxfId="28" priority="150" operator="greaterThan">
      <formula>0</formula>
    </cfRule>
  </conditionalFormatting>
  <conditionalFormatting sqref="B44:M44">
    <cfRule type="cellIs" dxfId="27" priority="147" operator="lessThan">
      <formula>0</formula>
    </cfRule>
    <cfRule type="cellIs" dxfId="26" priority="148" operator="greaterThan">
      <formula>0</formula>
    </cfRule>
  </conditionalFormatting>
  <conditionalFormatting sqref="B43:M43">
    <cfRule type="cellIs" dxfId="25" priority="145" operator="lessThan">
      <formula>0</formula>
    </cfRule>
    <cfRule type="cellIs" dxfId="24" priority="146" operator="greaterThan">
      <formula>0</formula>
    </cfRule>
  </conditionalFormatting>
  <conditionalFormatting sqref="V28">
    <cfRule type="cellIs" dxfId="23" priority="139" operator="lessThan">
      <formula>0</formula>
    </cfRule>
    <cfRule type="cellIs" dxfId="22" priority="140" operator="greaterThan">
      <formula>0</formula>
    </cfRule>
  </conditionalFormatting>
  <conditionalFormatting sqref="V39">
    <cfRule type="cellIs" dxfId="21" priority="137" operator="lessThan">
      <formula>0</formula>
    </cfRule>
    <cfRule type="cellIs" dxfId="20" priority="138" operator="greaterThan">
      <formula>0</formula>
    </cfRule>
  </conditionalFormatting>
  <conditionalFormatting sqref="Z54">
    <cfRule type="cellIs" dxfId="19" priority="135" operator="lessThan">
      <formula>0</formula>
    </cfRule>
    <cfRule type="cellIs" dxfId="18" priority="136" operator="greaterThan">
      <formula>0</formula>
    </cfRule>
  </conditionalFormatting>
  <conditionalFormatting sqref="T17:T23">
    <cfRule type="cellIs" dxfId="17" priority="127" operator="lessThan">
      <formula>0</formula>
    </cfRule>
    <cfRule type="cellIs" dxfId="16" priority="128" operator="greaterThan">
      <formula>0</formula>
    </cfRule>
  </conditionalFormatting>
  <conditionalFormatting sqref="Q41">
    <cfRule type="cellIs" dxfId="15" priority="123" operator="lessThan">
      <formula>0</formula>
    </cfRule>
    <cfRule type="cellIs" dxfId="14" priority="124" operator="greaterThan">
      <formula>0</formula>
    </cfRule>
  </conditionalFormatting>
  <conditionalFormatting sqref="B54:M55 B57 B58:M65 B56:C56">
    <cfRule type="colorScale" priority="122">
      <colorScale>
        <cfvo type="min"/>
        <cfvo type="percentile" val="50"/>
        <cfvo type="max"/>
        <color rgb="FFF8696B"/>
        <color rgb="FFFFEB84"/>
        <color rgb="FF63BE7B"/>
      </colorScale>
    </cfRule>
  </conditionalFormatting>
  <conditionalFormatting sqref="B54:M65">
    <cfRule type="colorScale" priority="121">
      <colorScale>
        <cfvo type="min"/>
        <cfvo type="max"/>
        <color rgb="FFF8696B"/>
        <color rgb="FFFCFCFF"/>
      </colorScale>
    </cfRule>
  </conditionalFormatting>
  <conditionalFormatting sqref="B54:M65">
    <cfRule type="colorScale" priority="120">
      <colorScale>
        <cfvo type="min"/>
        <cfvo type="max"/>
        <color rgb="FFF8696B"/>
        <color rgb="FFFCFCFF"/>
      </colorScale>
    </cfRule>
  </conditionalFormatting>
  <conditionalFormatting sqref="B54:M69">
    <cfRule type="colorScale" priority="104">
      <colorScale>
        <cfvo type="min"/>
        <cfvo type="percentile" val="50"/>
        <cfvo type="max"/>
        <color rgb="FF63BE7B"/>
        <color rgb="FFFFEB84"/>
        <color rgb="FFF8696B"/>
      </colorScale>
    </cfRule>
    <cfRule type="colorScale" priority="119">
      <colorScale>
        <cfvo type="min"/>
        <cfvo type="max"/>
        <color rgb="FFF8696B"/>
        <color rgb="FFFCFCFF"/>
      </colorScale>
    </cfRule>
  </conditionalFormatting>
  <conditionalFormatting sqref="B78:M79">
    <cfRule type="cellIs" dxfId="13" priority="115" operator="lessThan">
      <formula>0</formula>
    </cfRule>
    <cfRule type="cellIs" dxfId="12" priority="116" operator="greaterThan">
      <formula>0</formula>
    </cfRule>
  </conditionalFormatting>
  <conditionalFormatting sqref="B77:M77">
    <cfRule type="cellIs" dxfId="11" priority="113" operator="lessThan">
      <formula>0</formula>
    </cfRule>
    <cfRule type="cellIs" dxfId="10" priority="114" operator="greaterThan">
      <formula>0</formula>
    </cfRule>
  </conditionalFormatting>
  <conditionalFormatting sqref="B76:M76">
    <cfRule type="cellIs" dxfId="9" priority="111" operator="lessThan">
      <formula>0</formula>
    </cfRule>
    <cfRule type="cellIs" dxfId="8" priority="112" operator="greaterThan">
      <formula>0</formula>
    </cfRule>
  </conditionalFormatting>
  <conditionalFormatting sqref="Q54:R62">
    <cfRule type="colorScale" priority="103">
      <colorScale>
        <cfvo type="min"/>
        <cfvo type="max"/>
        <color rgb="FF63BE7B"/>
        <color rgb="FFFFEF9C"/>
      </colorScale>
    </cfRule>
  </conditionalFormatting>
  <conditionalFormatting sqref="R41">
    <cfRule type="cellIs" dxfId="7" priority="93" operator="lessThan">
      <formula>0</formula>
    </cfRule>
    <cfRule type="cellIs" dxfId="6" priority="94" operator="greaterThan">
      <formula>0</formula>
    </cfRule>
  </conditionalFormatting>
  <conditionalFormatting sqref="U41">
    <cfRule type="cellIs" dxfId="5" priority="67" operator="lessThan">
      <formula>0</formula>
    </cfRule>
    <cfRule type="cellIs" dxfId="4" priority="68" operator="greaterThan">
      <formula>0</formula>
    </cfRule>
  </conditionalFormatting>
  <conditionalFormatting sqref="T41">
    <cfRule type="cellIs" dxfId="3" priority="3" operator="lessThan">
      <formula>0</formula>
    </cfRule>
    <cfRule type="cellIs" dxfId="2" priority="4" operator="greaterThan">
      <formula>0</formula>
    </cfRule>
  </conditionalFormatting>
  <conditionalFormatting sqref="R44">
    <cfRule type="cellIs" dxfId="1" priority="1" operator="lessThan">
      <formula>0</formula>
    </cfRule>
    <cfRule type="cellIs" dxfId="0" priority="2" operator="greaterThan">
      <formula>0</formula>
    </cfRule>
  </conditionalFormatting>
  <dataValidations count="2">
    <dataValidation type="list" allowBlank="1" showInputMessage="1" showErrorMessage="1" sqref="O3 O13 Q3 O23 Q13:R13" xr:uid="{C0CB5664-9E9C-4C01-877D-0078E7EBDF77}">
      <formula1>$B$1:$M$1</formula1>
    </dataValidation>
    <dataValidation type="date" allowBlank="1" showInputMessage="1" showErrorMessage="1" sqref="S25" xr:uid="{FC6234D5-3C63-461A-910D-FA9C6A11CD8E}">
      <formula1>B1</formula1>
      <formula2>M1</formula2>
    </dataValidation>
  </dataValidations>
  <pageMargins left="0.7" right="0.7" top="0.75" bottom="0.75" header="0.3" footer="0.3"/>
  <pageSetup paperSize="9" scale="56" orientation="portrait" r:id="rId1"/>
  <colBreaks count="1" manualBreakCount="1">
    <brk id="13" max="45" man="1"/>
  </colBreaks>
  <drawing r:id="rId2"/>
  <legacyDrawing r:id="rId3"/>
  <mc:AlternateContent xmlns:mc="http://schemas.openxmlformats.org/markup-compatibility/2006">
    <mc:Choice Requires="x14">
      <controls>
        <mc:AlternateContent xmlns:mc="http://schemas.openxmlformats.org/markup-compatibility/2006">
          <mc:Choice Requires="x14">
            <control shapeId="1034" r:id="rId4" name="Option Button 10">
              <controlPr defaultSize="0" autoFill="0" autoLine="0" autoPict="0">
                <anchor moveWithCells="1">
                  <from>
                    <xdr:col>14</xdr:col>
                    <xdr:colOff>476250</xdr:colOff>
                    <xdr:row>52</xdr:row>
                    <xdr:rowOff>165100</xdr:rowOff>
                  </from>
                  <to>
                    <xdr:col>14</xdr:col>
                    <xdr:colOff>768350</xdr:colOff>
                    <xdr:row>54</xdr:row>
                    <xdr:rowOff>50800</xdr:rowOff>
                  </to>
                </anchor>
              </controlPr>
            </control>
          </mc:Choice>
        </mc:AlternateContent>
        <mc:AlternateContent xmlns:mc="http://schemas.openxmlformats.org/markup-compatibility/2006">
          <mc:Choice Requires="x14">
            <control shapeId="1042" r:id="rId5" name="Option Button 18">
              <controlPr defaultSize="0" autoFill="0" autoLine="0" autoPict="0">
                <anchor moveWithCells="1">
                  <from>
                    <xdr:col>14</xdr:col>
                    <xdr:colOff>476250</xdr:colOff>
                    <xdr:row>53</xdr:row>
                    <xdr:rowOff>152400</xdr:rowOff>
                  </from>
                  <to>
                    <xdr:col>14</xdr:col>
                    <xdr:colOff>768350</xdr:colOff>
                    <xdr:row>55</xdr:row>
                    <xdr:rowOff>57150</xdr:rowOff>
                  </to>
                </anchor>
              </controlPr>
            </control>
          </mc:Choice>
        </mc:AlternateContent>
        <mc:AlternateContent xmlns:mc="http://schemas.openxmlformats.org/markup-compatibility/2006">
          <mc:Choice Requires="x14">
            <control shapeId="1043" r:id="rId6" name="Option Button 19">
              <controlPr defaultSize="0" autoFill="0" autoLine="0" autoPict="0">
                <anchor moveWithCells="1">
                  <from>
                    <xdr:col>14</xdr:col>
                    <xdr:colOff>476250</xdr:colOff>
                    <xdr:row>54</xdr:row>
                    <xdr:rowOff>158750</xdr:rowOff>
                  </from>
                  <to>
                    <xdr:col>14</xdr:col>
                    <xdr:colOff>768350</xdr:colOff>
                    <xdr:row>56</xdr:row>
                    <xdr:rowOff>57150</xdr:rowOff>
                  </to>
                </anchor>
              </controlPr>
            </control>
          </mc:Choice>
        </mc:AlternateContent>
        <mc:AlternateContent xmlns:mc="http://schemas.openxmlformats.org/markup-compatibility/2006">
          <mc:Choice Requires="x14">
            <control shapeId="1044" r:id="rId7" name="Option Button 20">
              <controlPr defaultSize="0" autoFill="0" autoLine="0" autoPict="0">
                <anchor moveWithCells="1">
                  <from>
                    <xdr:col>14</xdr:col>
                    <xdr:colOff>476250</xdr:colOff>
                    <xdr:row>55</xdr:row>
                    <xdr:rowOff>165100</xdr:rowOff>
                  </from>
                  <to>
                    <xdr:col>14</xdr:col>
                    <xdr:colOff>768350</xdr:colOff>
                    <xdr:row>57</xdr:row>
                    <xdr:rowOff>44450</xdr:rowOff>
                  </to>
                </anchor>
              </controlPr>
            </control>
          </mc:Choice>
        </mc:AlternateContent>
        <mc:AlternateContent xmlns:mc="http://schemas.openxmlformats.org/markup-compatibility/2006">
          <mc:Choice Requires="x14">
            <control shapeId="1045" r:id="rId8" name="Option Button 21">
              <controlPr defaultSize="0" autoFill="0" autoLine="0" autoPict="0">
                <anchor moveWithCells="1">
                  <from>
                    <xdr:col>14</xdr:col>
                    <xdr:colOff>476250</xdr:colOff>
                    <xdr:row>56</xdr:row>
                    <xdr:rowOff>146050</xdr:rowOff>
                  </from>
                  <to>
                    <xdr:col>14</xdr:col>
                    <xdr:colOff>768350</xdr:colOff>
                    <xdr:row>58</xdr:row>
                    <xdr:rowOff>57150</xdr:rowOff>
                  </to>
                </anchor>
              </controlPr>
            </control>
          </mc:Choice>
        </mc:AlternateContent>
        <mc:AlternateContent xmlns:mc="http://schemas.openxmlformats.org/markup-compatibility/2006">
          <mc:Choice Requires="x14">
            <control shapeId="1046" r:id="rId9" name="Option Button 22">
              <controlPr defaultSize="0" autoFill="0" autoLine="0" autoPict="0">
                <anchor moveWithCells="1">
                  <from>
                    <xdr:col>14</xdr:col>
                    <xdr:colOff>476250</xdr:colOff>
                    <xdr:row>57</xdr:row>
                    <xdr:rowOff>152400</xdr:rowOff>
                  </from>
                  <to>
                    <xdr:col>14</xdr:col>
                    <xdr:colOff>768350</xdr:colOff>
                    <xdr:row>59</xdr:row>
                    <xdr:rowOff>50800</xdr:rowOff>
                  </to>
                </anchor>
              </controlPr>
            </control>
          </mc:Choice>
        </mc:AlternateContent>
        <mc:AlternateContent xmlns:mc="http://schemas.openxmlformats.org/markup-compatibility/2006">
          <mc:Choice Requires="x14">
            <control shapeId="1047" r:id="rId10" name="Option Button 23">
              <controlPr defaultSize="0" autoFill="0" autoLine="0" autoPict="0">
                <anchor moveWithCells="1">
                  <from>
                    <xdr:col>14</xdr:col>
                    <xdr:colOff>476250</xdr:colOff>
                    <xdr:row>58</xdr:row>
                    <xdr:rowOff>165100</xdr:rowOff>
                  </from>
                  <to>
                    <xdr:col>14</xdr:col>
                    <xdr:colOff>768350</xdr:colOff>
                    <xdr:row>60</xdr:row>
                    <xdr:rowOff>38100</xdr:rowOff>
                  </to>
                </anchor>
              </controlPr>
            </control>
          </mc:Choice>
        </mc:AlternateContent>
        <mc:AlternateContent xmlns:mc="http://schemas.openxmlformats.org/markup-compatibility/2006">
          <mc:Choice Requires="x14">
            <control shapeId="1031" r:id="rId11" name="Option Button 7">
              <controlPr defaultSize="0" autoFill="0" autoLine="0" autoPict="0">
                <anchor moveWithCells="1">
                  <from>
                    <xdr:col>14</xdr:col>
                    <xdr:colOff>476250</xdr:colOff>
                    <xdr:row>59</xdr:row>
                    <xdr:rowOff>139700</xdr:rowOff>
                  </from>
                  <to>
                    <xdr:col>14</xdr:col>
                    <xdr:colOff>768350</xdr:colOff>
                    <xdr:row>61</xdr:row>
                    <xdr:rowOff>50800</xdr:rowOff>
                  </to>
                </anchor>
              </controlPr>
            </control>
          </mc:Choice>
        </mc:AlternateContent>
        <mc:AlternateContent xmlns:mc="http://schemas.openxmlformats.org/markup-compatibility/2006">
          <mc:Choice Requires="x14">
            <control shapeId="1032" r:id="rId12" name="Option Button 8">
              <controlPr defaultSize="0" autoFill="0" autoLine="0" autoPict="0">
                <anchor moveWithCells="1">
                  <from>
                    <xdr:col>14</xdr:col>
                    <xdr:colOff>476250</xdr:colOff>
                    <xdr:row>60</xdr:row>
                    <xdr:rowOff>152400</xdr:rowOff>
                  </from>
                  <to>
                    <xdr:col>14</xdr:col>
                    <xdr:colOff>768350</xdr:colOff>
                    <xdr:row>62</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96DD4-1100-425D-9E46-19A1F3C2F7B9}">
  <sheetPr codeName="Sheet2">
    <outlinePr summaryBelow="0"/>
  </sheetPr>
  <dimension ref="B1:G18"/>
  <sheetViews>
    <sheetView showGridLines="0" workbookViewId="0"/>
  </sheetViews>
  <sheetFormatPr defaultRowHeight="14.5" outlineLevelRow="1" outlineLevelCol="1" x14ac:dyDescent="0.35"/>
  <cols>
    <col min="3" max="3" width="13.7265625" bestFit="1" customWidth="1"/>
    <col min="4" max="7" width="19.26953125" bestFit="1" customWidth="1" outlineLevel="1"/>
  </cols>
  <sheetData>
    <row r="1" spans="2:7" ht="15" thickBot="1" x14ac:dyDescent="0.4"/>
    <row r="2" spans="2:7" ht="15.5" x14ac:dyDescent="0.35">
      <c r="B2" s="74" t="s">
        <v>48</v>
      </c>
      <c r="C2" s="74"/>
      <c r="D2" s="62"/>
      <c r="E2" s="62"/>
      <c r="F2" s="62"/>
      <c r="G2" s="62"/>
    </row>
    <row r="3" spans="2:7" ht="15.5" collapsed="1" x14ac:dyDescent="0.35">
      <c r="B3" s="73"/>
      <c r="C3" s="73"/>
      <c r="D3" s="63" t="s">
        <v>50</v>
      </c>
      <c r="E3" s="63" t="s">
        <v>60</v>
      </c>
      <c r="F3" s="63" t="s">
        <v>58</v>
      </c>
      <c r="G3" s="63" t="s">
        <v>67</v>
      </c>
    </row>
    <row r="4" spans="2:7" ht="31.5" hidden="1" outlineLevel="1" x14ac:dyDescent="0.35">
      <c r="B4" s="75"/>
      <c r="C4" s="75"/>
      <c r="D4" s="58"/>
      <c r="E4" s="65" t="s">
        <v>47</v>
      </c>
      <c r="F4" s="65" t="s">
        <v>59</v>
      </c>
      <c r="G4" s="65" t="s">
        <v>68</v>
      </c>
    </row>
    <row r="5" spans="2:7" x14ac:dyDescent="0.35">
      <c r="B5" s="76" t="s">
        <v>49</v>
      </c>
      <c r="C5" s="76"/>
      <c r="D5" s="61"/>
      <c r="E5" s="61"/>
      <c r="F5" s="61"/>
      <c r="G5" s="61"/>
    </row>
    <row r="6" spans="2:7" outlineLevel="1" x14ac:dyDescent="0.35">
      <c r="B6" s="75"/>
      <c r="C6" s="75" t="s">
        <v>43</v>
      </c>
      <c r="D6" s="59">
        <v>-122</v>
      </c>
      <c r="E6" s="64">
        <v>-150</v>
      </c>
      <c r="F6" s="59">
        <v>-122</v>
      </c>
      <c r="G6" s="59">
        <v>-122</v>
      </c>
    </row>
    <row r="7" spans="2:7" outlineLevel="1" x14ac:dyDescent="0.35">
      <c r="B7" s="75"/>
      <c r="C7" s="75" t="s">
        <v>44</v>
      </c>
      <c r="D7" s="59">
        <v>-202</v>
      </c>
      <c r="E7" s="64">
        <v>-240</v>
      </c>
      <c r="F7" s="59">
        <v>-202</v>
      </c>
      <c r="G7" s="59">
        <v>-202</v>
      </c>
    </row>
    <row r="8" spans="2:7" outlineLevel="1" x14ac:dyDescent="0.35">
      <c r="B8" s="75"/>
      <c r="C8" s="75" t="s">
        <v>45</v>
      </c>
      <c r="D8" s="59">
        <v>-121</v>
      </c>
      <c r="E8" s="64">
        <v>-130</v>
      </c>
      <c r="F8" s="59">
        <v>-121</v>
      </c>
      <c r="G8" s="59">
        <v>-121</v>
      </c>
    </row>
    <row r="9" spans="2:7" outlineLevel="1" x14ac:dyDescent="0.35">
      <c r="B9" s="75"/>
      <c r="C9" s="75" t="s">
        <v>55</v>
      </c>
      <c r="D9" s="59">
        <v>345</v>
      </c>
      <c r="E9" s="59">
        <v>345</v>
      </c>
      <c r="F9" s="64">
        <v>300</v>
      </c>
      <c r="G9" s="59">
        <v>345</v>
      </c>
    </row>
    <row r="10" spans="2:7" outlineLevel="1" x14ac:dyDescent="0.35">
      <c r="B10" s="75"/>
      <c r="C10" s="75" t="s">
        <v>56</v>
      </c>
      <c r="D10" s="59">
        <v>440</v>
      </c>
      <c r="E10" s="59">
        <v>440</v>
      </c>
      <c r="F10" s="64">
        <v>400</v>
      </c>
      <c r="G10" s="59">
        <v>440</v>
      </c>
    </row>
    <row r="11" spans="2:7" outlineLevel="1" x14ac:dyDescent="0.35">
      <c r="B11" s="75"/>
      <c r="C11" s="75" t="s">
        <v>57</v>
      </c>
      <c r="D11" s="59">
        <v>600</v>
      </c>
      <c r="E11" s="59">
        <v>600</v>
      </c>
      <c r="F11" s="64">
        <v>550</v>
      </c>
      <c r="G11" s="59">
        <v>600</v>
      </c>
    </row>
    <row r="12" spans="2:7" outlineLevel="1" x14ac:dyDescent="0.35">
      <c r="B12" s="75"/>
      <c r="C12" s="75" t="s">
        <v>65</v>
      </c>
      <c r="D12" s="59">
        <v>-700</v>
      </c>
      <c r="E12" s="59">
        <v>-700</v>
      </c>
      <c r="F12" s="59">
        <v>-700</v>
      </c>
      <c r="G12" s="64">
        <v>-1000</v>
      </c>
    </row>
    <row r="13" spans="2:7" outlineLevel="1" x14ac:dyDescent="0.35">
      <c r="B13" s="75"/>
      <c r="C13" s="75" t="s">
        <v>66</v>
      </c>
      <c r="D13" s="58"/>
      <c r="E13" s="58"/>
      <c r="F13" s="58"/>
      <c r="G13" s="78">
        <v>-1500</v>
      </c>
    </row>
    <row r="14" spans="2:7" x14ac:dyDescent="0.35">
      <c r="B14" s="76" t="s">
        <v>51</v>
      </c>
      <c r="C14" s="76"/>
      <c r="D14" s="61"/>
      <c r="E14" s="61"/>
      <c r="F14" s="61"/>
      <c r="G14" s="61"/>
    </row>
    <row r="15" spans="2:7" ht="15" outlineLevel="1" thickBot="1" x14ac:dyDescent="0.4">
      <c r="B15" s="77"/>
      <c r="C15" s="77" t="s">
        <v>46</v>
      </c>
      <c r="D15" s="60">
        <v>5000</v>
      </c>
      <c r="E15" s="60">
        <v>4000</v>
      </c>
      <c r="F15" s="60">
        <v>4000</v>
      </c>
      <c r="G15" s="60">
        <v>5000</v>
      </c>
    </row>
    <row r="16" spans="2:7" x14ac:dyDescent="0.35">
      <c r="B16" t="s">
        <v>52</v>
      </c>
    </row>
    <row r="17" spans="2:2" x14ac:dyDescent="0.35">
      <c r="B17" t="s">
        <v>53</v>
      </c>
    </row>
    <row r="18" spans="2:2" x14ac:dyDescent="0.35">
      <c r="B18" t="s">
        <v>54</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14</vt:i4>
      </vt:variant>
    </vt:vector>
  </HeadingPairs>
  <TitlesOfParts>
    <vt:vector size="16" baseType="lpstr">
      <vt:lpstr>Tasks 1 and 2</vt:lpstr>
      <vt:lpstr>Scenario Summary</vt:lpstr>
      <vt:lpstr>Condominium1</vt:lpstr>
      <vt:lpstr>Condominium2</vt:lpstr>
      <vt:lpstr>Condominium3</vt:lpstr>
      <vt:lpstr>Loan1</vt:lpstr>
      <vt:lpstr>Loan2</vt:lpstr>
      <vt:lpstr>Loan3</vt:lpstr>
      <vt:lpstr>Months</vt:lpstr>
      <vt:lpstr>'Tasks 1 and 2'!Print_Area</vt:lpstr>
      <vt:lpstr>Renovation</vt:lpstr>
      <vt:lpstr>Rent1</vt:lpstr>
      <vt:lpstr>Rent2</vt:lpstr>
      <vt:lpstr>Rent3</vt:lpstr>
      <vt:lpstr>Repair1</vt:lpstr>
      <vt:lpstr>Repair2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Lassi</dc:creator>
  <cp:lastModifiedBy>Lassi</cp:lastModifiedBy>
  <cp:lastPrinted>2021-08-07T06:51:54Z</cp:lastPrinted>
  <dcterms:created xsi:type="dcterms:W3CDTF">2015-06-05T18:17:20Z</dcterms:created>
  <dcterms:modified xsi:type="dcterms:W3CDTF">2021-08-07T10:57:35Z</dcterms:modified>
</cp:coreProperties>
</file>