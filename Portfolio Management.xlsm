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ämäTyökirja" hidePivotFieldList="1" defaultThemeVersion="166925"/>
  <mc:AlternateContent xmlns:mc="http://schemas.openxmlformats.org/markup-compatibility/2006">
    <mc:Choice Requires="x15">
      <x15ac:absPath xmlns:x15ac="http://schemas.microsoft.com/office/spreadsheetml/2010/11/ac" url="C:\Users\Eve\Documents\Yliopisto\Analyysit\"/>
    </mc:Choice>
  </mc:AlternateContent>
  <xr:revisionPtr revIDLastSave="0" documentId="13_ncr:1_{77BF1840-F0C2-4B61-87F5-31FD793B5678}" xr6:coauthVersionLast="47" xr6:coauthVersionMax="47" xr10:uidLastSave="{00000000-0000-0000-0000-000000000000}"/>
  <bookViews>
    <workbookView xWindow="-108" yWindow="-108" windowWidth="23256" windowHeight="12576" xr2:uid="{CF6E04D7-F62E-40D1-8F6F-BC2FBAB34336}"/>
  </bookViews>
  <sheets>
    <sheet name="Taul2" sheetId="3" r:id="rId1"/>
    <sheet name="2 Portfolio optimization" sheetId="2" r:id="rId2"/>
  </sheets>
  <definedNames>
    <definedName name="solver_adj" localSheetId="0" hidden="1">Taul2!$AH$32:$AI$41</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lhs1" localSheetId="0" hidden="1">Taul2!$AH$32:$AH$41</definedName>
    <definedName name="solver_lhs10" localSheetId="0" hidden="1">Taul2!$AA$42</definedName>
    <definedName name="solver_lhs11" localSheetId="0" hidden="1">Taul2!$AB$42</definedName>
    <definedName name="solver_lhs2" localSheetId="0" hidden="1">Taul2!$AH$32:$AH$41</definedName>
    <definedName name="solver_lhs3" localSheetId="0" hidden="1">Taul2!$AI$32:$AI$41</definedName>
    <definedName name="solver_lhs4" localSheetId="0" hidden="1">Taul2!$AI$42</definedName>
    <definedName name="solver_lhs5" localSheetId="0" hidden="1">Taul2!$AJ$44</definedName>
    <definedName name="solver_lhs6" localSheetId="0" hidden="1">Taul2!$AJ$44</definedName>
    <definedName name="solver_lhs7" localSheetId="0" hidden="1">Taul2!$AA$32:$AA$41</definedName>
    <definedName name="solver_lhs8" localSheetId="0" hidden="1">Taul2!$Z$32:$Z$41</definedName>
    <definedName name="solver_lhs9" localSheetId="0" hidden="1">Taul2!$Z$32:$Z$41</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5</definedName>
    <definedName name="solver_nwt" localSheetId="0" hidden="1">1</definedName>
    <definedName name="solver_opt" localSheetId="0" hidden="1">Taul2!$AJ$48</definedName>
    <definedName name="solver_pre" localSheetId="0" hidden="1">0.000001</definedName>
    <definedName name="solver_rbv" localSheetId="0" hidden="1">1</definedName>
    <definedName name="solver_rel1" localSheetId="0" hidden="1">1</definedName>
    <definedName name="solver_rel10" localSheetId="0" hidden="1">3</definedName>
    <definedName name="solver_rel11" localSheetId="0" hidden="1">2</definedName>
    <definedName name="solver_rel2" localSheetId="0" hidden="1">3</definedName>
    <definedName name="solver_rel3" localSheetId="0" hidden="1">5</definedName>
    <definedName name="solver_rel4" localSheetId="0" hidden="1">3</definedName>
    <definedName name="solver_rel5" localSheetId="0" hidden="1">3</definedName>
    <definedName name="solver_rel6" localSheetId="0" hidden="1">3</definedName>
    <definedName name="solver_rel7" localSheetId="0" hidden="1">5</definedName>
    <definedName name="solver_rel8" localSheetId="0" hidden="1">1</definedName>
    <definedName name="solver_rel9" localSheetId="0" hidden="1">3</definedName>
    <definedName name="solver_rhs1" localSheetId="0" hidden="1">0.3</definedName>
    <definedName name="solver_rhs10" localSheetId="0" hidden="1">5</definedName>
    <definedName name="solver_rhs11" localSheetId="0" hidden="1">1</definedName>
    <definedName name="solver_rhs2" localSheetId="0" hidden="1">0.05</definedName>
    <definedName name="solver_rhs3" localSheetId="0" hidden="1">"binaari"</definedName>
    <definedName name="solver_rhs4" localSheetId="0" hidden="1">5</definedName>
    <definedName name="solver_rhs5" localSheetId="0" hidden="1">Taul2!$AH$48</definedName>
    <definedName name="solver_rhs6" localSheetId="0" hidden="1">Taul2!$AH$48</definedName>
    <definedName name="solver_rhs7" localSheetId="0" hidden="1">"binaari"</definedName>
    <definedName name="solver_rhs8" localSheetId="0" hidden="1">0.3</definedName>
    <definedName name="solver_rhs9" localSheetId="0" hidden="1">0.05</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 name="UlkoisetTiedot_1" localSheetId="1" hidden="1">'2 Portfolio optimization'!$A$1:$C$5512</definedName>
  </definedNames>
  <calcPr calcId="191029"/>
  <pivotCaches>
    <pivotCache cacheId="0" r:id="rId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29" i="3" l="1"/>
  <c r="AH28" i="3"/>
  <c r="AG27" i="3"/>
  <c r="AF26" i="3"/>
  <c r="AE25" i="3"/>
  <c r="AD24" i="3"/>
  <c r="AC23" i="3"/>
  <c r="AB22" i="3"/>
  <c r="AA21" i="3"/>
  <c r="Z20" i="3"/>
  <c r="AB38" i="3"/>
  <c r="AB37" i="3"/>
  <c r="AB35" i="3"/>
  <c r="AI42" i="3"/>
  <c r="AJ41" i="3"/>
  <c r="AJ40" i="3"/>
  <c r="AJ39" i="3"/>
  <c r="AJ38" i="3"/>
  <c r="AJ37" i="3"/>
  <c r="AJ36" i="3"/>
  <c r="AJ35" i="3"/>
  <c r="AJ34" i="3"/>
  <c r="AJ33" i="3"/>
  <c r="AJ32" i="3"/>
  <c r="AE42" i="3"/>
  <c r="AF41" i="3"/>
  <c r="AF40" i="3"/>
  <c r="AF39" i="3"/>
  <c r="AF38" i="3"/>
  <c r="AF37" i="3"/>
  <c r="AF36" i="3"/>
  <c r="AF35" i="3"/>
  <c r="AF34" i="3"/>
  <c r="AF33" i="3"/>
  <c r="AF32" i="3"/>
  <c r="V6" i="3"/>
  <c r="W6" i="3"/>
  <c r="V7" i="3"/>
  <c r="W7" i="3"/>
  <c r="V8" i="3"/>
  <c r="W8" i="3"/>
  <c r="V9" i="3"/>
  <c r="W9" i="3"/>
  <c r="V10" i="3"/>
  <c r="W10" i="3"/>
  <c r="V11" i="3"/>
  <c r="W11" i="3"/>
  <c r="V12" i="3"/>
  <c r="W12" i="3"/>
  <c r="V13" i="3"/>
  <c r="W13" i="3"/>
  <c r="V14" i="3"/>
  <c r="W14" i="3"/>
  <c r="V15" i="3"/>
  <c r="W15" i="3"/>
  <c r="V16" i="3"/>
  <c r="W16" i="3"/>
  <c r="V17" i="3"/>
  <c r="W17" i="3"/>
  <c r="V18" i="3"/>
  <c r="W18" i="3"/>
  <c r="V19" i="3"/>
  <c r="W19" i="3"/>
  <c r="V20" i="3"/>
  <c r="W20" i="3"/>
  <c r="V21" i="3"/>
  <c r="W21" i="3"/>
  <c r="V22" i="3"/>
  <c r="W22" i="3"/>
  <c r="V25" i="3"/>
  <c r="W25" i="3"/>
  <c r="V26" i="3"/>
  <c r="W26" i="3"/>
  <c r="V27" i="3"/>
  <c r="W27" i="3"/>
  <c r="V28" i="3"/>
  <c r="W28" i="3"/>
  <c r="V29" i="3"/>
  <c r="W29" i="3"/>
  <c r="V30" i="3"/>
  <c r="W30" i="3"/>
  <c r="V31" i="3"/>
  <c r="W31" i="3"/>
  <c r="V32" i="3"/>
  <c r="W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5" i="3"/>
  <c r="W505" i="3"/>
  <c r="U6" i="3"/>
  <c r="U7" i="3"/>
  <c r="U8" i="3"/>
  <c r="U9" i="3"/>
  <c r="U10" i="3"/>
  <c r="U11" i="3"/>
  <c r="U12" i="3"/>
  <c r="U13" i="3"/>
  <c r="U14" i="3"/>
  <c r="U15" i="3"/>
  <c r="U16" i="3"/>
  <c r="U17" i="3"/>
  <c r="U18" i="3"/>
  <c r="U19" i="3"/>
  <c r="U20" i="3"/>
  <c r="U21" i="3"/>
  <c r="U22" i="3"/>
  <c r="U25" i="3"/>
  <c r="U26" i="3"/>
  <c r="U27" i="3"/>
  <c r="U28" i="3"/>
  <c r="U29" i="3"/>
  <c r="U30" i="3"/>
  <c r="U31" i="3"/>
  <c r="U32" i="3"/>
  <c r="U33" i="3"/>
  <c r="U34" i="3"/>
  <c r="U35" i="3"/>
  <c r="U36" i="3"/>
  <c r="U37" i="3"/>
  <c r="U38" i="3"/>
  <c r="U39" i="3"/>
  <c r="U40" i="3"/>
  <c r="U41" i="3"/>
  <c r="U42" i="3"/>
  <c r="U43" i="3"/>
  <c r="U44" i="3"/>
  <c r="U45" i="3"/>
  <c r="U46"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5" i="3"/>
  <c r="T6" i="3"/>
  <c r="T7" i="3"/>
  <c r="T8" i="3"/>
  <c r="T9" i="3"/>
  <c r="T10" i="3"/>
  <c r="T11" i="3"/>
  <c r="T12" i="3"/>
  <c r="T13" i="3"/>
  <c r="T14" i="3"/>
  <c r="T15" i="3"/>
  <c r="T16" i="3"/>
  <c r="T17" i="3"/>
  <c r="T18" i="3"/>
  <c r="T19" i="3"/>
  <c r="T20" i="3"/>
  <c r="T21" i="3"/>
  <c r="T22" i="3"/>
  <c r="T25" i="3"/>
  <c r="T26" i="3"/>
  <c r="T27" i="3"/>
  <c r="T28" i="3"/>
  <c r="T29" i="3"/>
  <c r="T30" i="3"/>
  <c r="T31" i="3"/>
  <c r="T32" i="3"/>
  <c r="T33" i="3"/>
  <c r="T34" i="3"/>
  <c r="T35" i="3"/>
  <c r="T36" i="3"/>
  <c r="T37" i="3"/>
  <c r="T38" i="3"/>
  <c r="T39" i="3"/>
  <c r="T40" i="3"/>
  <c r="T41" i="3"/>
  <c r="T42" i="3"/>
  <c r="T43" i="3"/>
  <c r="T44" i="3"/>
  <c r="T45" i="3"/>
  <c r="T46"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5" i="3"/>
  <c r="S6" i="3"/>
  <c r="S7" i="3"/>
  <c r="S8" i="3"/>
  <c r="S9" i="3"/>
  <c r="S10" i="3"/>
  <c r="S11" i="3"/>
  <c r="S12" i="3"/>
  <c r="S13" i="3"/>
  <c r="S14" i="3"/>
  <c r="S15" i="3"/>
  <c r="S16" i="3"/>
  <c r="S17" i="3"/>
  <c r="S18" i="3"/>
  <c r="S19" i="3"/>
  <c r="S20" i="3"/>
  <c r="S21" i="3"/>
  <c r="S22" i="3"/>
  <c r="S25" i="3"/>
  <c r="S26" i="3"/>
  <c r="S27" i="3"/>
  <c r="S28" i="3"/>
  <c r="S29" i="3"/>
  <c r="S30" i="3"/>
  <c r="S31" i="3"/>
  <c r="S32" i="3"/>
  <c r="S33" i="3"/>
  <c r="S34" i="3"/>
  <c r="S35" i="3"/>
  <c r="S36" i="3"/>
  <c r="S37" i="3"/>
  <c r="S38" i="3"/>
  <c r="S39" i="3"/>
  <c r="S40" i="3"/>
  <c r="S41" i="3"/>
  <c r="S42" i="3"/>
  <c r="S43" i="3"/>
  <c r="S44" i="3"/>
  <c r="S45" i="3"/>
  <c r="S46"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5" i="3"/>
  <c r="R6" i="3"/>
  <c r="R7" i="3"/>
  <c r="R8" i="3"/>
  <c r="R9" i="3"/>
  <c r="R10" i="3"/>
  <c r="R11" i="3"/>
  <c r="R12" i="3"/>
  <c r="R13" i="3"/>
  <c r="R14" i="3"/>
  <c r="R15" i="3"/>
  <c r="R16" i="3"/>
  <c r="R17" i="3"/>
  <c r="R18" i="3"/>
  <c r="R19" i="3"/>
  <c r="R20" i="3"/>
  <c r="R21" i="3"/>
  <c r="R22" i="3"/>
  <c r="R25" i="3"/>
  <c r="R26" i="3"/>
  <c r="R27" i="3"/>
  <c r="R28" i="3"/>
  <c r="R29" i="3"/>
  <c r="R30" i="3"/>
  <c r="R31" i="3"/>
  <c r="R32" i="3"/>
  <c r="R33" i="3"/>
  <c r="R34" i="3"/>
  <c r="R35" i="3"/>
  <c r="R36" i="3"/>
  <c r="R37" i="3"/>
  <c r="R38" i="3"/>
  <c r="R39" i="3"/>
  <c r="R40" i="3"/>
  <c r="R41" i="3"/>
  <c r="R42" i="3"/>
  <c r="R43" i="3"/>
  <c r="R44" i="3"/>
  <c r="R45" i="3"/>
  <c r="R46"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5" i="3"/>
  <c r="Q6" i="3"/>
  <c r="Q7" i="3"/>
  <c r="Q8" i="3"/>
  <c r="Q9" i="3"/>
  <c r="Q10" i="3"/>
  <c r="Q11" i="3"/>
  <c r="Q12" i="3"/>
  <c r="Q13" i="3"/>
  <c r="Q14" i="3"/>
  <c r="Q15" i="3"/>
  <c r="Q16" i="3"/>
  <c r="Q17" i="3"/>
  <c r="Q18" i="3"/>
  <c r="Q19" i="3"/>
  <c r="Q20" i="3"/>
  <c r="Q21" i="3"/>
  <c r="Q22" i="3"/>
  <c r="Q25" i="3"/>
  <c r="Q26" i="3"/>
  <c r="Q27" i="3"/>
  <c r="Q28" i="3"/>
  <c r="Q29" i="3"/>
  <c r="Q30" i="3"/>
  <c r="Q31" i="3"/>
  <c r="Q32" i="3"/>
  <c r="Q33" i="3"/>
  <c r="Q34" i="3"/>
  <c r="Q35" i="3"/>
  <c r="Q36" i="3"/>
  <c r="Q37" i="3"/>
  <c r="Q38" i="3"/>
  <c r="Q39" i="3"/>
  <c r="Q40" i="3"/>
  <c r="Q41" i="3"/>
  <c r="Q42" i="3"/>
  <c r="Q43" i="3"/>
  <c r="Q44" i="3"/>
  <c r="Q45" i="3"/>
  <c r="Q46"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Q102" i="3"/>
  <c r="Q103" i="3"/>
  <c r="Q104" i="3"/>
  <c r="Q105" i="3"/>
  <c r="Q106" i="3"/>
  <c r="Q107" i="3"/>
  <c r="Q108" i="3"/>
  <c r="Q109" i="3"/>
  <c r="Q110" i="3"/>
  <c r="Q111" i="3"/>
  <c r="Q112" i="3"/>
  <c r="Q113" i="3"/>
  <c r="Q114" i="3"/>
  <c r="Q115" i="3"/>
  <c r="Q116" i="3"/>
  <c r="Q117" i="3"/>
  <c r="Q118" i="3"/>
  <c r="Q121" i="3"/>
  <c r="Q122" i="3"/>
  <c r="Q123" i="3"/>
  <c r="Q124" i="3"/>
  <c r="Q125" i="3"/>
  <c r="Q126" i="3"/>
  <c r="Q127" i="3"/>
  <c r="Q128" i="3"/>
  <c r="Q129" i="3"/>
  <c r="Q130" i="3"/>
  <c r="Q131" i="3"/>
  <c r="Q132" i="3"/>
  <c r="Q133" i="3"/>
  <c r="Q134" i="3"/>
  <c r="Q135" i="3"/>
  <c r="Q136" i="3"/>
  <c r="Q137" i="3"/>
  <c r="Q138" i="3"/>
  <c r="Q139" i="3"/>
  <c r="Q140" i="3"/>
  <c r="Q141" i="3"/>
  <c r="Q142" i="3"/>
  <c r="Q143" i="3"/>
  <c r="Q144" i="3"/>
  <c r="Q145" i="3"/>
  <c r="Q146" i="3"/>
  <c r="Q147" i="3"/>
  <c r="Q148" i="3"/>
  <c r="Q151" i="3"/>
  <c r="Q152" i="3"/>
  <c r="Q153" i="3"/>
  <c r="Q154" i="3"/>
  <c r="Q155" i="3"/>
  <c r="Q156" i="3"/>
  <c r="Q157" i="3"/>
  <c r="Q158" i="3"/>
  <c r="Q159" i="3"/>
  <c r="Q160" i="3"/>
  <c r="Q161" i="3"/>
  <c r="Q162" i="3"/>
  <c r="Q163" i="3"/>
  <c r="Q164" i="3"/>
  <c r="Q165" i="3"/>
  <c r="Q166" i="3"/>
  <c r="Q167" i="3"/>
  <c r="Q168" i="3"/>
  <c r="Q169" i="3"/>
  <c r="Q170" i="3"/>
  <c r="Q171" i="3"/>
  <c r="Q172" i="3"/>
  <c r="Q173" i="3"/>
  <c r="Q174" i="3"/>
  <c r="Q175" i="3"/>
  <c r="Q176"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219" i="3"/>
  <c r="Q220" i="3"/>
  <c r="Q221" i="3"/>
  <c r="Q222" i="3"/>
  <c r="Q223" i="3"/>
  <c r="Q224" i="3"/>
  <c r="Q225" i="3"/>
  <c r="Q226" i="3"/>
  <c r="Q227" i="3"/>
  <c r="Q228" i="3"/>
  <c r="Q229" i="3"/>
  <c r="Q230" i="3"/>
  <c r="Q231" i="3"/>
  <c r="Q232" i="3"/>
  <c r="Q233" i="3"/>
  <c r="Q234" i="3"/>
  <c r="Q235" i="3"/>
  <c r="Q236" i="3"/>
  <c r="Q237" i="3"/>
  <c r="Q238" i="3"/>
  <c r="Q239" i="3"/>
  <c r="Q240" i="3"/>
  <c r="Q241" i="3"/>
  <c r="Q242" i="3"/>
  <c r="Q243" i="3"/>
  <c r="Q244" i="3"/>
  <c r="Q245" i="3"/>
  <c r="Q246" i="3"/>
  <c r="Q247" i="3"/>
  <c r="Q248" i="3"/>
  <c r="Q249" i="3"/>
  <c r="Q250" i="3"/>
  <c r="Q251" i="3"/>
  <c r="Q252" i="3"/>
  <c r="Q253" i="3"/>
  <c r="Q254" i="3"/>
  <c r="Q255" i="3"/>
  <c r="Q256" i="3"/>
  <c r="Q257" i="3"/>
  <c r="Q258" i="3"/>
  <c r="Q259" i="3"/>
  <c r="Q260" i="3"/>
  <c r="Q261" i="3"/>
  <c r="Q262" i="3"/>
  <c r="Q263" i="3"/>
  <c r="Q264" i="3"/>
  <c r="Q265" i="3"/>
  <c r="Q266" i="3"/>
  <c r="Q267" i="3"/>
  <c r="Q268" i="3"/>
  <c r="Q269" i="3"/>
  <c r="Q270" i="3"/>
  <c r="Q271" i="3"/>
  <c r="Q272" i="3"/>
  <c r="Q273" i="3"/>
  <c r="Q274" i="3"/>
  <c r="Q275" i="3"/>
  <c r="Q276" i="3"/>
  <c r="Q277" i="3"/>
  <c r="Q278" i="3"/>
  <c r="Q279" i="3"/>
  <c r="Q280" i="3"/>
  <c r="Q281" i="3"/>
  <c r="Q282" i="3"/>
  <c r="Q283" i="3"/>
  <c r="Q284" i="3"/>
  <c r="Q285" i="3"/>
  <c r="Q286" i="3"/>
  <c r="Q287" i="3"/>
  <c r="Q288" i="3"/>
  <c r="Q289" i="3"/>
  <c r="Q290" i="3"/>
  <c r="Q291" i="3"/>
  <c r="Q292" i="3"/>
  <c r="Q293" i="3"/>
  <c r="Q294" i="3"/>
  <c r="Q295" i="3"/>
  <c r="Q296" i="3"/>
  <c r="Q297" i="3"/>
  <c r="Q298" i="3"/>
  <c r="Q299" i="3"/>
  <c r="Q300" i="3"/>
  <c r="Q301" i="3"/>
  <c r="Q302" i="3"/>
  <c r="Q303" i="3"/>
  <c r="Q304" i="3"/>
  <c r="Q305" i="3"/>
  <c r="Q306" i="3"/>
  <c r="Q307" i="3"/>
  <c r="Q308" i="3"/>
  <c r="Q309" i="3"/>
  <c r="Q310" i="3"/>
  <c r="Q311" i="3"/>
  <c r="Q312" i="3"/>
  <c r="Q313" i="3"/>
  <c r="Q314" i="3"/>
  <c r="Q315" i="3"/>
  <c r="Q316" i="3"/>
  <c r="Q317" i="3"/>
  <c r="Q318" i="3"/>
  <c r="Q319" i="3"/>
  <c r="Q320" i="3"/>
  <c r="Q321" i="3"/>
  <c r="Q322" i="3"/>
  <c r="Q323" i="3"/>
  <c r="Q324" i="3"/>
  <c r="Q325" i="3"/>
  <c r="Q326" i="3"/>
  <c r="Q327" i="3"/>
  <c r="Q328" i="3"/>
  <c r="Q329" i="3"/>
  <c r="Q330" i="3"/>
  <c r="Q331" i="3"/>
  <c r="Q332" i="3"/>
  <c r="Q333" i="3"/>
  <c r="Q334" i="3"/>
  <c r="Q335" i="3"/>
  <c r="Q336" i="3"/>
  <c r="Q337" i="3"/>
  <c r="Q338" i="3"/>
  <c r="Q339" i="3"/>
  <c r="Q340" i="3"/>
  <c r="Q341" i="3"/>
  <c r="Q342" i="3"/>
  <c r="Q343" i="3"/>
  <c r="Q344" i="3"/>
  <c r="Q345" i="3"/>
  <c r="Q346" i="3"/>
  <c r="Q347" i="3"/>
  <c r="Q348" i="3"/>
  <c r="Q349" i="3"/>
  <c r="Q350" i="3"/>
  <c r="Q351" i="3"/>
  <c r="Q352" i="3"/>
  <c r="Q353" i="3"/>
  <c r="Q354" i="3"/>
  <c r="Q355" i="3"/>
  <c r="Q356" i="3"/>
  <c r="Q357" i="3"/>
  <c r="Q358" i="3"/>
  <c r="Q359" i="3"/>
  <c r="Q360" i="3"/>
  <c r="Q361" i="3"/>
  <c r="Q362" i="3"/>
  <c r="Q363" i="3"/>
  <c r="Q364" i="3"/>
  <c r="Q365" i="3"/>
  <c r="Q366" i="3"/>
  <c r="Q367" i="3"/>
  <c r="Q368" i="3"/>
  <c r="Q369" i="3"/>
  <c r="Q370" i="3"/>
  <c r="Q371" i="3"/>
  <c r="Q372" i="3"/>
  <c r="Q373" i="3"/>
  <c r="Q374" i="3"/>
  <c r="Q375" i="3"/>
  <c r="Q376" i="3"/>
  <c r="Q377" i="3"/>
  <c r="Q378" i="3"/>
  <c r="Q379" i="3"/>
  <c r="Q380" i="3"/>
  <c r="Q381" i="3"/>
  <c r="Q382" i="3"/>
  <c r="Q383" i="3"/>
  <c r="Q384" i="3"/>
  <c r="Q385" i="3"/>
  <c r="Q386" i="3"/>
  <c r="Q387" i="3"/>
  <c r="Q388" i="3"/>
  <c r="Q389" i="3"/>
  <c r="Q390" i="3"/>
  <c r="Q391" i="3"/>
  <c r="Q392" i="3"/>
  <c r="Q393" i="3"/>
  <c r="Q394" i="3"/>
  <c r="Q395" i="3"/>
  <c r="Q396" i="3"/>
  <c r="Q397" i="3"/>
  <c r="Q398" i="3"/>
  <c r="Q399" i="3"/>
  <c r="Q400" i="3"/>
  <c r="Q401" i="3"/>
  <c r="Q402" i="3"/>
  <c r="Q403" i="3"/>
  <c r="Q404" i="3"/>
  <c r="Q405" i="3"/>
  <c r="Q406" i="3"/>
  <c r="Q407" i="3"/>
  <c r="Q408" i="3"/>
  <c r="Q409" i="3"/>
  <c r="Q410" i="3"/>
  <c r="Q411" i="3"/>
  <c r="Q412" i="3"/>
  <c r="Q413" i="3"/>
  <c r="Q416" i="3"/>
  <c r="Q417" i="3"/>
  <c r="Q418" i="3"/>
  <c r="Q419" i="3"/>
  <c r="Q420" i="3"/>
  <c r="Q421" i="3"/>
  <c r="Q422" i="3"/>
  <c r="Q423" i="3"/>
  <c r="Q424" i="3"/>
  <c r="Q425" i="3"/>
  <c r="Q426" i="3"/>
  <c r="Q427" i="3"/>
  <c r="Q428" i="3"/>
  <c r="Q429" i="3"/>
  <c r="Q430" i="3"/>
  <c r="Q431" i="3"/>
  <c r="Q432" i="3"/>
  <c r="Q433" i="3"/>
  <c r="Q434" i="3"/>
  <c r="Q435" i="3"/>
  <c r="Q436" i="3"/>
  <c r="Q437" i="3"/>
  <c r="Q438" i="3"/>
  <c r="Q439" i="3"/>
  <c r="Q440" i="3"/>
  <c r="Q441" i="3"/>
  <c r="Q442" i="3"/>
  <c r="Q443" i="3"/>
  <c r="Q444" i="3"/>
  <c r="Q445" i="3"/>
  <c r="Q446" i="3"/>
  <c r="Q447" i="3"/>
  <c r="Q448" i="3"/>
  <c r="Q449" i="3"/>
  <c r="Q450" i="3"/>
  <c r="Q451" i="3"/>
  <c r="Q452" i="3"/>
  <c r="Q453" i="3"/>
  <c r="Q454" i="3"/>
  <c r="Q455" i="3"/>
  <c r="Q456" i="3"/>
  <c r="Q457" i="3"/>
  <c r="Q458" i="3"/>
  <c r="Q459" i="3"/>
  <c r="Q460" i="3"/>
  <c r="Q461" i="3"/>
  <c r="Q462" i="3"/>
  <c r="Q463" i="3"/>
  <c r="Q464" i="3"/>
  <c r="Q465" i="3"/>
  <c r="Q466" i="3"/>
  <c r="Q467" i="3"/>
  <c r="Q468" i="3"/>
  <c r="Q469" i="3"/>
  <c r="Q470" i="3"/>
  <c r="Q471" i="3"/>
  <c r="Q472" i="3"/>
  <c r="Q473" i="3"/>
  <c r="Q474" i="3"/>
  <c r="Q475" i="3"/>
  <c r="Q476" i="3"/>
  <c r="Q477" i="3"/>
  <c r="Q478" i="3"/>
  <c r="Q479" i="3"/>
  <c r="Q480" i="3"/>
  <c r="Q481" i="3"/>
  <c r="Q482" i="3"/>
  <c r="Q483" i="3"/>
  <c r="Q484" i="3"/>
  <c r="Q485" i="3"/>
  <c r="Q486" i="3"/>
  <c r="Q487" i="3"/>
  <c r="Q488" i="3"/>
  <c r="Q489" i="3"/>
  <c r="Q490" i="3"/>
  <c r="Q491" i="3"/>
  <c r="Q492" i="3"/>
  <c r="Q493" i="3"/>
  <c r="Q494" i="3"/>
  <c r="Q495" i="3"/>
  <c r="Q496" i="3"/>
  <c r="Q497" i="3"/>
  <c r="Q498" i="3"/>
  <c r="Q499" i="3"/>
  <c r="Q500" i="3"/>
  <c r="Q501" i="3"/>
  <c r="Q502" i="3"/>
  <c r="Q505" i="3"/>
  <c r="P6" i="3"/>
  <c r="P7" i="3"/>
  <c r="P8" i="3"/>
  <c r="P9" i="3"/>
  <c r="P10" i="3"/>
  <c r="P11" i="3"/>
  <c r="P12" i="3"/>
  <c r="P13" i="3"/>
  <c r="P14" i="3"/>
  <c r="P15" i="3"/>
  <c r="P16" i="3"/>
  <c r="P17" i="3"/>
  <c r="P18" i="3"/>
  <c r="P19" i="3"/>
  <c r="P20" i="3"/>
  <c r="P21" i="3"/>
  <c r="P22" i="3"/>
  <c r="P25" i="3"/>
  <c r="P26" i="3"/>
  <c r="P27" i="3"/>
  <c r="P28" i="3"/>
  <c r="P29" i="3"/>
  <c r="P30" i="3"/>
  <c r="P31" i="3"/>
  <c r="P32" i="3"/>
  <c r="P33" i="3"/>
  <c r="P34" i="3"/>
  <c r="P35" i="3"/>
  <c r="P36" i="3"/>
  <c r="P37" i="3"/>
  <c r="P38" i="3"/>
  <c r="P39" i="3"/>
  <c r="P40" i="3"/>
  <c r="P41" i="3"/>
  <c r="P42" i="3"/>
  <c r="P43" i="3"/>
  <c r="P44" i="3"/>
  <c r="P45" i="3"/>
  <c r="P46"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5" i="3"/>
  <c r="O6" i="3"/>
  <c r="O7" i="3"/>
  <c r="O8" i="3"/>
  <c r="O9" i="3"/>
  <c r="O10" i="3"/>
  <c r="O11" i="3"/>
  <c r="O12" i="3"/>
  <c r="O13" i="3"/>
  <c r="O14" i="3"/>
  <c r="O15" i="3"/>
  <c r="O16" i="3"/>
  <c r="O17" i="3"/>
  <c r="O18" i="3"/>
  <c r="O19" i="3"/>
  <c r="O20" i="3"/>
  <c r="O21" i="3"/>
  <c r="O22" i="3"/>
  <c r="O25" i="3"/>
  <c r="O26" i="3"/>
  <c r="O27" i="3"/>
  <c r="O28" i="3"/>
  <c r="O29" i="3"/>
  <c r="O30" i="3"/>
  <c r="O31" i="3"/>
  <c r="O32" i="3"/>
  <c r="O33" i="3"/>
  <c r="O34" i="3"/>
  <c r="O35" i="3"/>
  <c r="O36" i="3"/>
  <c r="O37" i="3"/>
  <c r="O38" i="3"/>
  <c r="O39" i="3"/>
  <c r="O40" i="3"/>
  <c r="O41" i="3"/>
  <c r="O42" i="3"/>
  <c r="O43" i="3"/>
  <c r="O44" i="3"/>
  <c r="O45" i="3"/>
  <c r="O46"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53" i="3"/>
  <c r="O354" i="3"/>
  <c r="O355" i="3"/>
  <c r="O356" i="3"/>
  <c r="O357" i="3"/>
  <c r="O358" i="3"/>
  <c r="O359" i="3"/>
  <c r="O360" i="3"/>
  <c r="O361" i="3"/>
  <c r="O362" i="3"/>
  <c r="O363" i="3"/>
  <c r="O364" i="3"/>
  <c r="O365" i="3"/>
  <c r="O366" i="3"/>
  <c r="O367" i="3"/>
  <c r="O368" i="3"/>
  <c r="O369" i="3"/>
  <c r="O370" i="3"/>
  <c r="O371" i="3"/>
  <c r="O372" i="3"/>
  <c r="O373" i="3"/>
  <c r="O374" i="3"/>
  <c r="O375" i="3"/>
  <c r="O376" i="3"/>
  <c r="O377" i="3"/>
  <c r="O378" i="3"/>
  <c r="O379" i="3"/>
  <c r="O380" i="3"/>
  <c r="O381" i="3"/>
  <c r="O382" i="3"/>
  <c r="O383" i="3"/>
  <c r="O384" i="3"/>
  <c r="O385" i="3"/>
  <c r="O386" i="3"/>
  <c r="O387" i="3"/>
  <c r="O388" i="3"/>
  <c r="O389" i="3"/>
  <c r="O390" i="3"/>
  <c r="O391" i="3"/>
  <c r="O392" i="3"/>
  <c r="O393" i="3"/>
  <c r="O394" i="3"/>
  <c r="O395" i="3"/>
  <c r="O396" i="3"/>
  <c r="O397" i="3"/>
  <c r="O398" i="3"/>
  <c r="O399" i="3"/>
  <c r="O400" i="3"/>
  <c r="O401" i="3"/>
  <c r="O402" i="3"/>
  <c r="O403" i="3"/>
  <c r="O404" i="3"/>
  <c r="O405" i="3"/>
  <c r="O406" i="3"/>
  <c r="O407" i="3"/>
  <c r="O408" i="3"/>
  <c r="O409" i="3"/>
  <c r="O410" i="3"/>
  <c r="O411" i="3"/>
  <c r="O412" i="3"/>
  <c r="O413"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5" i="3"/>
  <c r="N6" i="3"/>
  <c r="N7" i="3"/>
  <c r="N8" i="3"/>
  <c r="N9" i="3"/>
  <c r="N10" i="3"/>
  <c r="N11" i="3"/>
  <c r="N12" i="3"/>
  <c r="N13" i="3"/>
  <c r="N14" i="3"/>
  <c r="N15" i="3"/>
  <c r="N16" i="3"/>
  <c r="N17" i="3"/>
  <c r="N18" i="3"/>
  <c r="N19" i="3"/>
  <c r="N20" i="3"/>
  <c r="N21" i="3"/>
  <c r="N22" i="3"/>
  <c r="N25" i="3"/>
  <c r="N26" i="3"/>
  <c r="N27" i="3"/>
  <c r="N28" i="3"/>
  <c r="N29" i="3"/>
  <c r="N30" i="3"/>
  <c r="N31" i="3"/>
  <c r="N32" i="3"/>
  <c r="N33" i="3"/>
  <c r="N34" i="3"/>
  <c r="N35" i="3"/>
  <c r="N36" i="3"/>
  <c r="N37" i="3"/>
  <c r="N38" i="3"/>
  <c r="N39" i="3"/>
  <c r="N40" i="3"/>
  <c r="N41" i="3"/>
  <c r="N42" i="3"/>
  <c r="N43" i="3"/>
  <c r="N44" i="3"/>
  <c r="N45" i="3"/>
  <c r="N46"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5" i="3"/>
  <c r="M6" i="3"/>
  <c r="M7" i="3"/>
  <c r="M8" i="3"/>
  <c r="M9" i="3"/>
  <c r="M10" i="3"/>
  <c r="M11" i="3"/>
  <c r="M12" i="3"/>
  <c r="M13" i="3"/>
  <c r="M14" i="3"/>
  <c r="M15" i="3"/>
  <c r="M16" i="3"/>
  <c r="M17" i="3"/>
  <c r="M18" i="3"/>
  <c r="M19" i="3"/>
  <c r="M20" i="3"/>
  <c r="M21" i="3"/>
  <c r="M22" i="3"/>
  <c r="M25" i="3"/>
  <c r="M26" i="3"/>
  <c r="M27" i="3"/>
  <c r="M28" i="3"/>
  <c r="M29" i="3"/>
  <c r="M30" i="3"/>
  <c r="M31" i="3"/>
  <c r="M32" i="3"/>
  <c r="M33" i="3"/>
  <c r="M34" i="3"/>
  <c r="M35" i="3"/>
  <c r="M36" i="3"/>
  <c r="M37" i="3"/>
  <c r="M38" i="3"/>
  <c r="M39" i="3"/>
  <c r="M40" i="3"/>
  <c r="M41" i="3"/>
  <c r="M42" i="3"/>
  <c r="M43" i="3"/>
  <c r="M44" i="3"/>
  <c r="M45" i="3"/>
  <c r="M46"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5" i="3"/>
  <c r="AB33" i="3"/>
  <c r="AB34" i="3"/>
  <c r="AB36" i="3"/>
  <c r="AB39" i="3"/>
  <c r="AB40" i="3"/>
  <c r="AB41" i="3"/>
  <c r="AB32" i="3"/>
  <c r="AA42" i="3"/>
  <c r="AJ48" i="3" l="1"/>
  <c r="AJ42" i="3"/>
  <c r="AJ44" i="3"/>
  <c r="AF42" i="3"/>
  <c r="AF48" i="3"/>
  <c r="AF44" i="3"/>
  <c r="AB48" i="3"/>
  <c r="AF45" i="3" a="1"/>
  <c r="AF45" i="3" s="1"/>
  <c r="AF46" i="3" s="1"/>
  <c r="AB45" i="3" a="1"/>
  <c r="AB45" i="3" s="1"/>
  <c r="AB46" i="3" s="1"/>
  <c r="AJ45" i="3" a="1"/>
  <c r="AJ45" i="3" s="1"/>
  <c r="AJ46" i="3" s="1"/>
  <c r="AB42" i="3"/>
  <c r="AH42" i="3"/>
  <c r="AD42" i="3"/>
  <c r="Z42" i="3"/>
  <c r="AF47" i="3" l="1"/>
  <c r="AJ47" i="3"/>
  <c r="N5" i="3" l="1"/>
  <c r="N2" i="3" s="1"/>
  <c r="O5" i="3"/>
  <c r="P5" i="3"/>
  <c r="Q5" i="3"/>
  <c r="R5" i="3"/>
  <c r="W5" i="3"/>
  <c r="S5" i="3"/>
  <c r="T5" i="3"/>
  <c r="U5" i="3"/>
  <c r="V5" i="3"/>
  <c r="M5" i="3"/>
  <c r="Z7" i="3" l="1"/>
  <c r="AA7" i="3"/>
  <c r="Z13" i="3"/>
  <c r="T2" i="3"/>
  <c r="AA13" i="3" s="1"/>
  <c r="Q2" i="3"/>
  <c r="AA10" i="3" s="1"/>
  <c r="Z10" i="3"/>
  <c r="Z11" i="3"/>
  <c r="R2" i="3"/>
  <c r="AA11" i="3" s="1"/>
  <c r="Z6" i="3"/>
  <c r="M2" i="3"/>
  <c r="AA6" i="3" s="1"/>
  <c r="Z12" i="3"/>
  <c r="S2" i="3"/>
  <c r="AA12" i="3" s="1"/>
  <c r="Z9" i="3"/>
  <c r="P2" i="3"/>
  <c r="AA9" i="3" s="1"/>
  <c r="V2" i="3"/>
  <c r="AA15" i="3" s="1"/>
  <c r="Z15" i="3"/>
  <c r="W2" i="3"/>
  <c r="AE3" i="3" s="1"/>
  <c r="AD3" i="3"/>
  <c r="O2" i="3"/>
  <c r="AA8" i="3" s="1"/>
  <c r="Z8" i="3"/>
  <c r="Z14" i="3"/>
  <c r="U2" i="3"/>
  <c r="AA14" i="3" s="1"/>
  <c r="AB44" i="3" l="1"/>
  <c r="AH48" i="3" s="1"/>
  <c r="AB47"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7FF7768-E238-4E0E-90AF-C33601E79EE4}" keepAlive="1" name="Kysely – 2 Portfolio optimization" description="Yhteys kyselyyn 2 Portfolio optimization työkirjassa." type="5" refreshedVersion="7" background="1" saveData="1">
    <dbPr connection="Provider=Microsoft.Mashup.OleDb.1;Data Source=$Workbook$;Location=&quot;2 Portfolio optimization&quot;;Extended Properties=&quot;&quot;" command="SELECT * FROM [2 Portfolio optimization]"/>
  </connection>
  <connection id="2" xr16:uid="{A503279C-5A33-47A8-8C0E-B3697A15D992}" keepAlive="1" name="Kysely – Mallitiedosto" description="Yhteys kyselyyn Mallitiedosto työkirjassa." type="5" refreshedVersion="0" background="1">
    <dbPr connection="Provider=Microsoft.Mashup.OleDb.1;Data Source=$Workbook$;Location=Mallitiedosto;Extended Properties=&quot;&quot;" command="SELECT * FROM [Mallitiedosto]"/>
  </connection>
  <connection id="3" xr16:uid="{33603152-479A-40A5-A5B4-644A1BA5FC20}" keepAlive="1" name="Kysely – Muunna mallitiedosto" description="Yhteys kyselyyn Muunna mallitiedosto työkirjassa." type="5" refreshedVersion="0" background="1">
    <dbPr connection="Provider=Microsoft.Mashup.OleDb.1;Data Source=$Workbook$;Location=&quot;Muunna mallitiedosto&quot;;Extended Properties=&quot;&quot;" command="SELECT * FROM [Muunna mallitiedosto]"/>
  </connection>
  <connection id="4" xr16:uid="{EACD1CA9-0D9F-4375-A350-2227370FDA88}" keepAlive="1" name="Kysely – Muunna tiedosto" description="Yhteys kyselyyn Muunna tiedosto työkirjassa." type="5" refreshedVersion="0" background="1">
    <dbPr connection="Provider=Microsoft.Mashup.OleDb.1;Data Source=$Workbook$;Location=&quot;Muunna tiedosto&quot;;Extended Properties=&quot;&quot;" command="SELECT * FROM [Muunna tiedosto]"/>
  </connection>
  <connection id="5" xr16:uid="{61A58AE3-23CE-43E1-9C0C-76CF9BE4F2B2}" keepAlive="1" name="Kysely – Parametri1" description="Yhteys kyselyyn Parametri1 työkirjassa." type="5" refreshedVersion="0" background="1">
    <dbPr connection="Provider=Microsoft.Mashup.OleDb.1;Data Source=$Workbook$;Location=Parametri1;Extended Properties=&quot;&quot;" command="SELECT * FROM [Parametri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<sst xmlns="http://schemas.openxmlformats.org/spreadsheetml/2006/main" count="11626" uniqueCount="533">
  <si>
    <t>Name</t>
  </si>
  <si>
    <t>Date</t>
  </si>
  <si>
    <t>Adj Close</t>
  </si>
  <si>
    <t>Fortum.csv</t>
  </si>
  <si>
    <t>2019-08-01</t>
  </si>
  <si>
    <t>2019-08-02</t>
  </si>
  <si>
    <t>2019-08-05</t>
  </si>
  <si>
    <t>2019-08-06</t>
  </si>
  <si>
    <t>2019-08-07</t>
  </si>
  <si>
    <t>2019-08-08</t>
  </si>
  <si>
    <t>2019-08-09</t>
  </si>
  <si>
    <t>2019-08-12</t>
  </si>
  <si>
    <t>2019-08-13</t>
  </si>
  <si>
    <t>2019-08-14</t>
  </si>
  <si>
    <t>2019-08-15</t>
  </si>
  <si>
    <t>2019-08-16</t>
  </si>
  <si>
    <t>2019-08-19</t>
  </si>
  <si>
    <t>2019-08-20</t>
  </si>
  <si>
    <t>2019-08-21</t>
  </si>
  <si>
    <t>2019-08-22</t>
  </si>
  <si>
    <t>2019-08-23</t>
  </si>
  <si>
    <t>2019-08-26</t>
  </si>
  <si>
    <t>2019-08-27</t>
  </si>
  <si>
    <t>2019-08-28</t>
  </si>
  <si>
    <t>2019-08-29</t>
  </si>
  <si>
    <t>2019-08-30</t>
  </si>
  <si>
    <t>2019-09-02</t>
  </si>
  <si>
    <t>2019-09-03</t>
  </si>
  <si>
    <t>2019-09-04</t>
  </si>
  <si>
    <t>2019-09-05</t>
  </si>
  <si>
    <t>2019-09-06</t>
  </si>
  <si>
    <t>2019-09-09</t>
  </si>
  <si>
    <t>2019-09-10</t>
  </si>
  <si>
    <t>2019-09-11</t>
  </si>
  <si>
    <t>2019-09-12</t>
  </si>
  <si>
    <t>2019-09-13</t>
  </si>
  <si>
    <t>2019-09-16</t>
  </si>
  <si>
    <t>2019-09-17</t>
  </si>
  <si>
    <t>2019-09-18</t>
  </si>
  <si>
    <t>2019-09-19</t>
  </si>
  <si>
    <t>2019-09-20</t>
  </si>
  <si>
    <t>2019-09-23</t>
  </si>
  <si>
    <t>2019-09-24</t>
  </si>
  <si>
    <t>2019-09-25</t>
  </si>
  <si>
    <t>2019-09-26</t>
  </si>
  <si>
    <t>2019-09-27</t>
  </si>
  <si>
    <t>2019-09-30</t>
  </si>
  <si>
    <t>2019-10-01</t>
  </si>
  <si>
    <t>2019-10-02</t>
  </si>
  <si>
    <t>2019-10-03</t>
  </si>
  <si>
    <t>2019-10-04</t>
  </si>
  <si>
    <t>2019-10-07</t>
  </si>
  <si>
    <t>2019-10-08</t>
  </si>
  <si>
    <t>2019-10-09</t>
  </si>
  <si>
    <t>2019-10-10</t>
  </si>
  <si>
    <t>2019-10-11</t>
  </si>
  <si>
    <t>2019-10-14</t>
  </si>
  <si>
    <t>2019-10-15</t>
  </si>
  <si>
    <t>2019-10-16</t>
  </si>
  <si>
    <t>2019-10-17</t>
  </si>
  <si>
    <t>2019-10-18</t>
  </si>
  <si>
    <t>2019-10-21</t>
  </si>
  <si>
    <t>2019-10-22</t>
  </si>
  <si>
    <t>2019-10-23</t>
  </si>
  <si>
    <t>2019-10-24</t>
  </si>
  <si>
    <t>2019-10-25</t>
  </si>
  <si>
    <t>2019-10-28</t>
  </si>
  <si>
    <t>2019-10-29</t>
  </si>
  <si>
    <t>2019-10-30</t>
  </si>
  <si>
    <t>2019-10-31</t>
  </si>
  <si>
    <t>2019-11-01</t>
  </si>
  <si>
    <t>2019-11-04</t>
  </si>
  <si>
    <t>2019-11-05</t>
  </si>
  <si>
    <t>2019-11-06</t>
  </si>
  <si>
    <t>2019-11-07</t>
  </si>
  <si>
    <t>2019-11-08</t>
  </si>
  <si>
    <t>2019-11-11</t>
  </si>
  <si>
    <t>2019-11-12</t>
  </si>
  <si>
    <t>2019-11-13</t>
  </si>
  <si>
    <t>2019-11-14</t>
  </si>
  <si>
    <t>2019-11-15</t>
  </si>
  <si>
    <t>2019-11-18</t>
  </si>
  <si>
    <t>2019-11-19</t>
  </si>
  <si>
    <t>2019-11-20</t>
  </si>
  <si>
    <t>2019-11-21</t>
  </si>
  <si>
    <t>2019-11-22</t>
  </si>
  <si>
    <t>2019-11-25</t>
  </si>
  <si>
    <t>2019-11-26</t>
  </si>
  <si>
    <t>2019-11-27</t>
  </si>
  <si>
    <t>2019-11-28</t>
  </si>
  <si>
    <t>2019-11-29</t>
  </si>
  <si>
    <t>2019-12-02</t>
  </si>
  <si>
    <t>2019-12-03</t>
  </si>
  <si>
    <t>2019-12-04</t>
  </si>
  <si>
    <t>2019-12-05</t>
  </si>
  <si>
    <t>2019-12-09</t>
  </si>
  <si>
    <t>2019-12-10</t>
  </si>
  <si>
    <t>2019-12-11</t>
  </si>
  <si>
    <t>2019-12-12</t>
  </si>
  <si>
    <t>2019-12-13</t>
  </si>
  <si>
    <t>2019-12-16</t>
  </si>
  <si>
    <t>2019-12-17</t>
  </si>
  <si>
    <t>2019-12-18</t>
  </si>
  <si>
    <t>2019-12-19</t>
  </si>
  <si>
    <t>2019-12-20</t>
  </si>
  <si>
    <t>2019-12-23</t>
  </si>
  <si>
    <t>2019-12-27</t>
  </si>
  <si>
    <t>2019-12-30</t>
  </si>
  <si>
    <t>2020-01-02</t>
  </si>
  <si>
    <t>2020-01-03</t>
  </si>
  <si>
    <t>2020-01-07</t>
  </si>
  <si>
    <t>2020-01-08</t>
  </si>
  <si>
    <t>2020-01-09</t>
  </si>
  <si>
    <t>2020-01-10</t>
  </si>
  <si>
    <t>2020-01-13</t>
  </si>
  <si>
    <t>2020-01-14</t>
  </si>
  <si>
    <t>2020-01-15</t>
  </si>
  <si>
    <t>2020-01-16</t>
  </si>
  <si>
    <t>2020-01-17</t>
  </si>
  <si>
    <t>2020-01-20</t>
  </si>
  <si>
    <t>2020-01-21</t>
  </si>
  <si>
    <t>2020-01-22</t>
  </si>
  <si>
    <t>2020-01-23</t>
  </si>
  <si>
    <t>2020-01-24</t>
  </si>
  <si>
    <t>2020-01-27</t>
  </si>
  <si>
    <t>2020-01-28</t>
  </si>
  <si>
    <t>2020-01-29</t>
  </si>
  <si>
    <t>2020-01-30</t>
  </si>
  <si>
    <t>2020-01-31</t>
  </si>
  <si>
    <t>2020-02-03</t>
  </si>
  <si>
    <t>2020-02-04</t>
  </si>
  <si>
    <t>2020-02-05</t>
  </si>
  <si>
    <t>2020-02-06</t>
  </si>
  <si>
    <t>2020-02-07</t>
  </si>
  <si>
    <t>2020-02-10</t>
  </si>
  <si>
    <t>2020-02-11</t>
  </si>
  <si>
    <t>2020-02-12</t>
  </si>
  <si>
    <t>2020-02-13</t>
  </si>
  <si>
    <t>2020-02-14</t>
  </si>
  <si>
    <t>2020-02-17</t>
  </si>
  <si>
    <t>2020-02-18</t>
  </si>
  <si>
    <t>2020-02-19</t>
  </si>
  <si>
    <t>2020-02-20</t>
  </si>
  <si>
    <t>2020-02-21</t>
  </si>
  <si>
    <t>2020-02-24</t>
  </si>
  <si>
    <t>2020-02-25</t>
  </si>
  <si>
    <t>2020-02-26</t>
  </si>
  <si>
    <t>2020-02-27</t>
  </si>
  <si>
    <t>2020-02-28</t>
  </si>
  <si>
    <t>2020-03-02</t>
  </si>
  <si>
    <t>2020-03-03</t>
  </si>
  <si>
    <t>2020-03-04</t>
  </si>
  <si>
    <t>2020-03-05</t>
  </si>
  <si>
    <t>2020-03-06</t>
  </si>
  <si>
    <t>2020-03-09</t>
  </si>
  <si>
    <t>2020-03-10</t>
  </si>
  <si>
    <t>2020-03-11</t>
  </si>
  <si>
    <t>2020-03-12</t>
  </si>
  <si>
    <t>2020-03-13</t>
  </si>
  <si>
    <t>2020-03-16</t>
  </si>
  <si>
    <t>2020-03-17</t>
  </si>
  <si>
    <t>2020-03-18</t>
  </si>
  <si>
    <t>2020-03-19</t>
  </si>
  <si>
    <t>2020-03-20</t>
  </si>
  <si>
    <t>2020-03-23</t>
  </si>
  <si>
    <t>2020-03-24</t>
  </si>
  <si>
    <t>2020-03-25</t>
  </si>
  <si>
    <t>2020-03-26</t>
  </si>
  <si>
    <t>2020-03-27</t>
  </si>
  <si>
    <t>2020-03-30</t>
  </si>
  <si>
    <t>2020-03-31</t>
  </si>
  <si>
    <t>2020-04-01</t>
  </si>
  <si>
    <t>2020-04-02</t>
  </si>
  <si>
    <t>2020-04-03</t>
  </si>
  <si>
    <t>2020-04-06</t>
  </si>
  <si>
    <t>2020-04-07</t>
  </si>
  <si>
    <t>2020-04-08</t>
  </si>
  <si>
    <t>2020-04-09</t>
  </si>
  <si>
    <t>2020-04-14</t>
  </si>
  <si>
    <t>2020-04-15</t>
  </si>
  <si>
    <t>2020-04-16</t>
  </si>
  <si>
    <t>2020-04-17</t>
  </si>
  <si>
    <t>2020-04-20</t>
  </si>
  <si>
    <t>2020-04-21</t>
  </si>
  <si>
    <t>2020-04-22</t>
  </si>
  <si>
    <t>2020-04-23</t>
  </si>
  <si>
    <t>2020-04-24</t>
  </si>
  <si>
    <t>2020-04-27</t>
  </si>
  <si>
    <t>2020-04-28</t>
  </si>
  <si>
    <t>2020-04-29</t>
  </si>
  <si>
    <t>2020-04-30</t>
  </si>
  <si>
    <t>2020-05-04</t>
  </si>
  <si>
    <t>2020-05-05</t>
  </si>
  <si>
    <t>2020-05-06</t>
  </si>
  <si>
    <t>2020-05-07</t>
  </si>
  <si>
    <t>2020-05-08</t>
  </si>
  <si>
    <t>2020-05-11</t>
  </si>
  <si>
    <t>2020-05-12</t>
  </si>
  <si>
    <t>2020-05-13</t>
  </si>
  <si>
    <t>2020-05-14</t>
  </si>
  <si>
    <t>2020-05-15</t>
  </si>
  <si>
    <t>2020-05-18</t>
  </si>
  <si>
    <t>2020-05-19</t>
  </si>
  <si>
    <t>2020-05-20</t>
  </si>
  <si>
    <t>2020-05-22</t>
  </si>
  <si>
    <t>2020-05-25</t>
  </si>
  <si>
    <t>2020-05-26</t>
  </si>
  <si>
    <t>2020-05-27</t>
  </si>
  <si>
    <t>2020-05-28</t>
  </si>
  <si>
    <t>2020-05-29</t>
  </si>
  <si>
    <t>2020-06-01</t>
  </si>
  <si>
    <t>2020-06-02</t>
  </si>
  <si>
    <t>2020-06-03</t>
  </si>
  <si>
    <t>2020-06-04</t>
  </si>
  <si>
    <t>2020-06-05</t>
  </si>
  <si>
    <t>2020-06-08</t>
  </si>
  <si>
    <t>2020-06-09</t>
  </si>
  <si>
    <t>2020-06-10</t>
  </si>
  <si>
    <t>2020-06-11</t>
  </si>
  <si>
    <t>2020-06-12</t>
  </si>
  <si>
    <t>2020-06-15</t>
  </si>
  <si>
    <t>2020-06-16</t>
  </si>
  <si>
    <t>2020-06-17</t>
  </si>
  <si>
    <t>2020-06-18</t>
  </si>
  <si>
    <t>2020-06-22</t>
  </si>
  <si>
    <t>2020-06-23</t>
  </si>
  <si>
    <t>2020-06-24</t>
  </si>
  <si>
    <t>2020-06-25</t>
  </si>
  <si>
    <t>2020-06-26</t>
  </si>
  <si>
    <t>2020-06-29</t>
  </si>
  <si>
    <t>2020-06-30</t>
  </si>
  <si>
    <t>2020-07-01</t>
  </si>
  <si>
    <t>2020-07-02</t>
  </si>
  <si>
    <t>2020-07-03</t>
  </si>
  <si>
    <t>2020-07-06</t>
  </si>
  <si>
    <t>2020-07-07</t>
  </si>
  <si>
    <t>2020-07-08</t>
  </si>
  <si>
    <t>2020-07-09</t>
  </si>
  <si>
    <t>2020-07-10</t>
  </si>
  <si>
    <t>2020-07-13</t>
  </si>
  <si>
    <t>2020-07-14</t>
  </si>
  <si>
    <t>2020-07-15</t>
  </si>
  <si>
    <t>2020-07-16</t>
  </si>
  <si>
    <t>2020-07-17</t>
  </si>
  <si>
    <t>2020-07-20</t>
  </si>
  <si>
    <t>2020-07-21</t>
  </si>
  <si>
    <t>2020-07-22</t>
  </si>
  <si>
    <t>2020-07-23</t>
  </si>
  <si>
    <t>2020-07-24</t>
  </si>
  <si>
    <t>2020-07-27</t>
  </si>
  <si>
    <t>2020-07-28</t>
  </si>
  <si>
    <t>2020-07-29</t>
  </si>
  <si>
    <t>2020-07-30</t>
  </si>
  <si>
    <t>2020-07-31</t>
  </si>
  <si>
    <t>2020-08-03</t>
  </si>
  <si>
    <t>2020-08-04</t>
  </si>
  <si>
    <t>2020-08-05</t>
  </si>
  <si>
    <t>2020-08-06</t>
  </si>
  <si>
    <t>2020-08-07</t>
  </si>
  <si>
    <t>2020-08-10</t>
  </si>
  <si>
    <t>2020-08-11</t>
  </si>
  <si>
    <t>2020-08-12</t>
  </si>
  <si>
    <t>2020-08-13</t>
  </si>
  <si>
    <t>2020-08-14</t>
  </si>
  <si>
    <t>2020-08-17</t>
  </si>
  <si>
    <t>2020-08-18</t>
  </si>
  <si>
    <t>2020-08-19</t>
  </si>
  <si>
    <t>2020-08-20</t>
  </si>
  <si>
    <t>2020-08-21</t>
  </si>
  <si>
    <t>2020-08-24</t>
  </si>
  <si>
    <t>2020-08-25</t>
  </si>
  <si>
    <t>2020-08-26</t>
  </si>
  <si>
    <t>2020-08-27</t>
  </si>
  <si>
    <t>2020-08-28</t>
  </si>
  <si>
    <t>2020-08-31</t>
  </si>
  <si>
    <t>2020-09-01</t>
  </si>
  <si>
    <t>2020-09-02</t>
  </si>
  <si>
    <t>2020-09-03</t>
  </si>
  <si>
    <t>2020-09-04</t>
  </si>
  <si>
    <t>2020-09-07</t>
  </si>
  <si>
    <t>2020-09-08</t>
  </si>
  <si>
    <t>2020-09-09</t>
  </si>
  <si>
    <t>2020-09-10</t>
  </si>
  <si>
    <t>2020-09-11</t>
  </si>
  <si>
    <t>2020-09-14</t>
  </si>
  <si>
    <t>2020-09-15</t>
  </si>
  <si>
    <t>2020-09-16</t>
  </si>
  <si>
    <t>2020-09-17</t>
  </si>
  <si>
    <t>2020-09-18</t>
  </si>
  <si>
    <t>2020-09-21</t>
  </si>
  <si>
    <t>2020-09-22</t>
  </si>
  <si>
    <t>2020-09-23</t>
  </si>
  <si>
    <t>2020-09-24</t>
  </si>
  <si>
    <t>2020-09-25</t>
  </si>
  <si>
    <t>2020-09-28</t>
  </si>
  <si>
    <t>2020-09-29</t>
  </si>
  <si>
    <t>2020-09-30</t>
  </si>
  <si>
    <t>2020-10-01</t>
  </si>
  <si>
    <t>2020-10-02</t>
  </si>
  <si>
    <t>2020-10-05</t>
  </si>
  <si>
    <t>2020-10-06</t>
  </si>
  <si>
    <t>2020-10-07</t>
  </si>
  <si>
    <t>2020-10-08</t>
  </si>
  <si>
    <t>2020-10-09</t>
  </si>
  <si>
    <t>2020-10-12</t>
  </si>
  <si>
    <t>2020-10-13</t>
  </si>
  <si>
    <t>2020-10-14</t>
  </si>
  <si>
    <t>2020-10-15</t>
  </si>
  <si>
    <t>2020-10-16</t>
  </si>
  <si>
    <t>2020-10-19</t>
  </si>
  <si>
    <t>2020-10-20</t>
  </si>
  <si>
    <t>2020-10-21</t>
  </si>
  <si>
    <t>2020-10-22</t>
  </si>
  <si>
    <t>2020-10-23</t>
  </si>
  <si>
    <t>2020-10-26</t>
  </si>
  <si>
    <t>2020-10-27</t>
  </si>
  <si>
    <t>2020-10-28</t>
  </si>
  <si>
    <t>2020-10-29</t>
  </si>
  <si>
    <t>2020-10-30</t>
  </si>
  <si>
    <t>2020-11-02</t>
  </si>
  <si>
    <t>2020-11-03</t>
  </si>
  <si>
    <t>2020-11-04</t>
  </si>
  <si>
    <t>2020-11-05</t>
  </si>
  <si>
    <t>2020-11-06</t>
  </si>
  <si>
    <t>2020-11-09</t>
  </si>
  <si>
    <t>2020-11-10</t>
  </si>
  <si>
    <t>2020-11-11</t>
  </si>
  <si>
    <t>2020-11-12</t>
  </si>
  <si>
    <t>2020-11-13</t>
  </si>
  <si>
    <t>2020-11-16</t>
  </si>
  <si>
    <t>2020-11-17</t>
  </si>
  <si>
    <t>2020-11-18</t>
  </si>
  <si>
    <t>2020-11-19</t>
  </si>
  <si>
    <t>2020-11-20</t>
  </si>
  <si>
    <t>2020-11-23</t>
  </si>
  <si>
    <t>2020-11-24</t>
  </si>
  <si>
    <t>2020-11-25</t>
  </si>
  <si>
    <t>2020-11-26</t>
  </si>
  <si>
    <t>2020-11-27</t>
  </si>
  <si>
    <t>2020-11-30</t>
  </si>
  <si>
    <t>2020-12-01</t>
  </si>
  <si>
    <t>2020-12-02</t>
  </si>
  <si>
    <t>2020-12-03</t>
  </si>
  <si>
    <t>2020-12-04</t>
  </si>
  <si>
    <t>2020-12-07</t>
  </si>
  <si>
    <t>2020-12-08</t>
  </si>
  <si>
    <t>2020-12-09</t>
  </si>
  <si>
    <t>2020-12-10</t>
  </si>
  <si>
    <t>2020-12-11</t>
  </si>
  <si>
    <t>2020-12-14</t>
  </si>
  <si>
    <t>2020-12-15</t>
  </si>
  <si>
    <t>2020-12-16</t>
  </si>
  <si>
    <t>2020-12-17</t>
  </si>
  <si>
    <t>2020-12-18</t>
  </si>
  <si>
    <t>2020-12-21</t>
  </si>
  <si>
    <t>2020-12-22</t>
  </si>
  <si>
    <t>2020-12-23</t>
  </si>
  <si>
    <t>2020-12-28</t>
  </si>
  <si>
    <t>2020-12-29</t>
  </si>
  <si>
    <t>2020-12-30</t>
  </si>
  <si>
    <t>2021-01-04</t>
  </si>
  <si>
    <t>2021-01-05</t>
  </si>
  <si>
    <t>2021-01-07</t>
  </si>
  <si>
    <t>2021-01-08</t>
  </si>
  <si>
    <t>2021-01-11</t>
  </si>
  <si>
    <t>2021-01-12</t>
  </si>
  <si>
    <t>2021-01-13</t>
  </si>
  <si>
    <t>2021-01-14</t>
  </si>
  <si>
    <t>2021-01-15</t>
  </si>
  <si>
    <t>2021-01-18</t>
  </si>
  <si>
    <t>2021-01-19</t>
  </si>
  <si>
    <t>2021-01-20</t>
  </si>
  <si>
    <t>2021-01-21</t>
  </si>
  <si>
    <t>2021-01-22</t>
  </si>
  <si>
    <t>2021-01-25</t>
  </si>
  <si>
    <t>2021-01-26</t>
  </si>
  <si>
    <t>2021-01-27</t>
  </si>
  <si>
    <t>2021-01-28</t>
  </si>
  <si>
    <t>2021-01-29</t>
  </si>
  <si>
    <t>2021-02-01</t>
  </si>
  <si>
    <t>2021-02-02</t>
  </si>
  <si>
    <t>2021-02-03</t>
  </si>
  <si>
    <t>2021-02-04</t>
  </si>
  <si>
    <t>2021-02-05</t>
  </si>
  <si>
    <t>2021-02-08</t>
  </si>
  <si>
    <t>2021-02-09</t>
  </si>
  <si>
    <t>2021-02-10</t>
  </si>
  <si>
    <t>2021-02-11</t>
  </si>
  <si>
    <t>2021-02-12</t>
  </si>
  <si>
    <t>2021-02-15</t>
  </si>
  <si>
    <t>2021-02-16</t>
  </si>
  <si>
    <t>2021-02-17</t>
  </si>
  <si>
    <t>2021-02-18</t>
  </si>
  <si>
    <t>2021-02-19</t>
  </si>
  <si>
    <t>2021-02-22</t>
  </si>
  <si>
    <t>2021-02-23</t>
  </si>
  <si>
    <t>2021-02-24</t>
  </si>
  <si>
    <t>2021-02-25</t>
  </si>
  <si>
    <t>2021-02-26</t>
  </si>
  <si>
    <t>2021-03-01</t>
  </si>
  <si>
    <t>2021-03-02</t>
  </si>
  <si>
    <t>2021-03-03</t>
  </si>
  <si>
    <t>2021-03-04</t>
  </si>
  <si>
    <t>2021-03-05</t>
  </si>
  <si>
    <t>2021-03-08</t>
  </si>
  <si>
    <t>2021-03-09</t>
  </si>
  <si>
    <t>2021-03-10</t>
  </si>
  <si>
    <t>2021-03-11</t>
  </si>
  <si>
    <t>2021-03-12</t>
  </si>
  <si>
    <t>2021-03-15</t>
  </si>
  <si>
    <t>2021-03-16</t>
  </si>
  <si>
    <t>2021-03-17</t>
  </si>
  <si>
    <t>2021-03-18</t>
  </si>
  <si>
    <t>2021-03-19</t>
  </si>
  <si>
    <t>2021-03-22</t>
  </si>
  <si>
    <t>2021-03-23</t>
  </si>
  <si>
    <t>2021-03-24</t>
  </si>
  <si>
    <t>2021-03-25</t>
  </si>
  <si>
    <t>2021-03-26</t>
  </si>
  <si>
    <t>2021-03-29</t>
  </si>
  <si>
    <t>2021-03-30</t>
  </si>
  <si>
    <t>2021-03-31</t>
  </si>
  <si>
    <t>2021-04-01</t>
  </si>
  <si>
    <t>2021-04-06</t>
  </si>
  <si>
    <t>2021-04-07</t>
  </si>
  <si>
    <t>2021-04-08</t>
  </si>
  <si>
    <t>2021-04-09</t>
  </si>
  <si>
    <t>2021-04-12</t>
  </si>
  <si>
    <t>2021-04-13</t>
  </si>
  <si>
    <t>2021-04-14</t>
  </si>
  <si>
    <t>2021-04-15</t>
  </si>
  <si>
    <t>2021-04-16</t>
  </si>
  <si>
    <t>2021-04-19</t>
  </si>
  <si>
    <t>2021-04-20</t>
  </si>
  <si>
    <t>2021-04-21</t>
  </si>
  <si>
    <t>2021-04-22</t>
  </si>
  <si>
    <t>2021-04-23</t>
  </si>
  <si>
    <t>2021-04-26</t>
  </si>
  <si>
    <t>2021-04-27</t>
  </si>
  <si>
    <t>2021-04-28</t>
  </si>
  <si>
    <t>2021-04-29</t>
  </si>
  <si>
    <t>2021-04-30</t>
  </si>
  <si>
    <t>2021-05-03</t>
  </si>
  <si>
    <t>2021-05-04</t>
  </si>
  <si>
    <t>2021-05-05</t>
  </si>
  <si>
    <t>2021-05-06</t>
  </si>
  <si>
    <t>2021-05-07</t>
  </si>
  <si>
    <t>2021-05-10</t>
  </si>
  <si>
    <t>2021-05-11</t>
  </si>
  <si>
    <t>2021-05-12</t>
  </si>
  <si>
    <t>2021-05-14</t>
  </si>
  <si>
    <t>2021-05-17</t>
  </si>
  <si>
    <t>2021-05-18</t>
  </si>
  <si>
    <t>2021-05-19</t>
  </si>
  <si>
    <t>2021-05-20</t>
  </si>
  <si>
    <t>2021-05-21</t>
  </si>
  <si>
    <t>2021-05-24</t>
  </si>
  <si>
    <t>2021-05-25</t>
  </si>
  <si>
    <t>2021-05-26</t>
  </si>
  <si>
    <t>2021-05-27</t>
  </si>
  <si>
    <t>2021-05-28</t>
  </si>
  <si>
    <t>2021-05-31</t>
  </si>
  <si>
    <t>2021-06-01</t>
  </si>
  <si>
    <t>2021-06-02</t>
  </si>
  <si>
    <t>2021-06-03</t>
  </si>
  <si>
    <t>2021-06-04</t>
  </si>
  <si>
    <t>2021-06-07</t>
  </si>
  <si>
    <t>2021-06-08</t>
  </si>
  <si>
    <t>2021-06-09</t>
  </si>
  <si>
    <t>2021-06-10</t>
  </si>
  <si>
    <t>2021-06-11</t>
  </si>
  <si>
    <t>2021-06-14</t>
  </si>
  <si>
    <t>2021-06-15</t>
  </si>
  <si>
    <t>2021-06-16</t>
  </si>
  <si>
    <t>2021-06-17</t>
  </si>
  <si>
    <t>2021-06-18</t>
  </si>
  <si>
    <t>2021-06-21</t>
  </si>
  <si>
    <t>2021-06-22</t>
  </si>
  <si>
    <t>2021-06-23</t>
  </si>
  <si>
    <t>2021-06-24</t>
  </si>
  <si>
    <t>2021-06-28</t>
  </si>
  <si>
    <t>2021-06-29</t>
  </si>
  <si>
    <t>2021-06-30</t>
  </si>
  <si>
    <t>2021-07-01</t>
  </si>
  <si>
    <t>2021-07-02</t>
  </si>
  <si>
    <t>2021-07-05</t>
  </si>
  <si>
    <t>2021-07-06</t>
  </si>
  <si>
    <t>2021-07-07</t>
  </si>
  <si>
    <t>2021-07-08</t>
  </si>
  <si>
    <t>2021-07-09</t>
  </si>
  <si>
    <t>2021-07-12</t>
  </si>
  <si>
    <t>2021-07-13</t>
  </si>
  <si>
    <t>2021-07-14</t>
  </si>
  <si>
    <t>2021-07-15</t>
  </si>
  <si>
    <t>2021-07-16</t>
  </si>
  <si>
    <t>2021-07-19</t>
  </si>
  <si>
    <t>2021-07-20</t>
  </si>
  <si>
    <t>2021-07-21</t>
  </si>
  <si>
    <t>2021-07-22</t>
  </si>
  <si>
    <t>2021-07-23</t>
  </si>
  <si>
    <t>2021-07-26</t>
  </si>
  <si>
    <t>2021-07-27</t>
  </si>
  <si>
    <t>2021-07-28</t>
  </si>
  <si>
    <t>2021-07-29</t>
  </si>
  <si>
    <t>2021-07-30</t>
  </si>
  <si>
    <t>Kemira.csv</t>
  </si>
  <si>
    <t>Kojamo.csv</t>
  </si>
  <si>
    <t>Konecranes.csv</t>
  </si>
  <si>
    <t>Neles.csv</t>
  </si>
  <si>
    <t>Nordea.csv</t>
  </si>
  <si>
    <t>OMXH25.csv</t>
  </si>
  <si>
    <t>2019-12-06</t>
  </si>
  <si>
    <t>Orion.csv</t>
  </si>
  <si>
    <t>StoraEnso.csv</t>
  </si>
  <si>
    <t>Telia.csv</t>
  </si>
  <si>
    <t>Valmet.csv</t>
  </si>
  <si>
    <t>Summa  / Adj Close</t>
  </si>
  <si>
    <t>Beta</t>
  </si>
  <si>
    <t>return</t>
  </si>
  <si>
    <t>Weight</t>
  </si>
  <si>
    <t>Return</t>
  </si>
  <si>
    <t>Variance</t>
  </si>
  <si>
    <t>St deviation</t>
  </si>
  <si>
    <t>Sharpe ratio</t>
  </si>
  <si>
    <t>Chosen</t>
  </si>
  <si>
    <t>Total weights</t>
  </si>
  <si>
    <t>Max. Profit</t>
  </si>
  <si>
    <t>MIN Beta</t>
  </si>
  <si>
    <t>MIN beta 80% Max profit</t>
  </si>
  <si>
    <t>80% max</t>
  </si>
  <si>
    <t>Conclusion:</t>
  </si>
  <si>
    <t>Every scenario seems to choose 3 different companies with the max 30% and 2 companies with minimium 5%. Telia is chosen in all the scenarios. Valmet and StoraEnso seems to have high beta values, because they are chosen if return is maximized and left out when beta is minimized</t>
  </si>
  <si>
    <t>Telia seems to be the best company in the sample if one looks only at profit and beta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</si>
</sst>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
  </numFmts>
  <fonts count="4"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s>
  <fills count="2">
    <fill>
      <patternFill patternType="none"/>
    </fill>
    <fill>
      <patternFill patternType="gray125"/>
    </fill>
  </fills>
  <borders count="3">
    <border>
      <left/>
      <right/>
      <top/>
      <bottom/>
      <diagonal/>
    </border>
    <border>
      <left/>
      <right/>
      <top style="medium">
        <color indexed="64"/>
      </top>
      <bottom style="thin">
        <color indexed="64"/>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0" fontId="0" fillId="0" borderId="0" xfId="0" applyNumberFormat="1"/>
    <xf numFmtId="0" fontId="0" fillId="0" borderId="0" xfId="0" pivotButton="1"/>
    <xf numFmtId="0" fontId="3" fillId="0" borderId="1" xfId="0" applyFont="1" applyBorder="1" applyAlignment="1">
      <alignment horizontal="center"/>
    </xf>
    <xf numFmtId="0" fontId="0" fillId="0" borderId="2" xfId="0" applyBorder="1"/>
    <xf numFmtId="164" fontId="0" fillId="0" borderId="0" xfId="0" applyNumberFormat="1"/>
    <xf numFmtId="164" fontId="0" fillId="0" borderId="2" xfId="0" applyNumberFormat="1" applyBorder="1"/>
    <xf numFmtId="9" fontId="0" fillId="0" borderId="0" xfId="1" applyFont="1"/>
    <xf numFmtId="9" fontId="0" fillId="0" borderId="2" xfId="1" applyFont="1" applyBorder="1"/>
    <xf numFmtId="165" fontId="0" fillId="0" borderId="0" xfId="1" applyNumberFormat="1" applyFont="1"/>
    <xf numFmtId="165" fontId="0" fillId="0" borderId="2" xfId="1" applyNumberFormat="1" applyFont="1" applyBorder="1"/>
    <xf numFmtId="0" fontId="0" fillId="0" borderId="0" xfId="0" applyFill="1" applyBorder="1" applyAlignment="1"/>
    <xf numFmtId="0" fontId="0" fillId="0" borderId="2" xfId="0" applyFill="1" applyBorder="1" applyAlignment="1"/>
    <xf numFmtId="0" fontId="3" fillId="0" borderId="1" xfId="0" applyFont="1" applyFill="1" applyBorder="1" applyAlignment="1">
      <alignment horizontal="center"/>
    </xf>
    <xf numFmtId="9" fontId="0" fillId="0" borderId="2" xfId="1" applyFont="1" applyFill="1" applyBorder="1" applyAlignment="1"/>
    <xf numFmtId="165" fontId="2" fillId="0" borderId="0" xfId="1" applyNumberFormat="1" applyFont="1"/>
    <xf numFmtId="165" fontId="2" fillId="0" borderId="0" xfId="1" applyNumberFormat="1" applyFont="1" applyAlignment="1">
      <alignment horizontal="left" vertical="top" wrapText="1"/>
    </xf>
    <xf numFmtId="0" fontId="2" fillId="0" borderId="0" xfId="0" applyFont="1"/>
    <xf numFmtId="0" fontId="0" fillId="0" borderId="0" xfId="0" applyAlignment="1">
      <alignment wrapText="1"/>
    </xf>
  </cellXfs>
  <cellStyles count="2">
    <cellStyle name="Normaali" xfId="0" builtinId="0"/>
    <cellStyle name="Prosenttia" xfId="1" builtinId="5"/>
  </cellStyles>
  <dxfs count="2">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27</xdr:col>
      <xdr:colOff>175260</xdr:colOff>
      <xdr:row>3</xdr:row>
      <xdr:rowOff>144780</xdr:rowOff>
    </xdr:from>
    <xdr:to>
      <xdr:col>29</xdr:col>
      <xdr:colOff>304800</xdr:colOff>
      <xdr:row>10</xdr:row>
      <xdr:rowOff>83820</xdr:rowOff>
    </xdr:to>
    <xdr:sp macro="[0]!Cov" textlink="">
      <xdr:nvSpPr>
        <xdr:cNvPr id="4" name="Kuva 2" descr="Ilmapalloeläin tasaisella täytöllä">
          <a:extLst>
            <a:ext uri="{FF2B5EF4-FFF2-40B4-BE49-F238E27FC236}">
              <a16:creationId xmlns:a16="http://schemas.microsoft.com/office/drawing/2014/main" id="{00000000-0008-0000-0000-000004000000}"/>
            </a:ext>
          </a:extLst>
        </xdr:cNvPr>
        <xdr:cNvSpPr/>
      </xdr:nvSpPr>
      <xdr:spPr>
        <a:xfrm>
          <a:off x="21937980" y="693420"/>
          <a:ext cx="1470660" cy="1226820"/>
        </a:xfrm>
        <a:custGeom>
          <a:avLst/>
          <a:gdLst>
            <a:gd name="connsiteX0" fmla="*/ 599313 w 608755"/>
            <a:gd name="connsiteY0" fmla="*/ 21184 h 441960"/>
            <a:gd name="connsiteX1" fmla="*/ 579275 w 608755"/>
            <a:gd name="connsiteY1" fmla="*/ 29119 h 441960"/>
            <a:gd name="connsiteX2" fmla="*/ 579120 w 608755"/>
            <a:gd name="connsiteY2" fmla="*/ 29489 h 441960"/>
            <a:gd name="connsiteX3" fmla="*/ 559994 w 608755"/>
            <a:gd name="connsiteY3" fmla="*/ 75590 h 441960"/>
            <a:gd name="connsiteX4" fmla="*/ 554888 w 608755"/>
            <a:gd name="connsiteY4" fmla="*/ 75590 h 441960"/>
            <a:gd name="connsiteX5" fmla="*/ 496900 w 608755"/>
            <a:gd name="connsiteY5" fmla="*/ 126035 h 441960"/>
            <a:gd name="connsiteX6" fmla="*/ 470687 w 608755"/>
            <a:gd name="connsiteY6" fmla="*/ 189357 h 441960"/>
            <a:gd name="connsiteX7" fmla="*/ 463601 w 608755"/>
            <a:gd name="connsiteY7" fmla="*/ 213208 h 441960"/>
            <a:gd name="connsiteX8" fmla="*/ 426720 w 608755"/>
            <a:gd name="connsiteY8" fmla="*/ 205740 h 441960"/>
            <a:gd name="connsiteX9" fmla="*/ 312420 w 608755"/>
            <a:gd name="connsiteY9" fmla="*/ 205740 h 441960"/>
            <a:gd name="connsiteX10" fmla="*/ 277292 w 608755"/>
            <a:gd name="connsiteY10" fmla="*/ 211912 h 441960"/>
            <a:gd name="connsiteX11" fmla="*/ 251460 w 608755"/>
            <a:gd name="connsiteY11" fmla="*/ 173888 h 441960"/>
            <a:gd name="connsiteX12" fmla="*/ 288646 w 608755"/>
            <a:gd name="connsiteY12" fmla="*/ 141503 h 441960"/>
            <a:gd name="connsiteX13" fmla="*/ 299466 w 608755"/>
            <a:gd name="connsiteY13" fmla="*/ 50063 h 441960"/>
            <a:gd name="connsiteX14" fmla="*/ 262433 w 608755"/>
            <a:gd name="connsiteY14" fmla="*/ 34823 h 441960"/>
            <a:gd name="connsiteX15" fmla="*/ 262433 w 608755"/>
            <a:gd name="connsiteY15" fmla="*/ 34823 h 441960"/>
            <a:gd name="connsiteX16" fmla="*/ 233324 w 608755"/>
            <a:gd name="connsiteY16" fmla="*/ 4343 h 441960"/>
            <a:gd name="connsiteX17" fmla="*/ 213360 w 608755"/>
            <a:gd name="connsiteY17" fmla="*/ 0 h 441960"/>
            <a:gd name="connsiteX18" fmla="*/ 137160 w 608755"/>
            <a:gd name="connsiteY18" fmla="*/ 108128 h 441960"/>
            <a:gd name="connsiteX19" fmla="*/ 46939 w 608755"/>
            <a:gd name="connsiteY19" fmla="*/ 152400 h 441960"/>
            <a:gd name="connsiteX20" fmla="*/ 15240 w 608755"/>
            <a:gd name="connsiteY20" fmla="*/ 152400 h 441960"/>
            <a:gd name="connsiteX21" fmla="*/ 0 w 608755"/>
            <a:gd name="connsiteY21" fmla="*/ 167640 h 441960"/>
            <a:gd name="connsiteX22" fmla="*/ 15240 w 608755"/>
            <a:gd name="connsiteY22" fmla="*/ 182880 h 441960"/>
            <a:gd name="connsiteX23" fmla="*/ 49225 w 608755"/>
            <a:gd name="connsiteY23" fmla="*/ 182880 h 441960"/>
            <a:gd name="connsiteX24" fmla="*/ 155067 w 608755"/>
            <a:gd name="connsiteY24" fmla="*/ 214122 h 441960"/>
            <a:gd name="connsiteX25" fmla="*/ 200787 w 608755"/>
            <a:gd name="connsiteY25" fmla="*/ 276835 h 441960"/>
            <a:gd name="connsiteX26" fmla="*/ 151181 w 608755"/>
            <a:gd name="connsiteY26" fmla="*/ 349301 h 441960"/>
            <a:gd name="connsiteX27" fmla="*/ 176022 w 608755"/>
            <a:gd name="connsiteY27" fmla="*/ 437769 h 441960"/>
            <a:gd name="connsiteX28" fmla="*/ 196063 w 608755"/>
            <a:gd name="connsiteY28" fmla="*/ 441884 h 441960"/>
            <a:gd name="connsiteX29" fmla="*/ 256108 w 608755"/>
            <a:gd name="connsiteY29" fmla="*/ 392963 h 441960"/>
            <a:gd name="connsiteX30" fmla="*/ 273863 w 608755"/>
            <a:gd name="connsiteY30" fmla="*/ 312420 h 441960"/>
            <a:gd name="connsiteX31" fmla="*/ 312420 w 608755"/>
            <a:gd name="connsiteY31" fmla="*/ 320040 h 441960"/>
            <a:gd name="connsiteX32" fmla="*/ 426720 w 608755"/>
            <a:gd name="connsiteY32" fmla="*/ 320040 h 441960"/>
            <a:gd name="connsiteX33" fmla="*/ 448970 w 608755"/>
            <a:gd name="connsiteY33" fmla="*/ 317678 h 441960"/>
            <a:gd name="connsiteX34" fmla="*/ 456057 w 608755"/>
            <a:gd name="connsiteY34" fmla="*/ 364617 h 441960"/>
            <a:gd name="connsiteX35" fmla="*/ 467716 w 608755"/>
            <a:gd name="connsiteY35" fmla="*/ 392811 h 441960"/>
            <a:gd name="connsiteX36" fmla="*/ 527914 w 608755"/>
            <a:gd name="connsiteY36" fmla="*/ 441960 h 441960"/>
            <a:gd name="connsiteX37" fmla="*/ 547878 w 608755"/>
            <a:gd name="connsiteY37" fmla="*/ 437845 h 441960"/>
            <a:gd name="connsiteX38" fmla="*/ 572795 w 608755"/>
            <a:gd name="connsiteY38" fmla="*/ 349529 h 441960"/>
            <a:gd name="connsiteX39" fmla="*/ 561137 w 608755"/>
            <a:gd name="connsiteY39" fmla="*/ 321183 h 441960"/>
            <a:gd name="connsiteX40" fmla="*/ 525247 w 608755"/>
            <a:gd name="connsiteY40" fmla="*/ 278130 h 441960"/>
            <a:gd name="connsiteX41" fmla="*/ 569519 w 608755"/>
            <a:gd name="connsiteY41" fmla="*/ 229972 h 441960"/>
            <a:gd name="connsiteX42" fmla="*/ 595808 w 608755"/>
            <a:gd name="connsiteY42" fmla="*/ 166649 h 441960"/>
            <a:gd name="connsiteX43" fmla="*/ 588188 w 608755"/>
            <a:gd name="connsiteY43" fmla="*/ 87935 h 441960"/>
            <a:gd name="connsiteX44" fmla="*/ 607543 w 608755"/>
            <a:gd name="connsiteY44" fmla="*/ 41224 h 441960"/>
            <a:gd name="connsiteX45" fmla="*/ 599459 w 608755"/>
            <a:gd name="connsiteY45" fmla="*/ 21245 h 441960"/>
            <a:gd name="connsiteX46" fmla="*/ 599313 w 608755"/>
            <a:gd name="connsiteY46" fmla="*/ 21184 h 441960"/>
            <a:gd name="connsiteX47" fmla="*/ 262661 w 608755"/>
            <a:gd name="connsiteY47" fmla="*/ 64999 h 441960"/>
            <a:gd name="connsiteX48" fmla="*/ 284184 w 608755"/>
            <a:gd name="connsiteY48" fmla="*/ 87509 h 441960"/>
            <a:gd name="connsiteX49" fmla="*/ 283997 w 608755"/>
            <a:gd name="connsiteY49" fmla="*/ 89916 h 441960"/>
            <a:gd name="connsiteX50" fmla="*/ 266700 w 608755"/>
            <a:gd name="connsiteY50" fmla="*/ 119939 h 441960"/>
            <a:gd name="connsiteX51" fmla="*/ 250469 w 608755"/>
            <a:gd name="connsiteY51" fmla="*/ 136093 h 441960"/>
            <a:gd name="connsiteX52" fmla="*/ 217018 w 608755"/>
            <a:gd name="connsiteY52" fmla="*/ 153238 h 441960"/>
            <a:gd name="connsiteX53" fmla="*/ 201778 w 608755"/>
            <a:gd name="connsiteY53" fmla="*/ 146914 h 441960"/>
            <a:gd name="connsiteX54" fmla="*/ 213360 w 608755"/>
            <a:gd name="connsiteY54" fmla="*/ 98374 h 441960"/>
            <a:gd name="connsiteX55" fmla="*/ 229591 w 608755"/>
            <a:gd name="connsiteY55" fmla="*/ 82220 h 441960"/>
            <a:gd name="connsiteX56" fmla="*/ 262661 w 608755"/>
            <a:gd name="connsiteY56" fmla="*/ 64999 h 441960"/>
            <a:gd name="connsiteX57" fmla="*/ 213360 w 608755"/>
            <a:gd name="connsiteY57" fmla="*/ 30480 h 441960"/>
            <a:gd name="connsiteX58" fmla="*/ 221818 w 608755"/>
            <a:gd name="connsiteY58" fmla="*/ 32309 h 441960"/>
            <a:gd name="connsiteX59" fmla="*/ 232867 w 608755"/>
            <a:gd name="connsiteY59" fmla="*/ 42291 h 441960"/>
            <a:gd name="connsiteX60" fmla="*/ 232867 w 608755"/>
            <a:gd name="connsiteY60" fmla="*/ 42291 h 441960"/>
            <a:gd name="connsiteX61" fmla="*/ 167640 w 608755"/>
            <a:gd name="connsiteY61" fmla="*/ 115367 h 441960"/>
            <a:gd name="connsiteX62" fmla="*/ 167640 w 608755"/>
            <a:gd name="connsiteY62" fmla="*/ 115367 h 441960"/>
            <a:gd name="connsiteX63" fmla="*/ 213360 w 608755"/>
            <a:gd name="connsiteY63" fmla="*/ 30480 h 441960"/>
            <a:gd name="connsiteX64" fmla="*/ 119329 w 608755"/>
            <a:gd name="connsiteY64" fmla="*/ 190500 h 441960"/>
            <a:gd name="connsiteX65" fmla="*/ 116129 w 608755"/>
            <a:gd name="connsiteY65" fmla="*/ 190500 h 441960"/>
            <a:gd name="connsiteX66" fmla="*/ 76200 w 608755"/>
            <a:gd name="connsiteY66" fmla="*/ 163830 h 441960"/>
            <a:gd name="connsiteX67" fmla="*/ 115976 w 608755"/>
            <a:gd name="connsiteY67" fmla="*/ 137160 h 441960"/>
            <a:gd name="connsiteX68" fmla="*/ 119558 w 608755"/>
            <a:gd name="connsiteY68" fmla="*/ 137160 h 441960"/>
            <a:gd name="connsiteX69" fmla="*/ 160020 w 608755"/>
            <a:gd name="connsiteY69" fmla="*/ 163830 h 441960"/>
            <a:gd name="connsiteX70" fmla="*/ 119329 w 608755"/>
            <a:gd name="connsiteY70" fmla="*/ 190500 h 441960"/>
            <a:gd name="connsiteX71" fmla="*/ 197510 w 608755"/>
            <a:gd name="connsiteY71" fmla="*/ 237211 h 441960"/>
            <a:gd name="connsiteX72" fmla="*/ 185395 w 608755"/>
            <a:gd name="connsiteY72" fmla="*/ 212293 h 441960"/>
            <a:gd name="connsiteX73" fmla="*/ 209702 w 608755"/>
            <a:gd name="connsiteY73" fmla="*/ 187909 h 441960"/>
            <a:gd name="connsiteX74" fmla="*/ 235001 w 608755"/>
            <a:gd name="connsiteY74" fmla="*/ 200177 h 441960"/>
            <a:gd name="connsiteX75" fmla="*/ 236677 w 608755"/>
            <a:gd name="connsiteY75" fmla="*/ 201930 h 441960"/>
            <a:gd name="connsiteX76" fmla="*/ 236677 w 608755"/>
            <a:gd name="connsiteY76" fmla="*/ 201930 h 441960"/>
            <a:gd name="connsiteX77" fmla="*/ 241402 w 608755"/>
            <a:gd name="connsiteY77" fmla="*/ 243916 h 441960"/>
            <a:gd name="connsiteX78" fmla="*/ 224638 w 608755"/>
            <a:gd name="connsiteY78" fmla="*/ 251536 h 441960"/>
            <a:gd name="connsiteX79" fmla="*/ 199568 w 608755"/>
            <a:gd name="connsiteY79" fmla="*/ 239420 h 441960"/>
            <a:gd name="connsiteX80" fmla="*/ 197510 w 608755"/>
            <a:gd name="connsiteY80" fmla="*/ 237211 h 441960"/>
            <a:gd name="connsiteX81" fmla="*/ 239801 w 608755"/>
            <a:gd name="connsiteY81" fmla="*/ 352730 h 441960"/>
            <a:gd name="connsiteX82" fmla="*/ 227838 w 608755"/>
            <a:gd name="connsiteY82" fmla="*/ 381457 h 441960"/>
            <a:gd name="connsiteX83" fmla="*/ 196063 w 608755"/>
            <a:gd name="connsiteY83" fmla="*/ 411404 h 441960"/>
            <a:gd name="connsiteX84" fmla="*/ 187681 w 608755"/>
            <a:gd name="connsiteY84" fmla="*/ 409575 h 441960"/>
            <a:gd name="connsiteX85" fmla="*/ 176022 w 608755"/>
            <a:gd name="connsiteY85" fmla="*/ 398069 h 441960"/>
            <a:gd name="connsiteX86" fmla="*/ 179222 w 608755"/>
            <a:gd name="connsiteY86" fmla="*/ 361188 h 441960"/>
            <a:gd name="connsiteX87" fmla="*/ 191033 w 608755"/>
            <a:gd name="connsiteY87" fmla="*/ 332613 h 441960"/>
            <a:gd name="connsiteX88" fmla="*/ 223114 w 608755"/>
            <a:gd name="connsiteY88" fmla="*/ 302133 h 441960"/>
            <a:gd name="connsiteX89" fmla="*/ 231419 w 608755"/>
            <a:gd name="connsiteY89" fmla="*/ 303886 h 441960"/>
            <a:gd name="connsiteX90" fmla="*/ 243002 w 608755"/>
            <a:gd name="connsiteY90" fmla="*/ 315316 h 441960"/>
            <a:gd name="connsiteX91" fmla="*/ 239801 w 608755"/>
            <a:gd name="connsiteY91" fmla="*/ 352730 h 441960"/>
            <a:gd name="connsiteX92" fmla="*/ 312420 w 608755"/>
            <a:gd name="connsiteY92" fmla="*/ 289560 h 441960"/>
            <a:gd name="connsiteX93" fmla="*/ 270510 w 608755"/>
            <a:gd name="connsiteY93" fmla="*/ 262890 h 441960"/>
            <a:gd name="connsiteX94" fmla="*/ 312420 w 608755"/>
            <a:gd name="connsiteY94" fmla="*/ 236220 h 441960"/>
            <a:gd name="connsiteX95" fmla="*/ 426720 w 608755"/>
            <a:gd name="connsiteY95" fmla="*/ 236220 h 441960"/>
            <a:gd name="connsiteX96" fmla="*/ 468630 w 608755"/>
            <a:gd name="connsiteY96" fmla="*/ 262890 h 441960"/>
            <a:gd name="connsiteX97" fmla="*/ 426720 w 608755"/>
            <a:gd name="connsiteY97" fmla="*/ 289560 h 441960"/>
            <a:gd name="connsiteX98" fmla="*/ 544754 w 608755"/>
            <a:gd name="connsiteY98" fmla="*/ 361340 h 441960"/>
            <a:gd name="connsiteX99" fmla="*/ 547878 w 608755"/>
            <a:gd name="connsiteY99" fmla="*/ 398069 h 441960"/>
            <a:gd name="connsiteX100" fmla="*/ 536219 w 608755"/>
            <a:gd name="connsiteY100" fmla="*/ 409651 h 441960"/>
            <a:gd name="connsiteX101" fmla="*/ 527914 w 608755"/>
            <a:gd name="connsiteY101" fmla="*/ 411404 h 441960"/>
            <a:gd name="connsiteX102" fmla="*/ 495986 w 608755"/>
            <a:gd name="connsiteY102" fmla="*/ 381381 h 441960"/>
            <a:gd name="connsiteX103" fmla="*/ 484175 w 608755"/>
            <a:gd name="connsiteY103" fmla="*/ 352806 h 441960"/>
            <a:gd name="connsiteX104" fmla="*/ 480898 w 608755"/>
            <a:gd name="connsiteY104" fmla="*/ 315544 h 441960"/>
            <a:gd name="connsiteX105" fmla="*/ 492481 w 608755"/>
            <a:gd name="connsiteY105" fmla="*/ 304038 h 441960"/>
            <a:gd name="connsiteX106" fmla="*/ 500786 w 608755"/>
            <a:gd name="connsiteY106" fmla="*/ 302285 h 441960"/>
            <a:gd name="connsiteX107" fmla="*/ 532867 w 608755"/>
            <a:gd name="connsiteY107" fmla="*/ 332765 h 441960"/>
            <a:gd name="connsiteX108" fmla="*/ 567614 w 608755"/>
            <a:gd name="connsiteY108" fmla="*/ 154838 h 441960"/>
            <a:gd name="connsiteX109" fmla="*/ 541401 w 608755"/>
            <a:gd name="connsiteY109" fmla="*/ 218237 h 441960"/>
            <a:gd name="connsiteX110" fmla="*/ 511454 w 608755"/>
            <a:gd name="connsiteY110" fmla="*/ 249784 h 441960"/>
            <a:gd name="connsiteX111" fmla="*/ 503834 w 608755"/>
            <a:gd name="connsiteY111" fmla="*/ 248183 h 441960"/>
            <a:gd name="connsiteX112" fmla="*/ 493243 w 608755"/>
            <a:gd name="connsiteY112" fmla="*/ 235610 h 441960"/>
            <a:gd name="connsiteX113" fmla="*/ 498805 w 608755"/>
            <a:gd name="connsiteY113" fmla="*/ 200711 h 441960"/>
            <a:gd name="connsiteX114" fmla="*/ 505358 w 608755"/>
            <a:gd name="connsiteY114" fmla="*/ 184785 h 441960"/>
            <a:gd name="connsiteX115" fmla="*/ 525780 w 608755"/>
            <a:gd name="connsiteY115" fmla="*/ 137160 h 441960"/>
            <a:gd name="connsiteX116" fmla="*/ 555574 w 608755"/>
            <a:gd name="connsiteY116" fmla="*/ 105537 h 441960"/>
            <a:gd name="connsiteX117" fmla="*/ 563194 w 608755"/>
            <a:gd name="connsiteY117" fmla="*/ 107137 h 441960"/>
            <a:gd name="connsiteX118" fmla="*/ 573862 w 608755"/>
            <a:gd name="connsiteY118" fmla="*/ 119710 h 441960"/>
            <a:gd name="connsiteX119" fmla="*/ 567614 w 608755"/>
            <a:gd name="connsiteY119" fmla="*/ 154838 h 441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Lst>
          <a:rect l="l" t="t" r="r" b="b"/>
          <a:pathLst>
            <a:path w="608755" h="441960">
              <a:moveTo>
                <a:pt x="599313" y="21184"/>
              </a:moveTo>
              <a:cubicBezTo>
                <a:pt x="591588" y="17841"/>
                <a:pt x="582617" y="21394"/>
                <a:pt x="579275" y="29119"/>
              </a:cubicBezTo>
              <a:cubicBezTo>
                <a:pt x="579221" y="29242"/>
                <a:pt x="579170" y="29365"/>
                <a:pt x="579120" y="29489"/>
              </a:cubicBezTo>
              <a:lnTo>
                <a:pt x="559994" y="75590"/>
              </a:lnTo>
              <a:cubicBezTo>
                <a:pt x="558294" y="75479"/>
                <a:pt x="556588" y="75479"/>
                <a:pt x="554888" y="75590"/>
              </a:cubicBezTo>
              <a:cubicBezTo>
                <a:pt x="530733" y="75590"/>
                <a:pt x="509778" y="95098"/>
                <a:pt x="496900" y="126035"/>
              </a:cubicBezTo>
              <a:lnTo>
                <a:pt x="470687" y="189357"/>
              </a:lnTo>
              <a:cubicBezTo>
                <a:pt x="467483" y="197033"/>
                <a:pt x="465108" y="205028"/>
                <a:pt x="463601" y="213208"/>
              </a:cubicBezTo>
              <a:cubicBezTo>
                <a:pt x="451929" y="208281"/>
                <a:pt x="439389" y="205742"/>
                <a:pt x="426720" y="205740"/>
              </a:cubicBezTo>
              <a:lnTo>
                <a:pt x="312420" y="205740"/>
              </a:lnTo>
              <a:cubicBezTo>
                <a:pt x="300542" y="206685"/>
                <a:pt x="288780" y="208751"/>
                <a:pt x="277292" y="211912"/>
              </a:cubicBezTo>
              <a:cubicBezTo>
                <a:pt x="274320" y="190500"/>
                <a:pt x="253136" y="175260"/>
                <a:pt x="251460" y="173888"/>
              </a:cubicBezTo>
              <a:cubicBezTo>
                <a:pt x="264492" y="163847"/>
                <a:pt x="276909" y="153032"/>
                <a:pt x="288646" y="141503"/>
              </a:cubicBezTo>
              <a:cubicBezTo>
                <a:pt x="318440" y="111785"/>
                <a:pt x="322402" y="75590"/>
                <a:pt x="299466" y="50063"/>
              </a:cubicBezTo>
              <a:cubicBezTo>
                <a:pt x="290593" y="38914"/>
                <a:pt x="276583" y="33149"/>
                <a:pt x="262433" y="34823"/>
              </a:cubicBezTo>
              <a:lnTo>
                <a:pt x="262433" y="34823"/>
              </a:lnTo>
              <a:cubicBezTo>
                <a:pt x="257572" y="20946"/>
                <a:pt x="246964" y="9837"/>
                <a:pt x="233324" y="4343"/>
              </a:cubicBezTo>
              <a:cubicBezTo>
                <a:pt x="227012" y="1623"/>
                <a:pt x="220232" y="148"/>
                <a:pt x="213360" y="0"/>
              </a:cubicBezTo>
              <a:cubicBezTo>
                <a:pt x="160020" y="0"/>
                <a:pt x="144780" y="83820"/>
                <a:pt x="137160" y="108128"/>
              </a:cubicBezTo>
              <a:cubicBezTo>
                <a:pt x="131140" y="107290"/>
                <a:pt x="60960" y="99060"/>
                <a:pt x="46939" y="152400"/>
              </a:cubicBezTo>
              <a:lnTo>
                <a:pt x="15240" y="152400"/>
              </a:lnTo>
              <a:cubicBezTo>
                <a:pt x="6823" y="152400"/>
                <a:pt x="0" y="159223"/>
                <a:pt x="0" y="167640"/>
              </a:cubicBezTo>
              <a:cubicBezTo>
                <a:pt x="0" y="176057"/>
                <a:pt x="6823" y="182880"/>
                <a:pt x="15240" y="182880"/>
              </a:cubicBezTo>
              <a:lnTo>
                <a:pt x="49225" y="182880"/>
              </a:lnTo>
              <a:cubicBezTo>
                <a:pt x="58217" y="206273"/>
                <a:pt x="91440" y="236220"/>
                <a:pt x="155067" y="214122"/>
              </a:cubicBezTo>
              <a:cubicBezTo>
                <a:pt x="155600" y="229362"/>
                <a:pt x="175260" y="266700"/>
                <a:pt x="200787" y="276835"/>
              </a:cubicBezTo>
              <a:cubicBezTo>
                <a:pt x="175260" y="289560"/>
                <a:pt x="153010" y="344881"/>
                <a:pt x="151181" y="349301"/>
              </a:cubicBezTo>
              <a:cubicBezTo>
                <a:pt x="134874" y="387401"/>
                <a:pt x="144323" y="424663"/>
                <a:pt x="176022" y="437769"/>
              </a:cubicBezTo>
              <a:cubicBezTo>
                <a:pt x="182369" y="440436"/>
                <a:pt x="189178" y="441834"/>
                <a:pt x="196063" y="441884"/>
              </a:cubicBezTo>
              <a:cubicBezTo>
                <a:pt x="220980" y="441960"/>
                <a:pt x="243840" y="423367"/>
                <a:pt x="256108" y="392963"/>
              </a:cubicBezTo>
              <a:cubicBezTo>
                <a:pt x="257937" y="388620"/>
                <a:pt x="281940" y="342900"/>
                <a:pt x="273863" y="312420"/>
              </a:cubicBezTo>
              <a:cubicBezTo>
                <a:pt x="286031" y="317661"/>
                <a:pt x="299173" y="320258"/>
                <a:pt x="312420" y="320040"/>
              </a:cubicBezTo>
              <a:lnTo>
                <a:pt x="426720" y="320040"/>
              </a:lnTo>
              <a:cubicBezTo>
                <a:pt x="434201" y="320057"/>
                <a:pt x="441661" y="319265"/>
                <a:pt x="448970" y="317678"/>
              </a:cubicBezTo>
              <a:cubicBezTo>
                <a:pt x="446977" y="333678"/>
                <a:pt x="449428" y="349918"/>
                <a:pt x="456057" y="364617"/>
              </a:cubicBezTo>
              <a:cubicBezTo>
                <a:pt x="457886" y="369037"/>
                <a:pt x="465963" y="388315"/>
                <a:pt x="467716" y="392811"/>
              </a:cubicBezTo>
              <a:cubicBezTo>
                <a:pt x="480060" y="423367"/>
                <a:pt x="502920" y="441960"/>
                <a:pt x="527914" y="441960"/>
              </a:cubicBezTo>
              <a:cubicBezTo>
                <a:pt x="534778" y="441949"/>
                <a:pt x="541569" y="440549"/>
                <a:pt x="547878" y="437845"/>
              </a:cubicBezTo>
              <a:cubicBezTo>
                <a:pt x="579577" y="424739"/>
                <a:pt x="589026" y="387858"/>
                <a:pt x="572795" y="349529"/>
              </a:cubicBezTo>
              <a:cubicBezTo>
                <a:pt x="570890" y="345034"/>
                <a:pt x="562889" y="325603"/>
                <a:pt x="561137" y="321183"/>
              </a:cubicBezTo>
              <a:cubicBezTo>
                <a:pt x="554529" y="303104"/>
                <a:pt x="541841" y="287884"/>
                <a:pt x="525247" y="278130"/>
              </a:cubicBezTo>
              <a:cubicBezTo>
                <a:pt x="543611" y="272263"/>
                <a:pt x="559308" y="254660"/>
                <a:pt x="569519" y="229972"/>
              </a:cubicBezTo>
              <a:cubicBezTo>
                <a:pt x="571043" y="226466"/>
                <a:pt x="594360" y="170155"/>
                <a:pt x="595808" y="166649"/>
              </a:cubicBezTo>
              <a:cubicBezTo>
                <a:pt x="609143" y="134417"/>
                <a:pt x="607390" y="104699"/>
                <a:pt x="588188" y="87935"/>
              </a:cubicBezTo>
              <a:lnTo>
                <a:pt x="607543" y="41224"/>
              </a:lnTo>
              <a:cubicBezTo>
                <a:pt x="610828" y="33475"/>
                <a:pt x="607209" y="24530"/>
                <a:pt x="599459" y="21245"/>
              </a:cubicBezTo>
              <a:cubicBezTo>
                <a:pt x="599411" y="21224"/>
                <a:pt x="599362" y="21203"/>
                <a:pt x="599313" y="21184"/>
              </a:cubicBezTo>
              <a:close/>
              <a:moveTo>
                <a:pt x="262661" y="64999"/>
              </a:moveTo>
              <a:cubicBezTo>
                <a:pt x="274821" y="65271"/>
                <a:pt x="284457" y="75350"/>
                <a:pt x="284184" y="87509"/>
              </a:cubicBezTo>
              <a:cubicBezTo>
                <a:pt x="284166" y="88314"/>
                <a:pt x="284103" y="89117"/>
                <a:pt x="283997" y="89916"/>
              </a:cubicBezTo>
              <a:cubicBezTo>
                <a:pt x="281626" y="101530"/>
                <a:pt x="275557" y="112063"/>
                <a:pt x="266700" y="119939"/>
              </a:cubicBezTo>
              <a:lnTo>
                <a:pt x="250469" y="136093"/>
              </a:lnTo>
              <a:cubicBezTo>
                <a:pt x="241924" y="145880"/>
                <a:pt x="229952" y="152016"/>
                <a:pt x="217018" y="153238"/>
              </a:cubicBezTo>
              <a:cubicBezTo>
                <a:pt x="211271" y="153387"/>
                <a:pt x="205731" y="151088"/>
                <a:pt x="201778" y="146914"/>
              </a:cubicBezTo>
              <a:cubicBezTo>
                <a:pt x="189281" y="133883"/>
                <a:pt x="198120" y="113157"/>
                <a:pt x="213360" y="98374"/>
              </a:cubicBezTo>
              <a:lnTo>
                <a:pt x="229591" y="82220"/>
              </a:lnTo>
              <a:cubicBezTo>
                <a:pt x="238058" y="72527"/>
                <a:pt x="249865" y="66379"/>
                <a:pt x="262661" y="64999"/>
              </a:cubicBezTo>
              <a:close/>
              <a:moveTo>
                <a:pt x="213360" y="30480"/>
              </a:moveTo>
              <a:cubicBezTo>
                <a:pt x="216274" y="30516"/>
                <a:pt x="219150" y="31138"/>
                <a:pt x="221818" y="32309"/>
              </a:cubicBezTo>
              <a:cubicBezTo>
                <a:pt x="226642" y="34100"/>
                <a:pt x="230596" y="37673"/>
                <a:pt x="232867" y="42291"/>
              </a:cubicBezTo>
              <a:lnTo>
                <a:pt x="232867" y="42291"/>
              </a:lnTo>
              <a:cubicBezTo>
                <a:pt x="198120" y="53340"/>
                <a:pt x="171602" y="102108"/>
                <a:pt x="167640" y="115367"/>
              </a:cubicBezTo>
              <a:lnTo>
                <a:pt x="167640" y="115367"/>
              </a:lnTo>
              <a:cubicBezTo>
                <a:pt x="160020" y="99060"/>
                <a:pt x="175260" y="30480"/>
                <a:pt x="213360" y="30480"/>
              </a:cubicBezTo>
              <a:close/>
              <a:moveTo>
                <a:pt x="119329" y="190500"/>
              </a:moveTo>
              <a:lnTo>
                <a:pt x="116129" y="190500"/>
              </a:lnTo>
              <a:cubicBezTo>
                <a:pt x="96088" y="190500"/>
                <a:pt x="76200" y="181889"/>
                <a:pt x="76200" y="163830"/>
              </a:cubicBezTo>
              <a:cubicBezTo>
                <a:pt x="76200" y="145771"/>
                <a:pt x="95936" y="137541"/>
                <a:pt x="115976" y="137160"/>
              </a:cubicBezTo>
              <a:lnTo>
                <a:pt x="119558" y="137160"/>
              </a:lnTo>
              <a:cubicBezTo>
                <a:pt x="139675" y="137160"/>
                <a:pt x="160020" y="145466"/>
                <a:pt x="160020" y="163830"/>
              </a:cubicBezTo>
              <a:cubicBezTo>
                <a:pt x="160020" y="182194"/>
                <a:pt x="139598" y="190500"/>
                <a:pt x="119329" y="190500"/>
              </a:cubicBezTo>
              <a:close/>
              <a:moveTo>
                <a:pt x="197510" y="237211"/>
              </a:moveTo>
              <a:cubicBezTo>
                <a:pt x="190438" y="230756"/>
                <a:pt x="186103" y="221841"/>
                <a:pt x="185395" y="212293"/>
              </a:cubicBezTo>
              <a:cubicBezTo>
                <a:pt x="186144" y="199178"/>
                <a:pt x="196590" y="188699"/>
                <a:pt x="209702" y="187909"/>
              </a:cubicBezTo>
              <a:cubicBezTo>
                <a:pt x="219405" y="188570"/>
                <a:pt x="228474" y="192967"/>
                <a:pt x="235001" y="200177"/>
              </a:cubicBezTo>
              <a:lnTo>
                <a:pt x="236677" y="201930"/>
              </a:lnTo>
              <a:lnTo>
                <a:pt x="236677" y="201930"/>
              </a:lnTo>
              <a:cubicBezTo>
                <a:pt x="247955" y="213284"/>
                <a:pt x="255118" y="230200"/>
                <a:pt x="241402" y="243916"/>
              </a:cubicBezTo>
              <a:cubicBezTo>
                <a:pt x="237129" y="248694"/>
                <a:pt x="231047" y="251458"/>
                <a:pt x="224638" y="251536"/>
              </a:cubicBezTo>
              <a:cubicBezTo>
                <a:pt x="215027" y="250897"/>
                <a:pt x="206040" y="246553"/>
                <a:pt x="199568" y="239420"/>
              </a:cubicBezTo>
              <a:cubicBezTo>
                <a:pt x="198923" y="238646"/>
                <a:pt x="198237" y="237909"/>
                <a:pt x="197510" y="237211"/>
              </a:cubicBezTo>
              <a:close/>
              <a:moveTo>
                <a:pt x="239801" y="352730"/>
              </a:moveTo>
              <a:cubicBezTo>
                <a:pt x="237896" y="357149"/>
                <a:pt x="229667" y="376885"/>
                <a:pt x="227838" y="381457"/>
              </a:cubicBezTo>
              <a:cubicBezTo>
                <a:pt x="220218" y="399669"/>
                <a:pt x="208026" y="411404"/>
                <a:pt x="196063" y="411404"/>
              </a:cubicBezTo>
              <a:cubicBezTo>
                <a:pt x="193174" y="411368"/>
                <a:pt x="190322" y="410745"/>
                <a:pt x="187681" y="409575"/>
              </a:cubicBezTo>
              <a:cubicBezTo>
                <a:pt x="182359" y="407534"/>
                <a:pt x="178132" y="403363"/>
                <a:pt x="176022" y="398069"/>
              </a:cubicBezTo>
              <a:cubicBezTo>
                <a:pt x="172353" y="385816"/>
                <a:pt x="173497" y="372626"/>
                <a:pt x="179222" y="361188"/>
              </a:cubicBezTo>
              <a:cubicBezTo>
                <a:pt x="181127" y="356692"/>
                <a:pt x="189281" y="337033"/>
                <a:pt x="191033" y="332613"/>
              </a:cubicBezTo>
              <a:cubicBezTo>
                <a:pt x="198653" y="314173"/>
                <a:pt x="211150" y="302133"/>
                <a:pt x="223114" y="302133"/>
              </a:cubicBezTo>
              <a:cubicBezTo>
                <a:pt x="225973" y="302142"/>
                <a:pt x="228800" y="302739"/>
                <a:pt x="231419" y="303886"/>
              </a:cubicBezTo>
              <a:cubicBezTo>
                <a:pt x="236718" y="305894"/>
                <a:pt x="240923" y="310044"/>
                <a:pt x="243002" y="315316"/>
              </a:cubicBezTo>
              <a:cubicBezTo>
                <a:pt x="246790" y="327734"/>
                <a:pt x="245643" y="341135"/>
                <a:pt x="239801" y="352730"/>
              </a:cubicBezTo>
              <a:close/>
              <a:moveTo>
                <a:pt x="312420" y="289560"/>
              </a:moveTo>
              <a:cubicBezTo>
                <a:pt x="293065" y="289560"/>
                <a:pt x="270510" y="282550"/>
                <a:pt x="270510" y="262890"/>
              </a:cubicBezTo>
              <a:cubicBezTo>
                <a:pt x="270510" y="243230"/>
                <a:pt x="293065" y="236220"/>
                <a:pt x="312420" y="236220"/>
              </a:cubicBezTo>
              <a:lnTo>
                <a:pt x="426720" y="236220"/>
              </a:lnTo>
              <a:cubicBezTo>
                <a:pt x="447599" y="236220"/>
                <a:pt x="468630" y="244450"/>
                <a:pt x="468630" y="262890"/>
              </a:cubicBezTo>
              <a:cubicBezTo>
                <a:pt x="468630" y="281330"/>
                <a:pt x="447599" y="289560"/>
                <a:pt x="426720" y="289560"/>
              </a:cubicBezTo>
              <a:close/>
              <a:moveTo>
                <a:pt x="544754" y="361340"/>
              </a:moveTo>
              <a:cubicBezTo>
                <a:pt x="550467" y="372729"/>
                <a:pt x="551585" y="385878"/>
                <a:pt x="547878" y="398069"/>
              </a:cubicBezTo>
              <a:cubicBezTo>
                <a:pt x="545802" y="403403"/>
                <a:pt x="541566" y="407610"/>
                <a:pt x="536219" y="409651"/>
              </a:cubicBezTo>
              <a:cubicBezTo>
                <a:pt x="533589" y="410763"/>
                <a:pt x="530769" y="411358"/>
                <a:pt x="527914" y="411404"/>
              </a:cubicBezTo>
              <a:cubicBezTo>
                <a:pt x="515874" y="411404"/>
                <a:pt x="503377" y="399593"/>
                <a:pt x="495986" y="381381"/>
              </a:cubicBezTo>
              <a:cubicBezTo>
                <a:pt x="494157" y="376809"/>
                <a:pt x="486004" y="357226"/>
                <a:pt x="484175" y="352806"/>
              </a:cubicBezTo>
              <a:cubicBezTo>
                <a:pt x="478355" y="341262"/>
                <a:pt x="477183" y="327927"/>
                <a:pt x="480898" y="315544"/>
              </a:cubicBezTo>
              <a:cubicBezTo>
                <a:pt x="482951" y="310238"/>
                <a:pt x="487162" y="306056"/>
                <a:pt x="492481" y="304038"/>
              </a:cubicBezTo>
              <a:cubicBezTo>
                <a:pt x="495111" y="302926"/>
                <a:pt x="497931" y="302331"/>
                <a:pt x="500786" y="302285"/>
              </a:cubicBezTo>
              <a:cubicBezTo>
                <a:pt x="512826" y="302285"/>
                <a:pt x="525399" y="314173"/>
                <a:pt x="532867" y="332765"/>
              </a:cubicBezTo>
              <a:close/>
              <a:moveTo>
                <a:pt x="567614" y="154838"/>
              </a:moveTo>
              <a:lnTo>
                <a:pt x="541401" y="218237"/>
              </a:lnTo>
              <a:cubicBezTo>
                <a:pt x="533781" y="237439"/>
                <a:pt x="521665" y="249784"/>
                <a:pt x="511454" y="249784"/>
              </a:cubicBezTo>
              <a:cubicBezTo>
                <a:pt x="508832" y="249776"/>
                <a:pt x="506239" y="249232"/>
                <a:pt x="503834" y="248183"/>
              </a:cubicBezTo>
              <a:cubicBezTo>
                <a:pt x="498276" y="246236"/>
                <a:pt x="494217" y="241419"/>
                <a:pt x="493243" y="235610"/>
              </a:cubicBezTo>
              <a:cubicBezTo>
                <a:pt x="491610" y="223683"/>
                <a:pt x="493546" y="211540"/>
                <a:pt x="498805" y="200711"/>
              </a:cubicBezTo>
              <a:lnTo>
                <a:pt x="505358" y="184785"/>
              </a:lnTo>
              <a:lnTo>
                <a:pt x="525780" y="137160"/>
              </a:lnTo>
              <a:cubicBezTo>
                <a:pt x="533400" y="117958"/>
                <a:pt x="545440" y="105537"/>
                <a:pt x="555574" y="105537"/>
              </a:cubicBezTo>
              <a:cubicBezTo>
                <a:pt x="558195" y="105565"/>
                <a:pt x="560784" y="106108"/>
                <a:pt x="563194" y="107137"/>
              </a:cubicBezTo>
              <a:cubicBezTo>
                <a:pt x="568763" y="109089"/>
                <a:pt x="572843" y="113898"/>
                <a:pt x="573862" y="119710"/>
              </a:cubicBezTo>
              <a:cubicBezTo>
                <a:pt x="575283" y="131780"/>
                <a:pt x="573109" y="144000"/>
                <a:pt x="567614" y="154838"/>
              </a:cubicBezTo>
              <a:close/>
            </a:path>
          </a:pathLst>
        </a:custGeom>
        <a:solidFill>
          <a:srgbClr val="000000"/>
        </a:solidFill>
        <a:ln w="7541" cap="flat">
          <a:noFill/>
          <a:prstDash val="solid"/>
          <a:miter/>
        </a:ln>
      </xdr:spPr>
      <xdr:txBody>
        <a:bodyPr rtlCol="0" anchor="ctr"/>
        <a:lstStyle/>
        <a:p>
          <a:pPr algn="ctr"/>
          <a:r>
            <a:rPr lang="fi-FI" sz="1600" b="1">
              <a:solidFill>
                <a:srgbClr val="00B0F0"/>
              </a:solidFill>
            </a:rPr>
            <a:t>Covariance matrix</a:t>
          </a:r>
        </a:p>
      </xdr:txBody>
    </xdr:sp>
    <xdr:clientData/>
  </xdr:twoCellAnchor>
  <xdr:twoCellAnchor>
    <xdr:from>
      <xdr:col>30</xdr:col>
      <xdr:colOff>439442</xdr:colOff>
      <xdr:row>4</xdr:row>
      <xdr:rowOff>110283</xdr:rowOff>
    </xdr:from>
    <xdr:to>
      <xdr:col>32</xdr:col>
      <xdr:colOff>620217</xdr:colOff>
      <xdr:row>9</xdr:row>
      <xdr:rowOff>10783</xdr:rowOff>
    </xdr:to>
    <xdr:grpSp>
      <xdr:nvGrpSpPr>
        <xdr:cNvPr id="5" name="Kuva 2" descr="Kilpikonna ääriviiva">
          <a:extLst>
            <a:ext uri="{FF2B5EF4-FFF2-40B4-BE49-F238E27FC236}">
              <a16:creationId xmlns:a16="http://schemas.microsoft.com/office/drawing/2014/main" id="{675EED2B-776F-4ED7-A2C9-15DC7E6B4A4C}"/>
            </a:ext>
          </a:extLst>
        </xdr:cNvPr>
        <xdr:cNvGrpSpPr/>
      </xdr:nvGrpSpPr>
      <xdr:grpSpPr>
        <a:xfrm>
          <a:off x="24213842" y="849423"/>
          <a:ext cx="1521895" cy="814900"/>
          <a:chOff x="24495782" y="1001823"/>
          <a:chExt cx="1521895" cy="814900"/>
        </a:xfrm>
        <a:solidFill>
          <a:srgbClr val="000000"/>
        </a:solidFill>
      </xdr:grpSpPr>
      <xdr:sp macro="[0]!Solve" textlink="">
        <xdr:nvSpPr>
          <xdr:cNvPr id="6" name="Vapaamuotoinen: Muoto 5">
            <a:extLst>
              <a:ext uri="{FF2B5EF4-FFF2-40B4-BE49-F238E27FC236}">
                <a16:creationId xmlns:a16="http://schemas.microsoft.com/office/drawing/2014/main" id="{3A2A79B1-D65A-440C-9CC6-917D35A2A46C}"/>
              </a:ext>
            </a:extLst>
          </xdr:cNvPr>
          <xdr:cNvSpPr/>
        </xdr:nvSpPr>
        <xdr:spPr>
          <a:xfrm>
            <a:off x="24495782" y="1001823"/>
            <a:ext cx="1521895" cy="814900"/>
          </a:xfrm>
          <a:custGeom>
            <a:avLst/>
            <a:gdLst>
              <a:gd name="connsiteX0" fmla="*/ 1378096 w 1521895"/>
              <a:gd name="connsiteY0" fmla="*/ 422641 h 814900"/>
              <a:gd name="connsiteX1" fmla="*/ 1273849 w 1521895"/>
              <a:gd name="connsiteY1" fmla="*/ 448255 h 814900"/>
              <a:gd name="connsiteX2" fmla="*/ 1171714 w 1521895"/>
              <a:gd name="connsiteY2" fmla="*/ 496760 h 814900"/>
              <a:gd name="connsiteX3" fmla="*/ 614563 w 1521895"/>
              <a:gd name="connsiteY3" fmla="*/ 907 h 814900"/>
              <a:gd name="connsiteX4" fmla="*/ 119008 w 1521895"/>
              <a:gd name="connsiteY4" fmla="*/ 492027 h 814900"/>
              <a:gd name="connsiteX5" fmla="*/ 0 w 1521895"/>
              <a:gd name="connsiteY5" fmla="*/ 441982 h 814900"/>
              <a:gd name="connsiteX6" fmla="*/ 0 w 1521895"/>
              <a:gd name="connsiteY6" fmla="*/ 468289 h 814900"/>
              <a:gd name="connsiteX7" fmla="*/ 108711 w 1521895"/>
              <a:gd name="connsiteY7" fmla="*/ 626013 h 814900"/>
              <a:gd name="connsiteX8" fmla="*/ 135864 w 1521895"/>
              <a:gd name="connsiteY8" fmla="*/ 635650 h 814900"/>
              <a:gd name="connsiteX9" fmla="*/ 148358 w 1521895"/>
              <a:gd name="connsiteY9" fmla="*/ 639877 h 814900"/>
              <a:gd name="connsiteX10" fmla="*/ 135542 w 1521895"/>
              <a:gd name="connsiteY10" fmla="*/ 713811 h 814900"/>
              <a:gd name="connsiteX11" fmla="*/ 149913 w 1521895"/>
              <a:gd name="connsiteY11" fmla="*/ 777076 h 814900"/>
              <a:gd name="connsiteX12" fmla="*/ 204962 w 1521895"/>
              <a:gd name="connsiteY12" fmla="*/ 811228 h 814900"/>
              <a:gd name="connsiteX13" fmla="*/ 208986 w 1521895"/>
              <a:gd name="connsiteY13" fmla="*/ 811820 h 814900"/>
              <a:gd name="connsiteX14" fmla="*/ 219823 w 1521895"/>
              <a:gd name="connsiteY14" fmla="*/ 813206 h 814900"/>
              <a:gd name="connsiteX15" fmla="*/ 302532 w 1521895"/>
              <a:gd name="connsiteY15" fmla="*/ 743178 h 814900"/>
              <a:gd name="connsiteX16" fmla="*/ 311526 w 1521895"/>
              <a:gd name="connsiteY16" fmla="*/ 686642 h 814900"/>
              <a:gd name="connsiteX17" fmla="*/ 716953 w 1521895"/>
              <a:gd name="connsiteY17" fmla="*/ 730346 h 814900"/>
              <a:gd name="connsiteX18" fmla="*/ 968865 w 1521895"/>
              <a:gd name="connsiteY18" fmla="*/ 714808 h 814900"/>
              <a:gd name="connsiteX19" fmla="*/ 975425 w 1521895"/>
              <a:gd name="connsiteY19" fmla="*/ 713777 h 814900"/>
              <a:gd name="connsiteX20" fmla="*/ 980954 w 1521895"/>
              <a:gd name="connsiteY20" fmla="*/ 744700 h 814900"/>
              <a:gd name="connsiteX21" fmla="*/ 1063578 w 1521895"/>
              <a:gd name="connsiteY21" fmla="*/ 814880 h 814900"/>
              <a:gd name="connsiteX22" fmla="*/ 1079572 w 1521895"/>
              <a:gd name="connsiteY22" fmla="*/ 812699 h 814900"/>
              <a:gd name="connsiteX23" fmla="*/ 1148014 w 1521895"/>
              <a:gd name="connsiteY23" fmla="*/ 716171 h 814900"/>
              <a:gd name="connsiteX24" fmla="*/ 1147875 w 1521895"/>
              <a:gd name="connsiteY24" fmla="*/ 715383 h 814900"/>
              <a:gd name="connsiteX25" fmla="*/ 1144663 w 1521895"/>
              <a:gd name="connsiteY25" fmla="*/ 698476 h 814900"/>
              <a:gd name="connsiteX26" fmla="*/ 1376406 w 1521895"/>
              <a:gd name="connsiteY26" fmla="*/ 693151 h 814900"/>
              <a:gd name="connsiteX27" fmla="*/ 1378096 w 1521895"/>
              <a:gd name="connsiteY27" fmla="*/ 693151 h 814900"/>
              <a:gd name="connsiteX28" fmla="*/ 1521637 w 1521895"/>
              <a:gd name="connsiteY28" fmla="*/ 566182 h 814900"/>
              <a:gd name="connsiteX29" fmla="*/ 1394670 w 1521895"/>
              <a:gd name="connsiteY29" fmla="*/ 422641 h 814900"/>
              <a:gd name="connsiteX30" fmla="*/ 1378096 w 1521895"/>
              <a:gd name="connsiteY30" fmla="*/ 422641 h 814900"/>
              <a:gd name="connsiteX31" fmla="*/ 1138340 w 1521895"/>
              <a:gd name="connsiteY31" fmla="*/ 509102 h 814900"/>
              <a:gd name="connsiteX32" fmla="*/ 938991 w 1521895"/>
              <a:gd name="connsiteY32" fmla="*/ 569528 h 814900"/>
              <a:gd name="connsiteX33" fmla="*/ 792831 w 1521895"/>
              <a:gd name="connsiteY33" fmla="*/ 337751 h 814900"/>
              <a:gd name="connsiteX34" fmla="*/ 927630 w 1521895"/>
              <a:gd name="connsiteY34" fmla="*/ 123389 h 814900"/>
              <a:gd name="connsiteX35" fmla="*/ 1138340 w 1521895"/>
              <a:gd name="connsiteY35" fmla="*/ 509102 h 814900"/>
              <a:gd name="connsiteX36" fmla="*/ 903334 w 1521895"/>
              <a:gd name="connsiteY36" fmla="*/ 576307 h 814900"/>
              <a:gd name="connsiteX37" fmla="*/ 765256 w 1521895"/>
              <a:gd name="connsiteY37" fmla="*/ 589478 h 814900"/>
              <a:gd name="connsiteX38" fmla="*/ 716091 w 1521895"/>
              <a:gd name="connsiteY38" fmla="*/ 589478 h 814900"/>
              <a:gd name="connsiteX39" fmla="*/ 393609 w 1521895"/>
              <a:gd name="connsiteY39" fmla="*/ 563931 h 814900"/>
              <a:gd name="connsiteX40" fmla="*/ 526818 w 1521895"/>
              <a:gd name="connsiteY40" fmla="*/ 354675 h 814900"/>
              <a:gd name="connsiteX41" fmla="*/ 763515 w 1521895"/>
              <a:gd name="connsiteY41" fmla="*/ 354675 h 814900"/>
              <a:gd name="connsiteX42" fmla="*/ 645217 w 1521895"/>
              <a:gd name="connsiteY42" fmla="*/ 33783 h 814900"/>
              <a:gd name="connsiteX43" fmla="*/ 899344 w 1521895"/>
              <a:gd name="connsiteY43" fmla="*/ 104791 h 814900"/>
              <a:gd name="connsiteX44" fmla="*/ 763531 w 1521895"/>
              <a:gd name="connsiteY44" fmla="*/ 320844 h 814900"/>
              <a:gd name="connsiteX45" fmla="*/ 526615 w 1521895"/>
              <a:gd name="connsiteY45" fmla="*/ 320388 h 814900"/>
              <a:gd name="connsiteX46" fmla="*/ 390684 w 1521895"/>
              <a:gd name="connsiteY46" fmla="*/ 104301 h 814900"/>
              <a:gd name="connsiteX47" fmla="*/ 645217 w 1521895"/>
              <a:gd name="connsiteY47" fmla="*/ 33783 h 814900"/>
              <a:gd name="connsiteX48" fmla="*/ 362314 w 1521895"/>
              <a:gd name="connsiteY48" fmla="*/ 122696 h 814900"/>
              <a:gd name="connsiteX49" fmla="*/ 497569 w 1521895"/>
              <a:gd name="connsiteY49" fmla="*/ 337684 h 814900"/>
              <a:gd name="connsiteX50" fmla="*/ 357699 w 1521895"/>
              <a:gd name="connsiteY50" fmla="*/ 557372 h 814900"/>
              <a:gd name="connsiteX51" fmla="*/ 152060 w 1521895"/>
              <a:gd name="connsiteY51" fmla="*/ 502847 h 814900"/>
              <a:gd name="connsiteX52" fmla="*/ 362314 w 1521895"/>
              <a:gd name="connsiteY52" fmla="*/ 122696 h 814900"/>
              <a:gd name="connsiteX53" fmla="*/ 269056 w 1521895"/>
              <a:gd name="connsiteY53" fmla="*/ 737886 h 814900"/>
              <a:gd name="connsiteX54" fmla="*/ 219823 w 1521895"/>
              <a:gd name="connsiteY54" fmla="*/ 779376 h 814900"/>
              <a:gd name="connsiteX55" fmla="*/ 216442 w 1521895"/>
              <a:gd name="connsiteY55" fmla="*/ 778801 h 814900"/>
              <a:gd name="connsiteX56" fmla="*/ 209967 w 1521895"/>
              <a:gd name="connsiteY56" fmla="*/ 777736 h 814900"/>
              <a:gd name="connsiteX57" fmla="*/ 177302 w 1521895"/>
              <a:gd name="connsiteY57" fmla="*/ 757177 h 814900"/>
              <a:gd name="connsiteX58" fmla="*/ 168849 w 1521895"/>
              <a:gd name="connsiteY58" fmla="*/ 719694 h 814900"/>
              <a:gd name="connsiteX59" fmla="*/ 180853 w 1521895"/>
              <a:gd name="connsiteY59" fmla="*/ 650376 h 814900"/>
              <a:gd name="connsiteX60" fmla="*/ 278541 w 1521895"/>
              <a:gd name="connsiteY60" fmla="*/ 678290 h 814900"/>
              <a:gd name="connsiteX61" fmla="*/ 1106132 w 1521895"/>
              <a:gd name="connsiteY61" fmla="*/ 758918 h 814900"/>
              <a:gd name="connsiteX62" fmla="*/ 1072403 w 1521895"/>
              <a:gd name="connsiteY62" fmla="*/ 779697 h 814900"/>
              <a:gd name="connsiteX63" fmla="*/ 1070070 w 1521895"/>
              <a:gd name="connsiteY63" fmla="*/ 780289 h 814900"/>
              <a:gd name="connsiteX64" fmla="*/ 1063578 w 1521895"/>
              <a:gd name="connsiteY64" fmla="*/ 781117 h 814900"/>
              <a:gd name="connsiteX65" fmla="*/ 1014311 w 1521895"/>
              <a:gd name="connsiteY65" fmla="*/ 739256 h 814900"/>
              <a:gd name="connsiteX66" fmla="*/ 1009087 w 1521895"/>
              <a:gd name="connsiteY66" fmla="*/ 710058 h 814900"/>
              <a:gd name="connsiteX67" fmla="*/ 1111661 w 1521895"/>
              <a:gd name="connsiteY67" fmla="*/ 701080 h 814900"/>
              <a:gd name="connsiteX68" fmla="*/ 1114586 w 1521895"/>
              <a:gd name="connsiteY68" fmla="*/ 721520 h 814900"/>
              <a:gd name="connsiteX69" fmla="*/ 1106132 w 1521895"/>
              <a:gd name="connsiteY69" fmla="*/ 758918 h 814900"/>
              <a:gd name="connsiteX70" fmla="*/ 1378096 w 1521895"/>
              <a:gd name="connsiteY70" fmla="*/ 659337 h 814900"/>
              <a:gd name="connsiteX71" fmla="*/ 1376406 w 1521895"/>
              <a:gd name="connsiteY71" fmla="*/ 659337 h 814900"/>
              <a:gd name="connsiteX72" fmla="*/ 1123107 w 1521895"/>
              <a:gd name="connsiteY72" fmla="*/ 666100 h 814900"/>
              <a:gd name="connsiteX73" fmla="*/ 1122989 w 1521895"/>
              <a:gd name="connsiteY73" fmla="*/ 666100 h 814900"/>
              <a:gd name="connsiteX74" fmla="*/ 1122989 w 1521895"/>
              <a:gd name="connsiteY74" fmla="*/ 666100 h 814900"/>
              <a:gd name="connsiteX75" fmla="*/ 985891 w 1521895"/>
              <a:gd name="connsiteY75" fmla="*/ 678205 h 814900"/>
              <a:gd name="connsiteX76" fmla="*/ 963371 w 1521895"/>
              <a:gd name="connsiteY76" fmla="*/ 681384 h 814900"/>
              <a:gd name="connsiteX77" fmla="*/ 716953 w 1521895"/>
              <a:gd name="connsiteY77" fmla="*/ 696464 h 814900"/>
              <a:gd name="connsiteX78" fmla="*/ 301771 w 1521895"/>
              <a:gd name="connsiteY78" fmla="*/ 649649 h 814900"/>
              <a:gd name="connsiteX79" fmla="*/ 172349 w 1521895"/>
              <a:gd name="connsiteY79" fmla="*/ 612792 h 814900"/>
              <a:gd name="connsiteX80" fmla="*/ 120817 w 1521895"/>
              <a:gd name="connsiteY80" fmla="*/ 594499 h 814900"/>
              <a:gd name="connsiteX81" fmla="*/ 36654 w 1521895"/>
              <a:gd name="connsiteY81" fmla="*/ 495915 h 814900"/>
              <a:gd name="connsiteX82" fmla="*/ 703343 w 1521895"/>
              <a:gd name="connsiteY82" fmla="*/ 623342 h 814900"/>
              <a:gd name="connsiteX83" fmla="*/ 716141 w 1521895"/>
              <a:gd name="connsiteY83" fmla="*/ 623342 h 814900"/>
              <a:gd name="connsiteX84" fmla="*/ 765510 w 1521895"/>
              <a:gd name="connsiteY84" fmla="*/ 623342 h 814900"/>
              <a:gd name="connsiteX85" fmla="*/ 1172898 w 1521895"/>
              <a:gd name="connsiteY85" fmla="*/ 533229 h 814900"/>
              <a:gd name="connsiteX86" fmla="*/ 1174470 w 1521895"/>
              <a:gd name="connsiteY86" fmla="*/ 532569 h 814900"/>
              <a:gd name="connsiteX87" fmla="*/ 1289285 w 1521895"/>
              <a:gd name="connsiteY87" fmla="*/ 478366 h 814900"/>
              <a:gd name="connsiteX88" fmla="*/ 1378096 w 1521895"/>
              <a:gd name="connsiteY88" fmla="*/ 456454 h 814900"/>
              <a:gd name="connsiteX89" fmla="*/ 1487617 w 1521895"/>
              <a:gd name="connsiteY89" fmla="*/ 549816 h 814900"/>
              <a:gd name="connsiteX90" fmla="*/ 1394254 w 1521895"/>
              <a:gd name="connsiteY90" fmla="*/ 659337 h 814900"/>
              <a:gd name="connsiteX91" fmla="*/ 1378096 w 1521895"/>
              <a:gd name="connsiteY91" fmla="*/ 659337 h 8149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Lst>
            <a:rect l="l" t="t" r="r" b="b"/>
            <a:pathLst>
              <a:path w="1521895" h="814900">
                <a:moveTo>
                  <a:pt x="1378096" y="422641"/>
                </a:moveTo>
                <a:cubicBezTo>
                  <a:pt x="1341819" y="422884"/>
                  <a:pt x="1306109" y="431659"/>
                  <a:pt x="1273849" y="448255"/>
                </a:cubicBezTo>
                <a:cubicBezTo>
                  <a:pt x="1240288" y="465905"/>
                  <a:pt x="1205984" y="482068"/>
                  <a:pt x="1171714" y="496760"/>
                </a:cubicBezTo>
                <a:cubicBezTo>
                  <a:pt x="1154787" y="205981"/>
                  <a:pt x="905343" y="-16020"/>
                  <a:pt x="614563" y="907"/>
                </a:cubicBezTo>
                <a:cubicBezTo>
                  <a:pt x="349223" y="16353"/>
                  <a:pt x="136839" y="226835"/>
                  <a:pt x="119008" y="492027"/>
                </a:cubicBezTo>
                <a:lnTo>
                  <a:pt x="0" y="441982"/>
                </a:lnTo>
                <a:lnTo>
                  <a:pt x="0" y="468289"/>
                </a:lnTo>
                <a:cubicBezTo>
                  <a:pt x="-36" y="538340"/>
                  <a:pt x="43234" y="601118"/>
                  <a:pt x="108711" y="626013"/>
                </a:cubicBezTo>
                <a:cubicBezTo>
                  <a:pt x="117469" y="629513"/>
                  <a:pt x="126666" y="632590"/>
                  <a:pt x="135864" y="635650"/>
                </a:cubicBezTo>
                <a:cubicBezTo>
                  <a:pt x="140040" y="637054"/>
                  <a:pt x="144216" y="638440"/>
                  <a:pt x="148358" y="639877"/>
                </a:cubicBezTo>
                <a:lnTo>
                  <a:pt x="135542" y="713811"/>
                </a:lnTo>
                <a:cubicBezTo>
                  <a:pt x="131407" y="735979"/>
                  <a:pt x="136608" y="758871"/>
                  <a:pt x="149913" y="777076"/>
                </a:cubicBezTo>
                <a:cubicBezTo>
                  <a:pt x="163168" y="795138"/>
                  <a:pt x="182894" y="807375"/>
                  <a:pt x="204962" y="811228"/>
                </a:cubicBezTo>
                <a:lnTo>
                  <a:pt x="208986" y="811820"/>
                </a:lnTo>
                <a:cubicBezTo>
                  <a:pt x="212533" y="812694"/>
                  <a:pt x="216170" y="813159"/>
                  <a:pt x="219823" y="813206"/>
                </a:cubicBezTo>
                <a:cubicBezTo>
                  <a:pt x="260773" y="813135"/>
                  <a:pt x="295710" y="783557"/>
                  <a:pt x="302532" y="743178"/>
                </a:cubicBezTo>
                <a:lnTo>
                  <a:pt x="311526" y="686642"/>
                </a:lnTo>
                <a:cubicBezTo>
                  <a:pt x="444668" y="715965"/>
                  <a:pt x="580621" y="730620"/>
                  <a:pt x="716953" y="730346"/>
                </a:cubicBezTo>
                <a:cubicBezTo>
                  <a:pt x="801168" y="730508"/>
                  <a:pt x="885308" y="725319"/>
                  <a:pt x="968865" y="714808"/>
                </a:cubicBezTo>
                <a:cubicBezTo>
                  <a:pt x="971165" y="714335"/>
                  <a:pt x="973329" y="714031"/>
                  <a:pt x="975425" y="713777"/>
                </a:cubicBezTo>
                <a:lnTo>
                  <a:pt x="980954" y="744700"/>
                </a:lnTo>
                <a:cubicBezTo>
                  <a:pt x="987140" y="785425"/>
                  <a:pt x="1022389" y="815364"/>
                  <a:pt x="1063578" y="814880"/>
                </a:cubicBezTo>
                <a:cubicBezTo>
                  <a:pt x="1068993" y="815034"/>
                  <a:pt x="1074397" y="814299"/>
                  <a:pt x="1079572" y="812699"/>
                </a:cubicBezTo>
                <a:cubicBezTo>
                  <a:pt x="1125127" y="804944"/>
                  <a:pt x="1155769" y="761727"/>
                  <a:pt x="1148014" y="716171"/>
                </a:cubicBezTo>
                <a:cubicBezTo>
                  <a:pt x="1147968" y="715907"/>
                  <a:pt x="1147923" y="715645"/>
                  <a:pt x="1147875" y="715383"/>
                </a:cubicBezTo>
                <a:lnTo>
                  <a:pt x="1144663" y="698476"/>
                </a:lnTo>
                <a:cubicBezTo>
                  <a:pt x="1222266" y="693151"/>
                  <a:pt x="1300561" y="693151"/>
                  <a:pt x="1376406" y="693151"/>
                </a:cubicBezTo>
                <a:lnTo>
                  <a:pt x="1378096" y="693151"/>
                </a:lnTo>
                <a:cubicBezTo>
                  <a:pt x="1452796" y="697727"/>
                  <a:pt x="1517061" y="640881"/>
                  <a:pt x="1521637" y="566182"/>
                </a:cubicBezTo>
                <a:cubicBezTo>
                  <a:pt x="1526214" y="491482"/>
                  <a:pt x="1469368" y="427217"/>
                  <a:pt x="1394670" y="422641"/>
                </a:cubicBezTo>
                <a:cubicBezTo>
                  <a:pt x="1389150" y="422303"/>
                  <a:pt x="1383615" y="422303"/>
                  <a:pt x="1378096" y="422641"/>
                </a:cubicBezTo>
                <a:close/>
                <a:moveTo>
                  <a:pt x="1138340" y="509102"/>
                </a:moveTo>
                <a:cubicBezTo>
                  <a:pt x="1073832" y="535168"/>
                  <a:pt x="1007116" y="555392"/>
                  <a:pt x="938991" y="569528"/>
                </a:cubicBezTo>
                <a:lnTo>
                  <a:pt x="792831" y="337751"/>
                </a:lnTo>
                <a:lnTo>
                  <a:pt x="927630" y="123389"/>
                </a:lnTo>
                <a:cubicBezTo>
                  <a:pt x="1054313" y="211940"/>
                  <a:pt x="1132277" y="354656"/>
                  <a:pt x="1138340" y="509102"/>
                </a:cubicBezTo>
                <a:close/>
                <a:moveTo>
                  <a:pt x="903334" y="576307"/>
                </a:moveTo>
                <a:cubicBezTo>
                  <a:pt x="857694" y="584078"/>
                  <a:pt x="811544" y="588480"/>
                  <a:pt x="765256" y="589478"/>
                </a:cubicBezTo>
                <a:lnTo>
                  <a:pt x="716091" y="589478"/>
                </a:lnTo>
                <a:cubicBezTo>
                  <a:pt x="608061" y="590271"/>
                  <a:pt x="500166" y="581724"/>
                  <a:pt x="393609" y="563931"/>
                </a:cubicBezTo>
                <a:lnTo>
                  <a:pt x="526818" y="354675"/>
                </a:lnTo>
                <a:lnTo>
                  <a:pt x="763515" y="354675"/>
                </a:lnTo>
                <a:close/>
                <a:moveTo>
                  <a:pt x="645217" y="33783"/>
                </a:moveTo>
                <a:cubicBezTo>
                  <a:pt x="734830" y="33735"/>
                  <a:pt x="822736" y="58298"/>
                  <a:pt x="899344" y="104791"/>
                </a:cubicBezTo>
                <a:lnTo>
                  <a:pt x="763531" y="320844"/>
                </a:lnTo>
                <a:lnTo>
                  <a:pt x="526615" y="320388"/>
                </a:lnTo>
                <a:lnTo>
                  <a:pt x="390684" y="104301"/>
                </a:lnTo>
                <a:cubicBezTo>
                  <a:pt x="467521" y="58047"/>
                  <a:pt x="555533" y="33664"/>
                  <a:pt x="645217" y="33783"/>
                </a:cubicBezTo>
                <a:close/>
                <a:moveTo>
                  <a:pt x="362314" y="122696"/>
                </a:moveTo>
                <a:lnTo>
                  <a:pt x="497569" y="337684"/>
                </a:lnTo>
                <a:lnTo>
                  <a:pt x="357699" y="557372"/>
                </a:lnTo>
                <a:cubicBezTo>
                  <a:pt x="287965" y="544017"/>
                  <a:pt x="219250" y="525796"/>
                  <a:pt x="152060" y="502847"/>
                </a:cubicBezTo>
                <a:cubicBezTo>
                  <a:pt x="159410" y="350384"/>
                  <a:pt x="237077" y="209957"/>
                  <a:pt x="362314" y="122696"/>
                </a:cubicBezTo>
                <a:close/>
                <a:moveTo>
                  <a:pt x="269056" y="737886"/>
                </a:moveTo>
                <a:cubicBezTo>
                  <a:pt x="264939" y="761860"/>
                  <a:pt x="244149" y="779381"/>
                  <a:pt x="219823" y="779376"/>
                </a:cubicBezTo>
                <a:cubicBezTo>
                  <a:pt x="218679" y="779300"/>
                  <a:pt x="217546" y="779107"/>
                  <a:pt x="216442" y="778801"/>
                </a:cubicBezTo>
                <a:cubicBezTo>
                  <a:pt x="214315" y="778279"/>
                  <a:pt x="212149" y="777923"/>
                  <a:pt x="209967" y="777736"/>
                </a:cubicBezTo>
                <a:cubicBezTo>
                  <a:pt x="196879" y="775239"/>
                  <a:pt x="185215" y="767896"/>
                  <a:pt x="177302" y="757177"/>
                </a:cubicBezTo>
                <a:cubicBezTo>
                  <a:pt x="169427" y="746387"/>
                  <a:pt x="166367" y="732819"/>
                  <a:pt x="168849" y="719694"/>
                </a:cubicBezTo>
                <a:lnTo>
                  <a:pt x="180853" y="650376"/>
                </a:lnTo>
                <a:lnTo>
                  <a:pt x="278541" y="678290"/>
                </a:lnTo>
                <a:close/>
                <a:moveTo>
                  <a:pt x="1106132" y="758918"/>
                </a:moveTo>
                <a:cubicBezTo>
                  <a:pt x="1097988" y="769935"/>
                  <a:pt x="1085905" y="777379"/>
                  <a:pt x="1072403" y="779697"/>
                </a:cubicBezTo>
                <a:lnTo>
                  <a:pt x="1070070" y="780289"/>
                </a:lnTo>
                <a:cubicBezTo>
                  <a:pt x="1067982" y="780994"/>
                  <a:pt x="1065776" y="781274"/>
                  <a:pt x="1063578" y="781117"/>
                </a:cubicBezTo>
                <a:cubicBezTo>
                  <a:pt x="1038900" y="781721"/>
                  <a:pt x="1017699" y="763707"/>
                  <a:pt x="1014311" y="739256"/>
                </a:cubicBezTo>
                <a:lnTo>
                  <a:pt x="1009087" y="710058"/>
                </a:lnTo>
                <a:lnTo>
                  <a:pt x="1111661" y="701080"/>
                </a:lnTo>
                <a:lnTo>
                  <a:pt x="1114586" y="721520"/>
                </a:lnTo>
                <a:cubicBezTo>
                  <a:pt x="1117056" y="734620"/>
                  <a:pt x="1113996" y="748156"/>
                  <a:pt x="1106132" y="758918"/>
                </a:cubicBezTo>
                <a:close/>
                <a:moveTo>
                  <a:pt x="1378096" y="659337"/>
                </a:moveTo>
                <a:lnTo>
                  <a:pt x="1376406" y="659337"/>
                </a:lnTo>
                <a:cubicBezTo>
                  <a:pt x="1293765" y="659337"/>
                  <a:pt x="1208334" y="659337"/>
                  <a:pt x="1123107" y="666100"/>
                </a:cubicBezTo>
                <a:lnTo>
                  <a:pt x="1122989" y="666100"/>
                </a:lnTo>
                <a:lnTo>
                  <a:pt x="1122989" y="666100"/>
                </a:lnTo>
                <a:lnTo>
                  <a:pt x="985891" y="678205"/>
                </a:lnTo>
                <a:lnTo>
                  <a:pt x="963371" y="681384"/>
                </a:lnTo>
                <a:cubicBezTo>
                  <a:pt x="881631" y="691599"/>
                  <a:pt x="799328" y="696637"/>
                  <a:pt x="716953" y="696464"/>
                </a:cubicBezTo>
                <a:cubicBezTo>
                  <a:pt x="577224" y="696771"/>
                  <a:pt x="437922" y="681062"/>
                  <a:pt x="301771" y="649649"/>
                </a:cubicBezTo>
                <a:lnTo>
                  <a:pt x="172349" y="612792"/>
                </a:lnTo>
                <a:lnTo>
                  <a:pt x="120817" y="594499"/>
                </a:lnTo>
                <a:cubicBezTo>
                  <a:pt x="77729" y="578221"/>
                  <a:pt x="45972" y="541023"/>
                  <a:pt x="36654" y="495915"/>
                </a:cubicBezTo>
                <a:cubicBezTo>
                  <a:pt x="231827" y="579367"/>
                  <a:pt x="461287" y="623342"/>
                  <a:pt x="703343" y="623342"/>
                </a:cubicBezTo>
                <a:cubicBezTo>
                  <a:pt x="707604" y="623342"/>
                  <a:pt x="711881" y="623342"/>
                  <a:pt x="716141" y="623342"/>
                </a:cubicBezTo>
                <a:lnTo>
                  <a:pt x="765510" y="623342"/>
                </a:lnTo>
                <a:cubicBezTo>
                  <a:pt x="905769" y="619236"/>
                  <a:pt x="1043991" y="588661"/>
                  <a:pt x="1172898" y="533229"/>
                </a:cubicBezTo>
                <a:lnTo>
                  <a:pt x="1174470" y="532569"/>
                </a:lnTo>
                <a:cubicBezTo>
                  <a:pt x="1213068" y="516355"/>
                  <a:pt x="1251802" y="498096"/>
                  <a:pt x="1289285" y="478366"/>
                </a:cubicBezTo>
                <a:cubicBezTo>
                  <a:pt x="1316729" y="464118"/>
                  <a:pt x="1347174" y="456607"/>
                  <a:pt x="1378096" y="456454"/>
                </a:cubicBezTo>
                <a:cubicBezTo>
                  <a:pt x="1434121" y="451993"/>
                  <a:pt x="1483154" y="493792"/>
                  <a:pt x="1487617" y="549816"/>
                </a:cubicBezTo>
                <a:cubicBezTo>
                  <a:pt x="1492079" y="605840"/>
                  <a:pt x="1450280" y="654875"/>
                  <a:pt x="1394254" y="659337"/>
                </a:cubicBezTo>
                <a:cubicBezTo>
                  <a:pt x="1388878" y="659765"/>
                  <a:pt x="1383474" y="659765"/>
                  <a:pt x="1378096" y="659337"/>
                </a:cubicBezTo>
                <a:close/>
              </a:path>
            </a:pathLst>
          </a:custGeom>
          <a:solidFill>
            <a:srgbClr val="000000"/>
          </a:solidFill>
          <a:ln w="16867" cap="flat">
            <a:noFill/>
            <a:prstDash val="solid"/>
            <a:miter/>
          </a:ln>
        </xdr:spPr>
        <xdr:txBody>
          <a:bodyPr rtlCol="0" anchor="ctr"/>
          <a:lstStyle/>
          <a:p>
            <a:r>
              <a:rPr lang="fi-FI" sz="1800" b="1">
                <a:solidFill>
                  <a:srgbClr val="00B0F0"/>
                </a:solidFill>
              </a:rPr>
              <a:t>Optimization</a:t>
            </a:r>
            <a:endParaRPr lang="fi-FI" b="1">
              <a:solidFill>
                <a:srgbClr val="00B0F0"/>
              </a:solidFill>
            </a:endParaRPr>
          </a:p>
        </xdr:txBody>
      </xdr:sp>
      <xdr:sp macro="[0]!Solve" textlink="">
        <xdr:nvSpPr>
          <xdr:cNvPr id="10" name="Vapaamuotoinen: Muoto 9">
            <a:extLst>
              <a:ext uri="{FF2B5EF4-FFF2-40B4-BE49-F238E27FC236}">
                <a16:creationId xmlns:a16="http://schemas.microsoft.com/office/drawing/2014/main" id="{1FD4392E-2409-49C3-BB4A-48EC1E5CC5FA}"/>
              </a:ext>
            </a:extLst>
          </xdr:cNvPr>
          <xdr:cNvSpPr/>
        </xdr:nvSpPr>
        <xdr:spPr>
          <a:xfrm>
            <a:off x="25831391" y="1492091"/>
            <a:ext cx="67627" cy="67627"/>
          </a:xfrm>
          <a:custGeom>
            <a:avLst/>
            <a:gdLst>
              <a:gd name="connsiteX0" fmla="*/ 67627 w 67627"/>
              <a:gd name="connsiteY0" fmla="*/ 33814 h 67627"/>
              <a:gd name="connsiteX1" fmla="*/ 33814 w 67627"/>
              <a:gd name="connsiteY1" fmla="*/ 67628 h 67627"/>
              <a:gd name="connsiteX2" fmla="*/ 0 w 67627"/>
              <a:gd name="connsiteY2" fmla="*/ 33814 h 67627"/>
              <a:gd name="connsiteX3" fmla="*/ 33814 w 67627"/>
              <a:gd name="connsiteY3" fmla="*/ 0 h 67627"/>
              <a:gd name="connsiteX4" fmla="*/ 67627 w 67627"/>
              <a:gd name="connsiteY4" fmla="*/ 33814 h 6762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7627" h="67627">
                <a:moveTo>
                  <a:pt x="67627" y="33814"/>
                </a:moveTo>
                <a:cubicBezTo>
                  <a:pt x="67627" y="52489"/>
                  <a:pt x="52489" y="67628"/>
                  <a:pt x="33814" y="67628"/>
                </a:cubicBezTo>
                <a:cubicBezTo>
                  <a:pt x="15139" y="67628"/>
                  <a:pt x="0" y="52489"/>
                  <a:pt x="0" y="33814"/>
                </a:cubicBezTo>
                <a:cubicBezTo>
                  <a:pt x="0" y="15139"/>
                  <a:pt x="15139" y="0"/>
                  <a:pt x="33814" y="0"/>
                </a:cubicBezTo>
                <a:cubicBezTo>
                  <a:pt x="52489" y="0"/>
                  <a:pt x="67627" y="15139"/>
                  <a:pt x="67627" y="33814"/>
                </a:cubicBezTo>
                <a:close/>
              </a:path>
            </a:pathLst>
          </a:custGeom>
          <a:solidFill>
            <a:srgbClr val="000000"/>
          </a:solidFill>
          <a:ln w="16867" cap="flat">
            <a:noFill/>
            <a:prstDash val="solid"/>
            <a:miter/>
          </a:ln>
        </xdr:spPr>
        <xdr:txBody>
          <a:bodyPr rtlCol="0" anchor="ctr"/>
          <a:lstStyle/>
          <a:p>
            <a:endParaRPr lang="fi-FI"/>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ve" refreshedDate="44409.443123495374" createdVersion="7" refreshedVersion="7" minRefreshableVersion="3" recordCount="5511" xr:uid="{CDC311D3-7CF3-4C96-BB58-F83E45C285AD}">
  <cacheSource type="worksheet">
    <worksheetSource name="_2_Portfolio_optimization"/>
  </cacheSource>
  <cacheFields count="3">
    <cacheField name="Name" numFmtId="0">
      <sharedItems count="11">
        <s v="Fortum.csv"/>
        <s v="Kemira.csv"/>
        <s v="Kojamo.csv"/>
        <s v="Konecranes.csv"/>
        <s v="Neles.csv"/>
        <s v="Nordea.csv"/>
        <s v="OMXH25.csv"/>
        <s v="Orion.csv"/>
        <s v="StoraEnso.csv"/>
        <s v="Telia.csv"/>
        <s v="Valmet.csv"/>
      </sharedItems>
    </cacheField>
    <cacheField name="Date" numFmtId="0">
      <sharedItems count="502">
        <s v="2019-08-01"/>
        <s v="2019-08-02"/>
        <s v="2019-08-05"/>
        <s v="2019-08-06"/>
        <s v="2019-08-07"/>
        <s v="2019-08-08"/>
        <s v="2019-08-09"/>
        <s v="2019-08-12"/>
        <s v="2019-08-13"/>
        <s v="2019-08-14"/>
        <s v="2019-08-15"/>
        <s v="2019-08-16"/>
        <s v="2019-08-19"/>
        <s v="2019-08-20"/>
        <s v="2019-08-21"/>
        <s v="2019-08-22"/>
        <s v="2019-08-23"/>
        <s v="2019-08-26"/>
        <s v="2019-08-27"/>
        <s v="2019-08-28"/>
        <s v="2019-08-29"/>
        <s v="2019-08-30"/>
        <s v="2019-09-02"/>
        <s v="2019-09-03"/>
        <s v="2019-09-04"/>
        <s v="2019-09-05"/>
        <s v="2019-09-06"/>
        <s v="2019-09-09"/>
        <s v="2019-09-10"/>
        <s v="2019-09-11"/>
        <s v="2019-09-12"/>
        <s v="2019-09-13"/>
        <s v="2019-09-16"/>
        <s v="2019-09-17"/>
        <s v="2019-09-18"/>
        <s v="2019-09-19"/>
        <s v="2019-09-20"/>
        <s v="2019-09-23"/>
        <s v="2019-09-24"/>
        <s v="2019-09-25"/>
        <s v="2019-09-26"/>
        <s v="2019-09-27"/>
        <s v="2019-09-30"/>
        <s v="2019-10-01"/>
        <s v="2019-10-02"/>
        <s v="2019-10-03"/>
        <s v="2019-10-04"/>
        <s v="2019-10-07"/>
        <s v="2019-10-08"/>
        <s v="2019-10-09"/>
        <s v="2019-10-10"/>
        <s v="2019-10-11"/>
        <s v="2019-10-14"/>
        <s v="2019-10-15"/>
        <s v="2019-10-16"/>
        <s v="2019-10-17"/>
        <s v="2019-10-18"/>
        <s v="2019-10-21"/>
        <s v="2019-10-22"/>
        <s v="2019-10-23"/>
        <s v="2019-10-24"/>
        <s v="2019-10-25"/>
        <s v="2019-10-28"/>
        <s v="2019-10-29"/>
        <s v="2019-10-30"/>
        <s v="2019-10-31"/>
        <s v="2019-11-01"/>
        <s v="2019-11-04"/>
        <s v="2019-11-05"/>
        <s v="2019-11-06"/>
        <s v="2019-11-07"/>
        <s v="2019-11-08"/>
        <s v="2019-11-11"/>
        <s v="2019-11-12"/>
        <s v="2019-11-13"/>
        <s v="2019-11-14"/>
        <s v="2019-11-15"/>
        <s v="2019-11-18"/>
        <s v="2019-11-19"/>
        <s v="2019-11-20"/>
        <s v="2019-11-21"/>
        <s v="2019-11-22"/>
        <s v="2019-11-25"/>
        <s v="2019-11-26"/>
        <s v="2019-11-27"/>
        <s v="2019-11-28"/>
        <s v="2019-11-29"/>
        <s v="2019-12-02"/>
        <s v="2019-12-03"/>
        <s v="2019-12-04"/>
        <s v="2019-12-05"/>
        <s v="2019-12-09"/>
        <s v="2019-12-10"/>
        <s v="2019-12-11"/>
        <s v="2019-12-12"/>
        <s v="2019-12-13"/>
        <s v="2019-12-16"/>
        <s v="2019-12-17"/>
        <s v="2019-12-18"/>
        <s v="2019-12-19"/>
        <s v="2019-12-20"/>
        <s v="2019-12-23"/>
        <s v="2019-12-27"/>
        <s v="2019-12-30"/>
        <s v="2020-01-02"/>
        <s v="2020-01-03"/>
        <s v="2020-01-07"/>
        <s v="2020-01-08"/>
        <s v="2020-01-09"/>
        <s v="2020-01-10"/>
        <s v="2020-01-13"/>
        <s v="2020-01-14"/>
        <s v="2020-01-15"/>
        <s v="2020-01-16"/>
        <s v="2020-01-17"/>
        <s v="2020-01-20"/>
        <s v="2020-01-21"/>
        <s v="2020-01-22"/>
        <s v="2020-01-23"/>
        <s v="2020-01-24"/>
        <s v="2020-01-27"/>
        <s v="2020-01-28"/>
        <s v="2020-01-29"/>
        <s v="2020-01-30"/>
        <s v="2020-01-31"/>
        <s v="2020-02-03"/>
        <s v="2020-02-04"/>
        <s v="2020-02-05"/>
        <s v="2020-02-06"/>
        <s v="2020-02-07"/>
        <s v="2020-02-10"/>
        <s v="2020-02-11"/>
        <s v="2020-02-12"/>
        <s v="2020-02-13"/>
        <s v="2020-02-14"/>
        <s v="2020-02-17"/>
        <s v="2020-02-18"/>
        <s v="2020-02-19"/>
        <s v="2020-02-20"/>
        <s v="2020-02-21"/>
        <s v="2020-02-24"/>
        <s v="2020-02-25"/>
        <s v="2020-02-26"/>
        <s v="2020-02-27"/>
        <s v="2020-02-28"/>
        <s v="2020-03-02"/>
        <s v="2020-03-03"/>
        <s v="2020-03-04"/>
        <s v="2020-03-05"/>
        <s v="2020-03-06"/>
        <s v="2020-03-09"/>
        <s v="2020-03-10"/>
        <s v="2020-03-11"/>
        <s v="2020-03-12"/>
        <s v="2020-03-13"/>
        <s v="2020-03-16"/>
        <s v="2020-03-17"/>
        <s v="2020-03-18"/>
        <s v="2020-03-19"/>
        <s v="2020-03-20"/>
        <s v="2020-03-23"/>
        <s v="2020-03-24"/>
        <s v="2020-03-25"/>
        <s v="2020-03-26"/>
        <s v="2020-03-27"/>
        <s v="2020-03-30"/>
        <s v="2020-03-31"/>
        <s v="2020-04-01"/>
        <s v="2020-04-02"/>
        <s v="2020-04-03"/>
        <s v="2020-04-06"/>
        <s v="2020-04-07"/>
        <s v="2020-04-08"/>
        <s v="2020-04-09"/>
        <s v="2020-04-14"/>
        <s v="2020-04-15"/>
        <s v="2020-04-16"/>
        <s v="2020-04-17"/>
        <s v="2020-04-20"/>
        <s v="2020-04-21"/>
        <s v="2020-04-22"/>
        <s v="2020-04-23"/>
        <s v="2020-04-24"/>
        <s v="2020-04-27"/>
        <s v="2020-04-28"/>
        <s v="2020-04-29"/>
        <s v="2020-04-30"/>
        <s v="2020-05-04"/>
        <s v="2020-05-05"/>
        <s v="2020-05-06"/>
        <s v="2020-05-07"/>
        <s v="2020-05-08"/>
        <s v="2020-05-11"/>
        <s v="2020-05-12"/>
        <s v="2020-05-13"/>
        <s v="2020-05-14"/>
        <s v="2020-05-15"/>
        <s v="2020-05-18"/>
        <s v="2020-05-19"/>
        <s v="2020-05-20"/>
        <s v="2020-05-22"/>
        <s v="2020-05-25"/>
        <s v="2020-05-26"/>
        <s v="2020-05-27"/>
        <s v="2020-05-28"/>
        <s v="2020-05-29"/>
        <s v="2020-06-01"/>
        <s v="2020-06-02"/>
        <s v="2020-06-03"/>
        <s v="2020-06-04"/>
        <s v="2020-06-05"/>
        <s v="2020-06-08"/>
        <s v="2020-06-09"/>
        <s v="2020-06-10"/>
        <s v="2020-06-11"/>
        <s v="2020-06-12"/>
        <s v="2020-06-15"/>
        <s v="2020-06-16"/>
        <s v="2020-06-17"/>
        <s v="2020-06-18"/>
        <s v="2020-06-22"/>
        <s v="2020-06-23"/>
        <s v="2020-06-24"/>
        <s v="2020-06-25"/>
        <s v="2020-06-26"/>
        <s v="2020-06-29"/>
        <s v="2020-06-30"/>
        <s v="2020-07-01"/>
        <s v="2020-07-02"/>
        <s v="2020-07-03"/>
        <s v="2020-07-06"/>
        <s v="2020-07-07"/>
        <s v="2020-07-08"/>
        <s v="2020-07-09"/>
        <s v="2020-07-10"/>
        <s v="2020-07-13"/>
        <s v="2020-07-14"/>
        <s v="2020-07-15"/>
        <s v="2020-07-16"/>
        <s v="2020-07-17"/>
        <s v="2020-07-20"/>
        <s v="2020-07-21"/>
        <s v="2020-07-22"/>
        <s v="2020-07-23"/>
        <s v="2020-07-24"/>
        <s v="2020-07-27"/>
        <s v="2020-07-28"/>
        <s v="2020-07-29"/>
        <s v="2020-07-30"/>
        <s v="2020-07-31"/>
        <s v="2020-08-03"/>
        <s v="2020-08-04"/>
        <s v="2020-08-05"/>
        <s v="2020-08-06"/>
        <s v="2020-08-07"/>
        <s v="2020-08-10"/>
        <s v="2020-08-11"/>
        <s v="2020-08-12"/>
        <s v="2020-08-13"/>
        <s v="2020-08-14"/>
        <s v="2020-08-17"/>
        <s v="2020-08-18"/>
        <s v="2020-08-19"/>
        <s v="2020-08-20"/>
        <s v="2020-08-21"/>
        <s v="2020-08-24"/>
        <s v="2020-08-25"/>
        <s v="2020-08-26"/>
        <s v="2020-08-27"/>
        <s v="2020-08-28"/>
        <s v="2020-08-31"/>
        <s v="2020-09-01"/>
        <s v="2020-09-02"/>
        <s v="2020-09-03"/>
        <s v="2020-09-04"/>
        <s v="2020-09-07"/>
        <s v="2020-09-08"/>
        <s v="2020-09-09"/>
        <s v="2020-09-10"/>
        <s v="2020-09-11"/>
        <s v="2020-09-14"/>
        <s v="2020-09-15"/>
        <s v="2020-09-16"/>
        <s v="2020-09-17"/>
        <s v="2020-09-18"/>
        <s v="2020-09-21"/>
        <s v="2020-09-22"/>
        <s v="2020-09-23"/>
        <s v="2020-09-24"/>
        <s v="2020-09-25"/>
        <s v="2020-09-28"/>
        <s v="2020-09-29"/>
        <s v="2020-09-30"/>
        <s v="2020-10-01"/>
        <s v="2020-10-02"/>
        <s v="2020-10-05"/>
        <s v="2020-10-06"/>
        <s v="2020-10-07"/>
        <s v="2020-10-08"/>
        <s v="2020-10-09"/>
        <s v="2020-10-12"/>
        <s v="2020-10-13"/>
        <s v="2020-10-14"/>
        <s v="2020-10-15"/>
        <s v="2020-10-16"/>
        <s v="2020-10-19"/>
        <s v="2020-10-20"/>
        <s v="2020-10-21"/>
        <s v="2020-10-22"/>
        <s v="2020-10-23"/>
        <s v="2020-10-26"/>
        <s v="2020-10-27"/>
        <s v="2020-10-28"/>
        <s v="2020-10-29"/>
        <s v="2020-10-30"/>
        <s v="2020-11-02"/>
        <s v="2020-11-03"/>
        <s v="2020-11-04"/>
        <s v="2020-11-05"/>
        <s v="2020-11-06"/>
        <s v="2020-11-09"/>
        <s v="2020-11-10"/>
        <s v="2020-11-11"/>
        <s v="2020-11-12"/>
        <s v="2020-11-13"/>
        <s v="2020-11-16"/>
        <s v="2020-11-17"/>
        <s v="2020-11-18"/>
        <s v="2020-11-19"/>
        <s v="2020-11-20"/>
        <s v="2020-11-23"/>
        <s v="2020-11-24"/>
        <s v="2020-11-25"/>
        <s v="2020-11-26"/>
        <s v="2020-11-27"/>
        <s v="2020-11-30"/>
        <s v="2020-12-01"/>
        <s v="2020-12-02"/>
        <s v="2020-12-03"/>
        <s v="2020-12-04"/>
        <s v="2020-12-07"/>
        <s v="2020-12-08"/>
        <s v="2020-12-09"/>
        <s v="2020-12-10"/>
        <s v="2020-12-11"/>
        <s v="2020-12-14"/>
        <s v="2020-12-15"/>
        <s v="2020-12-16"/>
        <s v="2020-12-17"/>
        <s v="2020-12-18"/>
        <s v="2020-12-21"/>
        <s v="2020-12-22"/>
        <s v="2020-12-23"/>
        <s v="2020-12-28"/>
        <s v="2020-12-29"/>
        <s v="2020-12-30"/>
        <s v="2021-01-04"/>
        <s v="2021-01-05"/>
        <s v="2021-01-07"/>
        <s v="2021-01-08"/>
        <s v="2021-01-11"/>
        <s v="2021-01-12"/>
        <s v="2021-01-13"/>
        <s v="2021-01-14"/>
        <s v="2021-01-15"/>
        <s v="2021-01-18"/>
        <s v="2021-01-19"/>
        <s v="2021-01-20"/>
        <s v="2021-01-21"/>
        <s v="2021-01-22"/>
        <s v="2021-01-25"/>
        <s v="2021-01-26"/>
        <s v="2021-01-27"/>
        <s v="2021-01-28"/>
        <s v="2021-01-29"/>
        <s v="2021-02-01"/>
        <s v="2021-02-02"/>
        <s v="2021-02-03"/>
        <s v="2021-02-04"/>
        <s v="2021-02-05"/>
        <s v="2021-02-08"/>
        <s v="2021-02-09"/>
        <s v="2021-02-10"/>
        <s v="2021-02-11"/>
        <s v="2021-02-12"/>
        <s v="2021-02-15"/>
        <s v="2021-02-16"/>
        <s v="2021-02-17"/>
        <s v="2021-02-18"/>
        <s v="2021-02-19"/>
        <s v="2021-02-22"/>
        <s v="2021-02-23"/>
        <s v="2021-02-24"/>
        <s v="2021-02-25"/>
        <s v="2021-02-26"/>
        <s v="2021-03-01"/>
        <s v="2021-03-02"/>
        <s v="2021-03-03"/>
        <s v="2021-03-04"/>
        <s v="2021-03-05"/>
        <s v="2021-03-08"/>
        <s v="2021-03-09"/>
        <s v="2021-03-10"/>
        <s v="2021-03-11"/>
        <s v="2021-03-12"/>
        <s v="2021-03-15"/>
        <s v="2021-03-16"/>
        <s v="2021-03-17"/>
        <s v="2021-03-18"/>
        <s v="2021-03-19"/>
        <s v="2021-03-22"/>
        <s v="2021-03-23"/>
        <s v="2021-03-24"/>
        <s v="2021-03-25"/>
        <s v="2021-03-26"/>
        <s v="2021-03-29"/>
        <s v="2021-03-30"/>
        <s v="2021-03-31"/>
        <s v="2021-04-01"/>
        <s v="2021-04-06"/>
        <s v="2021-04-07"/>
        <s v="2021-04-08"/>
        <s v="2021-04-09"/>
        <s v="2021-04-12"/>
        <s v="2021-04-13"/>
        <s v="2021-04-14"/>
        <s v="2021-04-15"/>
        <s v="2021-04-16"/>
        <s v="2021-04-19"/>
        <s v="2021-04-20"/>
        <s v="2021-04-21"/>
        <s v="2021-04-22"/>
        <s v="2021-04-23"/>
        <s v="2021-04-26"/>
        <s v="2021-04-27"/>
        <s v="2021-04-28"/>
        <s v="2021-04-29"/>
        <s v="2021-04-30"/>
        <s v="2021-05-03"/>
        <s v="2021-05-04"/>
        <s v="2021-05-05"/>
        <s v="2021-05-06"/>
        <s v="2021-05-07"/>
        <s v="2021-05-10"/>
        <s v="2021-05-11"/>
        <s v="2021-05-12"/>
        <s v="2021-05-14"/>
        <s v="2021-05-17"/>
        <s v="2021-05-18"/>
        <s v="2021-05-19"/>
        <s v="2021-05-20"/>
        <s v="2021-05-21"/>
        <s v="2021-05-24"/>
        <s v="2021-05-25"/>
        <s v="2021-05-26"/>
        <s v="2021-05-27"/>
        <s v="2021-05-28"/>
        <s v="2021-05-31"/>
        <s v="2021-06-01"/>
        <s v="2021-06-02"/>
        <s v="2021-06-03"/>
        <s v="2021-06-04"/>
        <s v="2021-06-07"/>
        <s v="2021-06-08"/>
        <s v="2021-06-09"/>
        <s v="2021-06-10"/>
        <s v="2021-06-11"/>
        <s v="2021-06-14"/>
        <s v="2021-06-15"/>
        <s v="2021-06-16"/>
        <s v="2021-06-17"/>
        <s v="2021-06-18"/>
        <s v="2021-06-21"/>
        <s v="2021-06-22"/>
        <s v="2021-06-23"/>
        <s v="2021-06-24"/>
        <s v="2021-06-28"/>
        <s v="2021-06-29"/>
        <s v="2021-06-30"/>
        <s v="2021-07-01"/>
        <s v="2021-07-02"/>
        <s v="2021-07-05"/>
        <s v="2021-07-06"/>
        <s v="2021-07-07"/>
        <s v="2021-07-08"/>
        <s v="2021-07-09"/>
        <s v="2021-07-12"/>
        <s v="2021-07-13"/>
        <s v="2021-07-14"/>
        <s v="2021-07-15"/>
        <s v="2021-07-16"/>
        <s v="2021-07-19"/>
        <s v="2021-07-20"/>
        <s v="2021-07-21"/>
        <s v="2021-07-22"/>
        <s v="2021-07-23"/>
        <s v="2021-07-26"/>
        <s v="2021-07-27"/>
        <s v="2021-07-28"/>
        <s v="2021-07-29"/>
        <s v="2021-07-30"/>
        <s v="2019-12-06"/>
      </sharedItems>
    </cacheField>
    <cacheField name="Adj Close" numFmtId="0">
      <sharedItems containsString="0" containsBlank="1" containsNumber="1" minValue="0.88429999999999997" maxValue="5679.27001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11">
  <r>
    <x v="0"/>
    <x v="0"/>
    <n v="16.962039999999998"/>
  </r>
  <r>
    <x v="0"/>
    <x v="1"/>
    <n v="16.832190000000001"/>
  </r>
  <r>
    <x v="0"/>
    <x v="2"/>
    <n v="16.588716999999999"/>
  </r>
  <r>
    <x v="0"/>
    <x v="3"/>
    <n v="16.580598999999999"/>
  </r>
  <r>
    <x v="0"/>
    <x v="4"/>
    <n v="16.621178"/>
  </r>
  <r>
    <x v="0"/>
    <x v="5"/>
    <n v="16.840305000000001"/>
  </r>
  <r>
    <x v="0"/>
    <x v="6"/>
    <n v="16.880884000000002"/>
  </r>
  <r>
    <x v="0"/>
    <x v="7"/>
    <n v="16.848420999999998"/>
  </r>
  <r>
    <x v="0"/>
    <x v="8"/>
    <n v="16.937695000000001"/>
  </r>
  <r>
    <x v="0"/>
    <x v="9"/>
    <n v="16.540019999999998"/>
  </r>
  <r>
    <x v="0"/>
    <x v="10"/>
    <n v="16.596830000000001"/>
  </r>
  <r>
    <x v="0"/>
    <x v="11"/>
    <n v="16.759148"/>
  </r>
  <r>
    <x v="0"/>
    <x v="12"/>
    <n v="16.872768000000001"/>
  </r>
  <r>
    <x v="0"/>
    <x v="13"/>
    <n v="16.475092"/>
  </r>
  <r>
    <x v="0"/>
    <x v="14"/>
    <n v="16.548136"/>
  </r>
  <r>
    <x v="0"/>
    <x v="15"/>
    <n v="16.499438999999999"/>
  </r>
  <r>
    <x v="0"/>
    <x v="16"/>
    <n v="16.312778000000002"/>
  </r>
  <r>
    <x v="0"/>
    <x v="17"/>
    <n v="16.191040000000001"/>
  </r>
  <r>
    <x v="0"/>
    <x v="18"/>
    <n v="16.154517999999999"/>
  </r>
  <r>
    <x v="0"/>
    <x v="19"/>
    <n v="16.150461"/>
  </r>
  <r>
    <x v="0"/>
    <x v="20"/>
    <n v="16.174809"/>
  </r>
  <r>
    <x v="0"/>
    <x v="21"/>
    <n v="16.239735"/>
  </r>
  <r>
    <x v="0"/>
    <x v="22"/>
    <n v="16.548136"/>
  </r>
  <r>
    <x v="0"/>
    <x v="23"/>
    <n v="16.556249999999999"/>
  </r>
  <r>
    <x v="0"/>
    <x v="24"/>
    <n v="16.953925999999999"/>
  </r>
  <r>
    <x v="0"/>
    <x v="25"/>
    <n v="16.880884000000002"/>
  </r>
  <r>
    <x v="0"/>
    <x v="26"/>
    <n v="16.718567"/>
  </r>
  <r>
    <x v="0"/>
    <x v="27"/>
    <n v="16.475092"/>
  </r>
  <r>
    <x v="0"/>
    <x v="28"/>
    <n v="16.783494999999998"/>
  </r>
  <r>
    <x v="0"/>
    <x v="29"/>
    <n v="16.742913999999999"/>
  </r>
  <r>
    <x v="0"/>
    <x v="30"/>
    <n v="17.189285000000002"/>
  </r>
  <r>
    <x v="0"/>
    <x v="31"/>
    <n v="16.880884000000002"/>
  </r>
  <r>
    <x v="0"/>
    <x v="32"/>
    <n v="17.075665000000001"/>
  </r>
  <r>
    <x v="0"/>
    <x v="33"/>
    <n v="17.367832"/>
  </r>
  <r>
    <x v="0"/>
    <x v="34"/>
    <n v="17.367832"/>
  </r>
  <r>
    <x v="0"/>
    <x v="35"/>
    <n v="17.400295"/>
  </r>
  <r>
    <x v="0"/>
    <x v="36"/>
    <n v="17.578844"/>
  </r>
  <r>
    <x v="0"/>
    <x v="37"/>
    <n v="17.489567000000001"/>
  </r>
  <r>
    <x v="0"/>
    <x v="38"/>
    <n v="17.562611"/>
  </r>
  <r>
    <x v="0"/>
    <x v="39"/>
    <n v="17.302906"/>
  </r>
  <r>
    <x v="0"/>
    <x v="40"/>
    <n v="17.481455"/>
  </r>
  <r>
    <x v="0"/>
    <x v="41"/>
    <n v="17.440874000000001"/>
  </r>
  <r>
    <x v="0"/>
    <x v="42"/>
    <n v="17.603190999999999"/>
  </r>
  <r>
    <x v="0"/>
    <x v="43"/>
    <n v="17.319136"/>
  </r>
  <r>
    <x v="0"/>
    <x v="44"/>
    <n v="16.986388999999999"/>
  </r>
  <r>
    <x v="0"/>
    <x v="45"/>
    <n v="16.848420999999998"/>
  </r>
  <r>
    <x v="0"/>
    <x v="46"/>
    <n v="16.913347000000002"/>
  </r>
  <r>
    <x v="0"/>
    <x v="47"/>
    <n v="17.01885"/>
  </r>
  <r>
    <x v="0"/>
    <x v="48"/>
    <n v="17.043199999999999"/>
  </r>
  <r>
    <x v="0"/>
    <x v="49"/>
    <n v="17.124357"/>
  </r>
  <r>
    <x v="0"/>
    <x v="50"/>
    <n v="16.978273000000002"/>
  </r>
  <r>
    <x v="0"/>
    <x v="51"/>
    <n v="17.335369"/>
  </r>
  <r>
    <x v="0"/>
    <x v="52"/>
    <n v="17.25421"/>
  </r>
  <r>
    <x v="0"/>
    <x v="53"/>
    <n v="17.611307"/>
  </r>
  <r>
    <x v="0"/>
    <x v="54"/>
    <n v="17.570726000000001"/>
  </r>
  <r>
    <x v="0"/>
    <x v="55"/>
    <n v="17.497684"/>
  </r>
  <r>
    <x v="0"/>
    <x v="56"/>
    <n v="17.651886000000001"/>
  </r>
  <r>
    <x v="0"/>
    <x v="57"/>
    <n v="17.424643"/>
  </r>
  <r>
    <x v="0"/>
    <x v="58"/>
    <n v="17.814202999999999"/>
  </r>
  <r>
    <x v="0"/>
    <x v="59"/>
    <n v="17.879128000000001"/>
  </r>
  <r>
    <x v="0"/>
    <x v="60"/>
    <n v="17.530149000000002"/>
  </r>
  <r>
    <x v="0"/>
    <x v="61"/>
    <n v="17.424643"/>
  </r>
  <r>
    <x v="0"/>
    <x v="62"/>
    <n v="17.522034000000001"/>
  </r>
  <r>
    <x v="0"/>
    <x v="63"/>
    <n v="17.570726000000001"/>
  </r>
  <r>
    <x v="0"/>
    <x v="64"/>
    <n v="17.741159"/>
  </r>
  <r>
    <x v="0"/>
    <x v="65"/>
    <n v="17.765506999999999"/>
  </r>
  <r>
    <x v="0"/>
    <x v="66"/>
    <n v="17.546379000000002"/>
  </r>
  <r>
    <x v="0"/>
    <x v="67"/>
    <n v="17.505800000000001"/>
  </r>
  <r>
    <x v="0"/>
    <x v="68"/>
    <n v="17.432758"/>
  </r>
  <r>
    <x v="0"/>
    <x v="69"/>
    <n v="17.302906"/>
  </r>
  <r>
    <x v="0"/>
    <x v="70"/>
    <n v="17.010735"/>
  </r>
  <r>
    <x v="0"/>
    <x v="71"/>
    <n v="17.189285000000002"/>
  </r>
  <r>
    <x v="0"/>
    <x v="72"/>
    <n v="17.205517"/>
  </r>
  <r>
    <x v="0"/>
    <x v="73"/>
    <n v="17.473337000000001"/>
  </r>
  <r>
    <x v="0"/>
    <x v="74"/>
    <n v="17.505800000000001"/>
  </r>
  <r>
    <x v="0"/>
    <x v="75"/>
    <n v="17.262326999999999"/>
  </r>
  <r>
    <x v="0"/>
    <x v="76"/>
    <n v="17.327252999999999"/>
  </r>
  <r>
    <x v="0"/>
    <x v="77"/>
    <n v="17.343485000000001"/>
  </r>
  <r>
    <x v="0"/>
    <x v="78"/>
    <n v="17.213630999999999"/>
  </r>
  <r>
    <x v="0"/>
    <x v="79"/>
    <n v="17.319136"/>
  </r>
  <r>
    <x v="0"/>
    <x v="80"/>
    <n v="17.359715999999999"/>
  </r>
  <r>
    <x v="0"/>
    <x v="81"/>
    <n v="17.335369"/>
  </r>
  <r>
    <x v="0"/>
    <x v="82"/>
    <n v="17.440874000000001"/>
  </r>
  <r>
    <x v="0"/>
    <x v="83"/>
    <n v="17.367832"/>
  </r>
  <r>
    <x v="0"/>
    <x v="84"/>
    <n v="17.367832"/>
  </r>
  <r>
    <x v="0"/>
    <x v="85"/>
    <n v="17.448989999999998"/>
  </r>
  <r>
    <x v="0"/>
    <x v="86"/>
    <n v="17.359715999999999"/>
  </r>
  <r>
    <x v="0"/>
    <x v="87"/>
    <n v="16.994506999999999"/>
  </r>
  <r>
    <x v="0"/>
    <x v="88"/>
    <n v="17.091894"/>
  </r>
  <r>
    <x v="0"/>
    <x v="89"/>
    <n v="17.375948000000001"/>
  </r>
  <r>
    <x v="0"/>
    <x v="90"/>
    <n v="17.335369"/>
  </r>
  <r>
    <x v="0"/>
    <x v="91"/>
    <n v="17.359715999999999"/>
  </r>
  <r>
    <x v="0"/>
    <x v="92"/>
    <n v="17.116240999999999"/>
  </r>
  <r>
    <x v="0"/>
    <x v="93"/>
    <n v="17.221746"/>
  </r>
  <r>
    <x v="0"/>
    <x v="94"/>
    <n v="17.327252999999999"/>
  </r>
  <r>
    <x v="0"/>
    <x v="95"/>
    <n v="17.335369"/>
  </r>
  <r>
    <x v="0"/>
    <x v="96"/>
    <n v="17.302906"/>
  </r>
  <r>
    <x v="0"/>
    <x v="97"/>
    <n v="17.854780000000002"/>
  </r>
  <r>
    <x v="0"/>
    <x v="98"/>
    <n v="17.919708"/>
  </r>
  <r>
    <x v="0"/>
    <x v="99"/>
    <n v="18.073906000000001"/>
  </r>
  <r>
    <x v="0"/>
    <x v="100"/>
    <n v="18.122602000000001"/>
  </r>
  <r>
    <x v="0"/>
    <x v="101"/>
    <n v="18.130718000000002"/>
  </r>
  <r>
    <x v="0"/>
    <x v="102"/>
    <n v="18.228107000000001"/>
  </r>
  <r>
    <x v="0"/>
    <x v="103"/>
    <n v="17.854780000000002"/>
  </r>
  <r>
    <x v="0"/>
    <x v="104"/>
    <n v="17.968402999999999"/>
  </r>
  <r>
    <x v="0"/>
    <x v="105"/>
    <n v="18.049561000000001"/>
  </r>
  <r>
    <x v="0"/>
    <x v="106"/>
    <n v="17.530149000000002"/>
  </r>
  <r>
    <x v="0"/>
    <x v="107"/>
    <n v="17.595075999999999"/>
  </r>
  <r>
    <x v="0"/>
    <x v="108"/>
    <n v="17.619420999999999"/>
  </r>
  <r>
    <x v="0"/>
    <x v="109"/>
    <n v="17.359715999999999"/>
  </r>
  <r>
    <x v="0"/>
    <x v="110"/>
    <n v="17.635653000000001"/>
  </r>
  <r>
    <x v="0"/>
    <x v="111"/>
    <n v="17.935938"/>
  </r>
  <r>
    <x v="0"/>
    <x v="112"/>
    <n v="18.017097"/>
  </r>
  <r>
    <x v="0"/>
    <x v="113"/>
    <n v="18.260570999999999"/>
  </r>
  <r>
    <x v="0"/>
    <x v="114"/>
    <n v="18.544623999999999"/>
  </r>
  <r>
    <x v="0"/>
    <x v="115"/>
    <n v="18.211876"/>
  </r>
  <r>
    <x v="0"/>
    <x v="116"/>
    <n v="17.879128000000001"/>
  </r>
  <r>
    <x v="0"/>
    <x v="117"/>
    <n v="17.976517000000001"/>
  </r>
  <r>
    <x v="0"/>
    <x v="118"/>
    <n v="18.090139000000001"/>
  </r>
  <r>
    <x v="0"/>
    <x v="119"/>
    <n v="18.406654"/>
  </r>
  <r>
    <x v="0"/>
    <x v="120"/>
    <n v="18.617666"/>
  </r>
  <r>
    <x v="0"/>
    <x v="121"/>
    <n v="18.763752"/>
  </r>
  <r>
    <x v="0"/>
    <x v="122"/>
    <n v="18.357962000000001"/>
  </r>
  <r>
    <x v="0"/>
    <x v="123"/>
    <n v="17.976517000000001"/>
  </r>
  <r>
    <x v="0"/>
    <x v="124"/>
    <n v="17.741159"/>
  </r>
  <r>
    <x v="0"/>
    <x v="125"/>
    <n v="17.554494999999999"/>
  </r>
  <r>
    <x v="0"/>
    <x v="126"/>
    <n v="17.797969999999999"/>
  </r>
  <r>
    <x v="0"/>
    <x v="127"/>
    <n v="17.927821999999999"/>
  </r>
  <r>
    <x v="0"/>
    <x v="128"/>
    <n v="17.846664000000001"/>
  </r>
  <r>
    <x v="0"/>
    <x v="129"/>
    <n v="17.773623000000001"/>
  </r>
  <r>
    <x v="0"/>
    <x v="130"/>
    <n v="17.854780000000002"/>
  </r>
  <r>
    <x v="0"/>
    <x v="131"/>
    <n v="17.976517000000001"/>
  </r>
  <r>
    <x v="0"/>
    <x v="132"/>
    <n v="17.806086000000001"/>
  </r>
  <r>
    <x v="0"/>
    <x v="133"/>
    <n v="17.871013999999999"/>
  </r>
  <r>
    <x v="0"/>
    <x v="134"/>
    <n v="17.992750000000001"/>
  </r>
  <r>
    <x v="0"/>
    <x v="135"/>
    <n v="17.992750000000001"/>
  </r>
  <r>
    <x v="0"/>
    <x v="136"/>
    <n v="18.017097"/>
  </r>
  <r>
    <x v="0"/>
    <x v="137"/>
    <n v="18.366076"/>
  </r>
  <r>
    <x v="0"/>
    <x v="138"/>
    <n v="17.919708"/>
  </r>
  <r>
    <x v="0"/>
    <x v="139"/>
    <n v="17.838549"/>
  </r>
  <r>
    <x v="0"/>
    <x v="140"/>
    <n v="17.059431"/>
  </r>
  <r>
    <x v="0"/>
    <x v="141"/>
    <n v="16.653641"/>
  </r>
  <r>
    <x v="0"/>
    <x v="142"/>
    <n v="16.726683000000001"/>
  </r>
  <r>
    <x v="0"/>
    <x v="143"/>
    <n v="16.272197999999999"/>
  </r>
  <r>
    <x v="0"/>
    <x v="144"/>
    <n v="15.647281"/>
  </r>
  <r>
    <x v="0"/>
    <x v="145"/>
    <n v="15.716265"/>
  </r>
  <r>
    <x v="0"/>
    <x v="146"/>
    <n v="15.927276000000001"/>
  </r>
  <r>
    <x v="0"/>
    <x v="147"/>
    <n v="16.385819999999999"/>
  </r>
  <r>
    <x v="0"/>
    <x v="148"/>
    <n v="16.126114000000001"/>
  </r>
  <r>
    <x v="0"/>
    <x v="149"/>
    <n v="15.375400000000001"/>
  </r>
  <r>
    <x v="0"/>
    <x v="150"/>
    <n v="13.833396"/>
  </r>
  <r>
    <x v="0"/>
    <x v="151"/>
    <n v="13.322101999999999"/>
  </r>
  <r>
    <x v="0"/>
    <x v="152"/>
    <n v="12.818921"/>
  </r>
  <r>
    <x v="0"/>
    <x v="153"/>
    <n v="11.143005"/>
  </r>
  <r>
    <x v="0"/>
    <x v="154"/>
    <n v="11.049675000000001"/>
  </r>
  <r>
    <x v="0"/>
    <x v="155"/>
    <n v="10.716926000000001"/>
  </r>
  <r>
    <x v="0"/>
    <x v="156"/>
    <n v="10.802142"/>
  </r>
  <r>
    <x v="0"/>
    <x v="157"/>
    <n v="11.014469"/>
  </r>
  <r>
    <x v="0"/>
    <x v="158"/>
    <n v="11.61164"/>
  </r>
  <r>
    <x v="0"/>
    <x v="159"/>
    <n v="11.474511"/>
  </r>
  <r>
    <x v="0"/>
    <x v="160"/>
    <n v="10.864070999999999"/>
  </r>
  <r>
    <x v="0"/>
    <x v="161"/>
    <n v="11.288726"/>
  </r>
  <r>
    <x v="0"/>
    <x v="162"/>
    <n v="11.642604"/>
  </r>
  <r>
    <x v="0"/>
    <x v="163"/>
    <n v="12.319397"/>
  </r>
  <r>
    <x v="0"/>
    <x v="164"/>
    <n v="11.589523"/>
  </r>
  <r>
    <x v="0"/>
    <x v="165"/>
    <n v="11.598369"/>
  </r>
  <r>
    <x v="0"/>
    <x v="166"/>
    <n v="11.832814000000001"/>
  </r>
  <r>
    <x v="0"/>
    <x v="167"/>
    <n v="11.456818"/>
  </r>
  <r>
    <x v="0"/>
    <x v="168"/>
    <n v="12.129187999999999"/>
  </r>
  <r>
    <x v="0"/>
    <x v="169"/>
    <n v="12.279586"/>
  </r>
  <r>
    <x v="0"/>
    <x v="170"/>
    <n v="12.748474"/>
  </r>
  <r>
    <x v="0"/>
    <x v="171"/>
    <n v="13.186399"/>
  </r>
  <r>
    <x v="0"/>
    <x v="172"/>
    <n v="13.128894000000001"/>
  </r>
  <r>
    <x v="0"/>
    <x v="173"/>
    <n v="13.721641"/>
  </r>
  <r>
    <x v="0"/>
    <x v="174"/>
    <n v="13.836651"/>
  </r>
  <r>
    <x v="0"/>
    <x v="175"/>
    <n v="13.09793"/>
  </r>
  <r>
    <x v="0"/>
    <x v="176"/>
    <n v="13.469502"/>
  </r>
  <r>
    <x v="0"/>
    <x v="177"/>
    <n v="13.995896"/>
  </r>
  <r>
    <x v="0"/>
    <x v="178"/>
    <n v="13.827805"/>
  </r>
  <r>
    <x v="0"/>
    <x v="179"/>
    <n v="13.120047"/>
  </r>
  <r>
    <x v="0"/>
    <x v="180"/>
    <n v="13.491619"/>
  </r>
  <r>
    <x v="0"/>
    <x v="181"/>
    <n v="13.903003999999999"/>
  </r>
  <r>
    <x v="0"/>
    <x v="182"/>
    <n v="14.136067000000001"/>
  </r>
  <r>
    <x v="0"/>
    <x v="183"/>
    <n v="14.231196000000001"/>
  </r>
  <r>
    <x v="0"/>
    <x v="184"/>
    <n v="14.392913999999999"/>
  </r>
  <r>
    <x v="0"/>
    <x v="185"/>
    <n v="14.697324999999999"/>
  </r>
  <r>
    <x v="0"/>
    <x v="186"/>
    <n v="14.41194"/>
  </r>
  <r>
    <x v="0"/>
    <x v="187"/>
    <n v="13.84117"/>
  </r>
  <r>
    <x v="0"/>
    <x v="188"/>
    <n v="14.121798999999999"/>
  </r>
  <r>
    <x v="0"/>
    <x v="189"/>
    <n v="14.093260000000001"/>
  </r>
  <r>
    <x v="0"/>
    <x v="190"/>
    <n v="14.354863"/>
  </r>
  <r>
    <x v="0"/>
    <x v="191"/>
    <n v="14.830503999999999"/>
  </r>
  <r>
    <x v="0"/>
    <x v="192"/>
    <n v="14.659273000000001"/>
  </r>
  <r>
    <x v="0"/>
    <x v="193"/>
    <n v="15.306146"/>
  </r>
  <r>
    <x v="0"/>
    <x v="194"/>
    <n v="14.754402000000001"/>
  </r>
  <r>
    <x v="0"/>
    <x v="195"/>
    <n v="14.511825"/>
  </r>
  <r>
    <x v="0"/>
    <x v="196"/>
    <n v="14.193144999999999"/>
  </r>
  <r>
    <x v="0"/>
    <x v="197"/>
    <n v="15.082594"/>
  </r>
  <r>
    <x v="0"/>
    <x v="198"/>
    <n v="14.79721"/>
  </r>
  <r>
    <x v="0"/>
    <x v="199"/>
    <n v="14.930388000000001"/>
  </r>
  <r>
    <x v="0"/>
    <x v="200"/>
    <n v="15.016005"/>
  </r>
  <r>
    <x v="0"/>
    <x v="201"/>
    <n v="15.220530999999999"/>
  </r>
  <r>
    <x v="0"/>
    <x v="202"/>
    <n v="15.710440999999999"/>
  </r>
  <r>
    <x v="0"/>
    <x v="203"/>
    <n v="16.076685000000001"/>
  </r>
  <r>
    <x v="0"/>
    <x v="204"/>
    <n v="16.324017999999999"/>
  </r>
  <r>
    <x v="0"/>
    <x v="205"/>
    <n v="16.381095999999999"/>
  </r>
  <r>
    <x v="0"/>
    <x v="206"/>
    <n v="16.385853000000001"/>
  </r>
  <r>
    <x v="0"/>
    <x v="207"/>
    <n v="16.699776"/>
  </r>
  <r>
    <x v="0"/>
    <x v="208"/>
    <n v="17.156390999999999"/>
  </r>
  <r>
    <x v="0"/>
    <x v="209"/>
    <n v="16.828199000000001"/>
  </r>
  <r>
    <x v="0"/>
    <x v="210"/>
    <n v="16.918571"/>
  </r>
  <r>
    <x v="0"/>
    <x v="211"/>
    <n v="16.871008"/>
  </r>
  <r>
    <x v="0"/>
    <x v="212"/>
    <n v="16.618915999999999"/>
  </r>
  <r>
    <x v="0"/>
    <x v="213"/>
    <n v="16.423902999999999"/>
  </r>
  <r>
    <x v="0"/>
    <x v="214"/>
    <n v="15.577261999999999"/>
  </r>
  <r>
    <x v="0"/>
    <x v="215"/>
    <n v="15.886430000000001"/>
  </r>
  <r>
    <x v="0"/>
    <x v="216"/>
    <n v="15.834108000000001"/>
  </r>
  <r>
    <x v="0"/>
    <x v="217"/>
    <n v="16.514277"/>
  </r>
  <r>
    <x v="0"/>
    <x v="218"/>
    <n v="16.571352000000001"/>
  </r>
  <r>
    <x v="0"/>
    <x v="219"/>
    <n v="16.794905"/>
  </r>
  <r>
    <x v="0"/>
    <x v="220"/>
    <n v="16.105225000000001"/>
  </r>
  <r>
    <x v="0"/>
    <x v="221"/>
    <n v="16.076685000000001"/>
  </r>
  <r>
    <x v="0"/>
    <x v="222"/>
    <n v="15.758006"/>
  </r>
  <r>
    <x v="0"/>
    <x v="223"/>
    <n v="15.938748"/>
  </r>
  <r>
    <x v="0"/>
    <x v="224"/>
    <n v="15.900698"/>
  </r>
  <r>
    <x v="0"/>
    <x v="225"/>
    <n v="16.12425"/>
  </r>
  <r>
    <x v="0"/>
    <x v="226"/>
    <n v="16.081441999999999"/>
  </r>
  <r>
    <x v="0"/>
    <x v="227"/>
    <n v="16.324017999999999"/>
  </r>
  <r>
    <x v="0"/>
    <x v="228"/>
    <n v="16.457197000000001"/>
  </r>
  <r>
    <x v="0"/>
    <x v="229"/>
    <n v="16.552326000000001"/>
  </r>
  <r>
    <x v="0"/>
    <x v="230"/>
    <n v="16.65221"/>
  </r>
  <r>
    <x v="0"/>
    <x v="231"/>
    <n v="16.409634"/>
  </r>
  <r>
    <x v="0"/>
    <x v="232"/>
    <n v="16.295479"/>
  </r>
  <r>
    <x v="0"/>
    <x v="233"/>
    <n v="16.224133999999999"/>
  </r>
  <r>
    <x v="0"/>
    <x v="234"/>
    <n v="16.495251"/>
  </r>
  <r>
    <x v="0"/>
    <x v="235"/>
    <n v="16.794905"/>
  </r>
  <r>
    <x v="0"/>
    <x v="236"/>
    <n v="16.851982"/>
  </r>
  <r>
    <x v="0"/>
    <x v="237"/>
    <n v="16.985161000000002"/>
  </r>
  <r>
    <x v="0"/>
    <x v="238"/>
    <n v="17.104071000000001"/>
  </r>
  <r>
    <x v="0"/>
    <x v="239"/>
    <n v="17.042238000000001"/>
  </r>
  <r>
    <x v="0"/>
    <x v="240"/>
    <n v="16.966135000000001"/>
  </r>
  <r>
    <x v="0"/>
    <x v="241"/>
    <n v="17.13261"/>
  </r>
  <r>
    <x v="0"/>
    <x v="242"/>
    <n v="17.332377999999999"/>
  </r>
  <r>
    <x v="0"/>
    <x v="243"/>
    <n v="17.465558999999999"/>
  </r>
  <r>
    <x v="0"/>
    <x v="244"/>
    <n v="17.151636"/>
  </r>
  <r>
    <x v="0"/>
    <x v="245"/>
    <n v="16.875762999999999"/>
  </r>
  <r>
    <x v="0"/>
    <x v="246"/>
    <n v="16.704533000000001"/>
  </r>
  <r>
    <x v="0"/>
    <x v="247"/>
    <n v="16.832954000000001"/>
  </r>
  <r>
    <x v="0"/>
    <x v="248"/>
    <n v="16.133762000000001"/>
  </r>
  <r>
    <x v="0"/>
    <x v="249"/>
    <n v="16.381095999999999"/>
  </r>
  <r>
    <x v="0"/>
    <x v="250"/>
    <n v="16.723558000000001"/>
  </r>
  <r>
    <x v="0"/>
    <x v="251"/>
    <n v="16.709289999999999"/>
  </r>
  <r>
    <x v="0"/>
    <x v="252"/>
    <n v="16.642700000000001"/>
  </r>
  <r>
    <x v="0"/>
    <x v="253"/>
    <n v="16.552326000000001"/>
  </r>
  <r>
    <x v="0"/>
    <x v="254"/>
    <n v="16.904302999999999"/>
  </r>
  <r>
    <x v="0"/>
    <x v="255"/>
    <n v="16.951865999999999"/>
  </r>
  <r>
    <x v="0"/>
    <x v="256"/>
    <n v="16.871008"/>
  </r>
  <r>
    <x v="0"/>
    <x v="257"/>
    <n v="17.213469"/>
  </r>
  <r>
    <x v="0"/>
    <x v="258"/>
    <n v="17.089801999999999"/>
  </r>
  <r>
    <x v="0"/>
    <x v="259"/>
    <n v="16.818687000000001"/>
  </r>
  <r>
    <x v="0"/>
    <x v="260"/>
    <n v="16.937597"/>
  </r>
  <r>
    <x v="0"/>
    <x v="261"/>
    <n v="17.023212000000001"/>
  </r>
  <r>
    <x v="0"/>
    <x v="262"/>
    <n v="16.190840000000001"/>
  </r>
  <r>
    <x v="0"/>
    <x v="263"/>
    <n v="15.929237000000001"/>
  </r>
  <r>
    <x v="0"/>
    <x v="264"/>
    <n v="15.819839"/>
  </r>
  <r>
    <x v="0"/>
    <x v="265"/>
    <n v="16.290724000000001"/>
  </r>
  <r>
    <x v="0"/>
    <x v="266"/>
    <n v="16.300238"/>
  </r>
  <r>
    <x v="0"/>
    <x v="267"/>
    <n v="16.438172999999999"/>
  </r>
  <r>
    <x v="0"/>
    <x v="268"/>
    <n v="16.228888999999999"/>
  </r>
  <r>
    <x v="0"/>
    <x v="269"/>
    <n v="16.580866"/>
  </r>
  <r>
    <x v="0"/>
    <x v="270"/>
    <n v="16.851982"/>
  </r>
  <r>
    <x v="0"/>
    <x v="271"/>
    <n v="16.576108999999999"/>
  </r>
  <r>
    <x v="0"/>
    <x v="272"/>
    <n v="16.647455000000001"/>
  </r>
  <r>
    <x v="0"/>
    <x v="273"/>
    <n v="16.404879000000001"/>
  </r>
  <r>
    <x v="0"/>
    <x v="274"/>
    <n v="16.10998"/>
  </r>
  <r>
    <x v="0"/>
    <x v="275"/>
    <n v="16.514277"/>
  </r>
  <r>
    <x v="0"/>
    <x v="276"/>
    <n v="16.105225000000001"/>
  </r>
  <r>
    <x v="0"/>
    <x v="277"/>
    <n v="16.376339000000002"/>
  </r>
  <r>
    <x v="0"/>
    <x v="278"/>
    <n v="16.24316"/>
  </r>
  <r>
    <x v="0"/>
    <x v="279"/>
    <n v="16.090955999999998"/>
  </r>
  <r>
    <x v="0"/>
    <x v="280"/>
    <n v="16.186083"/>
  </r>
  <r>
    <x v="0"/>
    <x v="281"/>
    <n v="16.557082999999999"/>
  </r>
  <r>
    <x v="0"/>
    <x v="282"/>
    <n v="16.552326000000001"/>
  </r>
  <r>
    <x v="0"/>
    <x v="283"/>
    <n v="16.599892000000001"/>
  </r>
  <r>
    <x v="0"/>
    <x v="284"/>
    <n v="16.742584000000001"/>
  </r>
  <r>
    <x v="0"/>
    <x v="285"/>
    <n v="16.190840000000001"/>
  </r>
  <r>
    <x v="0"/>
    <x v="286"/>
    <n v="16.300238"/>
  </r>
  <r>
    <x v="0"/>
    <x v="287"/>
    <n v="16.285969000000001"/>
  </r>
  <r>
    <x v="0"/>
    <x v="288"/>
    <n v="16.162299999999998"/>
  </r>
  <r>
    <x v="0"/>
    <x v="289"/>
    <n v="16.10998"/>
  </r>
  <r>
    <x v="0"/>
    <x v="290"/>
    <n v="16.271698000000001"/>
  </r>
  <r>
    <x v="0"/>
    <x v="291"/>
    <n v="16.304993"/>
  </r>
  <r>
    <x v="0"/>
    <x v="292"/>
    <n v="16.433416000000001"/>
  </r>
  <r>
    <x v="0"/>
    <x v="293"/>
    <n v="16.752096000000002"/>
  </r>
  <r>
    <x v="0"/>
    <x v="294"/>
    <n v="16.771121999999998"/>
  </r>
  <r>
    <x v="0"/>
    <x v="295"/>
    <n v="16.899543999999999"/>
  </r>
  <r>
    <x v="0"/>
    <x v="296"/>
    <n v="17.061261999999999"/>
  </r>
  <r>
    <x v="0"/>
    <x v="297"/>
    <n v="16.837713000000001"/>
  </r>
  <r>
    <x v="0"/>
    <x v="298"/>
    <n v="17.318110000000001"/>
  </r>
  <r>
    <x v="0"/>
    <x v="299"/>
    <n v="17.413239000000001"/>
  </r>
  <r>
    <x v="0"/>
    <x v="300"/>
    <n v="17.517879000000001"/>
  </r>
  <r>
    <x v="0"/>
    <x v="301"/>
    <n v="17.170660000000002"/>
  </r>
  <r>
    <x v="0"/>
    <x v="302"/>
    <n v="17.589226"/>
  </r>
  <r>
    <x v="0"/>
    <x v="303"/>
    <n v="17.046994999999999"/>
  </r>
  <r>
    <x v="0"/>
    <x v="304"/>
    <n v="17.237251000000001"/>
  </r>
  <r>
    <x v="0"/>
    <x v="305"/>
    <n v="17.208711999999998"/>
  </r>
  <r>
    <x v="0"/>
    <x v="306"/>
    <n v="17.051749999999998"/>
  </r>
  <r>
    <x v="0"/>
    <x v="307"/>
    <n v="16.533300000000001"/>
  </r>
  <r>
    <x v="0"/>
    <x v="308"/>
    <n v="16.547571000000001"/>
  </r>
  <r>
    <x v="0"/>
    <x v="309"/>
    <n v="16.538056999999998"/>
  </r>
  <r>
    <x v="0"/>
    <x v="310"/>
    <n v="16.238403000000002"/>
  </r>
  <r>
    <x v="0"/>
    <x v="311"/>
    <n v="15.857889999999999"/>
  </r>
  <r>
    <x v="0"/>
    <x v="312"/>
    <n v="15.367979999999999"/>
  </r>
  <r>
    <x v="0"/>
    <x v="313"/>
    <n v="15.234799000000001"/>
  </r>
  <r>
    <x v="0"/>
    <x v="314"/>
    <n v="15.363223"/>
  </r>
  <r>
    <x v="0"/>
    <x v="315"/>
    <n v="15.634338"/>
  </r>
  <r>
    <x v="0"/>
    <x v="316"/>
    <n v="16.043389999999999"/>
  </r>
  <r>
    <x v="0"/>
    <x v="317"/>
    <n v="16.119492999999999"/>
  </r>
  <r>
    <x v="0"/>
    <x v="318"/>
    <n v="16.238403000000002"/>
  </r>
  <r>
    <x v="0"/>
    <x v="319"/>
    <n v="16.048147"/>
  </r>
  <r>
    <x v="0"/>
    <x v="320"/>
    <n v="16.856736999999999"/>
  </r>
  <r>
    <x v="0"/>
    <x v="321"/>
    <n v="16.68075"/>
  </r>
  <r>
    <x v="0"/>
    <x v="322"/>
    <n v="16.714044999999999"/>
  </r>
  <r>
    <x v="0"/>
    <x v="323"/>
    <n v="16.400122"/>
  </r>
  <r>
    <x v="0"/>
    <x v="324"/>
    <n v="16.409634"/>
  </r>
  <r>
    <x v="0"/>
    <x v="325"/>
    <n v="16.509519999999998"/>
  </r>
  <r>
    <x v="0"/>
    <x v="326"/>
    <n v="16.766365"/>
  </r>
  <r>
    <x v="0"/>
    <x v="327"/>
    <n v="16.809173999999999"/>
  </r>
  <r>
    <x v="0"/>
    <x v="328"/>
    <n v="16.723558000000001"/>
  </r>
  <r>
    <x v="0"/>
    <x v="329"/>
    <n v="17.042238000000001"/>
  </r>
  <r>
    <x v="0"/>
    <x v="330"/>
    <n v="17.008942000000001"/>
  </r>
  <r>
    <x v="0"/>
    <x v="331"/>
    <n v="17.280059999999999"/>
  </r>
  <r>
    <x v="0"/>
    <x v="332"/>
    <n v="17.774725"/>
  </r>
  <r>
    <x v="0"/>
    <x v="333"/>
    <n v="17.922173999999998"/>
  </r>
  <r>
    <x v="0"/>
    <x v="334"/>
    <n v="18.345495"/>
  </r>
  <r>
    <x v="0"/>
    <x v="335"/>
    <n v="18.269392"/>
  </r>
  <r>
    <x v="0"/>
    <x v="336"/>
    <n v="18.102919"/>
  </r>
  <r>
    <x v="0"/>
    <x v="337"/>
    <n v="18.088647999999999"/>
  </r>
  <r>
    <x v="0"/>
    <x v="338"/>
    <n v="17.408481999999999"/>
  </r>
  <r>
    <x v="0"/>
    <x v="339"/>
    <n v="17.551174"/>
  </r>
  <r>
    <x v="0"/>
    <x v="340"/>
    <n v="17.422751999999999"/>
  </r>
  <r>
    <x v="0"/>
    <x v="341"/>
    <n v="17.351403999999999"/>
  </r>
  <r>
    <x v="0"/>
    <x v="342"/>
    <n v="17.541661999999999"/>
  </r>
  <r>
    <x v="0"/>
    <x v="343"/>
    <n v="17.722404000000001"/>
  </r>
  <r>
    <x v="0"/>
    <x v="344"/>
    <n v="17.708136"/>
  </r>
  <r>
    <x v="0"/>
    <x v="345"/>
    <n v="17.874611000000002"/>
  </r>
  <r>
    <x v="0"/>
    <x v="346"/>
    <n v="17.960225999999999"/>
  </r>
  <r>
    <x v="0"/>
    <x v="347"/>
    <n v="18.150482"/>
  </r>
  <r>
    <x v="0"/>
    <x v="348"/>
    <n v="18.488188000000001"/>
  </r>
  <r>
    <x v="0"/>
    <x v="349"/>
    <n v="18.307445999999999"/>
  </r>
  <r>
    <x v="0"/>
    <x v="350"/>
    <n v="17.670086000000001"/>
  </r>
  <r>
    <x v="0"/>
    <x v="351"/>
    <n v="18.083893"/>
  </r>
  <r>
    <x v="0"/>
    <x v="352"/>
    <n v="18.364521"/>
  </r>
  <r>
    <x v="0"/>
    <x v="353"/>
    <n v="18.716495999999999"/>
  </r>
  <r>
    <x v="0"/>
    <x v="354"/>
    <n v="18.8687"/>
  </r>
  <r>
    <x v="0"/>
    <x v="355"/>
    <n v="18.740278"/>
  </r>
  <r>
    <x v="0"/>
    <x v="356"/>
    <n v="19.225431"/>
  </r>
  <r>
    <x v="0"/>
    <x v="357"/>
    <n v="19.292023"/>
  </r>
  <r>
    <x v="0"/>
    <x v="358"/>
    <n v="19.967434000000001"/>
  </r>
  <r>
    <x v="0"/>
    <x v="359"/>
    <n v="20.776024"/>
  </r>
  <r>
    <x v="0"/>
    <x v="360"/>
    <n v="20.233792999999999"/>
  </r>
  <r>
    <x v="0"/>
    <x v="361"/>
    <n v="20.195741999999999"/>
  </r>
  <r>
    <x v="0"/>
    <x v="362"/>
    <n v="20.347946"/>
  </r>
  <r>
    <x v="0"/>
    <x v="363"/>
    <n v="20.576253999999999"/>
  </r>
  <r>
    <x v="0"/>
    <x v="364"/>
    <n v="20.091100999999998"/>
  </r>
  <r>
    <x v="0"/>
    <x v="365"/>
    <n v="20.043534999999999"/>
  </r>
  <r>
    <x v="0"/>
    <x v="366"/>
    <n v="20.176714"/>
  </r>
  <r>
    <x v="0"/>
    <x v="367"/>
    <n v="20.167204000000002"/>
  </r>
  <r>
    <x v="0"/>
    <x v="368"/>
    <n v="20.262331"/>
  </r>
  <r>
    <x v="0"/>
    <x v="369"/>
    <n v="20.110125"/>
  </r>
  <r>
    <x v="0"/>
    <x v="370"/>
    <n v="19.976946000000002"/>
  </r>
  <r>
    <x v="0"/>
    <x v="371"/>
    <n v="19.824741"/>
  </r>
  <r>
    <x v="0"/>
    <x v="372"/>
    <n v="19.453741000000001"/>
  </r>
  <r>
    <x v="0"/>
    <x v="373"/>
    <n v="19.463253000000002"/>
  </r>
  <r>
    <x v="0"/>
    <x v="374"/>
    <n v="19.011395"/>
  </r>
  <r>
    <x v="0"/>
    <x v="375"/>
    <n v="19.253971"/>
  </r>
  <r>
    <x v="0"/>
    <x v="376"/>
    <n v="19.767664"/>
  </r>
  <r>
    <x v="0"/>
    <x v="377"/>
    <n v="20.452587000000001"/>
  </r>
  <r>
    <x v="0"/>
    <x v="378"/>
    <n v="20.547716000000001"/>
  </r>
  <r>
    <x v="0"/>
    <x v="379"/>
    <n v="20.623819000000001"/>
  </r>
  <r>
    <x v="0"/>
    <x v="380"/>
    <n v="20.718948000000001"/>
  </r>
  <r>
    <x v="0"/>
    <x v="381"/>
    <n v="20.538204"/>
  </r>
  <r>
    <x v="0"/>
    <x v="382"/>
    <n v="20.642845000000001"/>
  </r>
  <r>
    <x v="0"/>
    <x v="383"/>
    <n v="20.994820000000001"/>
  </r>
  <r>
    <x v="0"/>
    <x v="384"/>
    <n v="20.699922999999998"/>
  </r>
  <r>
    <x v="0"/>
    <x v="385"/>
    <n v="20.737971999999999"/>
  </r>
  <r>
    <x v="0"/>
    <x v="386"/>
    <n v="20.680895"/>
  </r>
  <r>
    <x v="0"/>
    <x v="387"/>
    <n v="20.585768000000002"/>
  </r>
  <r>
    <x v="0"/>
    <x v="388"/>
    <n v="20.385998000000001"/>
  </r>
  <r>
    <x v="0"/>
    <x v="389"/>
    <n v="20.319407999999999"/>
  </r>
  <r>
    <x v="0"/>
    <x v="390"/>
    <n v="20.053049000000001"/>
  </r>
  <r>
    <x v="0"/>
    <x v="391"/>
    <n v="19.957920000000001"/>
  </r>
  <r>
    <x v="0"/>
    <x v="392"/>
    <n v="20.014999"/>
  </r>
  <r>
    <x v="0"/>
    <x v="393"/>
    <n v="19.957920000000001"/>
  </r>
  <r>
    <x v="0"/>
    <x v="394"/>
    <n v="19.682048999999999"/>
  </r>
  <r>
    <x v="0"/>
    <x v="395"/>
    <n v="19.682048999999999"/>
  </r>
  <r>
    <x v="0"/>
    <x v="396"/>
    <n v="19.900845"/>
  </r>
  <r>
    <x v="0"/>
    <x v="397"/>
    <n v="19.548867999999999"/>
  </r>
  <r>
    <x v="0"/>
    <x v="398"/>
    <n v="19.78669"/>
  </r>
  <r>
    <x v="0"/>
    <x v="399"/>
    <n v="19.758151999999999"/>
  </r>
  <r>
    <x v="0"/>
    <x v="400"/>
    <n v="20.100612999999999"/>
  </r>
  <r>
    <x v="0"/>
    <x v="401"/>
    <n v="20.35746"/>
  </r>
  <r>
    <x v="0"/>
    <x v="402"/>
    <n v="20.642845000000001"/>
  </r>
  <r>
    <x v="0"/>
    <x v="403"/>
    <n v="21.013845"/>
  </r>
  <r>
    <x v="0"/>
    <x v="404"/>
    <n v="20.899691000000001"/>
  </r>
  <r>
    <x v="0"/>
    <x v="405"/>
    <n v="21.451435"/>
  </r>
  <r>
    <x v="0"/>
    <x v="406"/>
    <n v="21.441922999999999"/>
  </r>
  <r>
    <x v="0"/>
    <x v="407"/>
    <n v="21.356307999999999"/>
  </r>
  <r>
    <x v="0"/>
    <x v="408"/>
    <n v="21.251664999999999"/>
  </r>
  <r>
    <x v="0"/>
    <x v="409"/>
    <n v="21.470461"/>
  </r>
  <r>
    <x v="0"/>
    <x v="410"/>
    <n v="21.527536000000001"/>
  </r>
  <r>
    <x v="0"/>
    <x v="411"/>
    <n v="21.527536000000001"/>
  </r>
  <r>
    <x v="0"/>
    <x v="412"/>
    <n v="21.755845999999998"/>
  </r>
  <r>
    <x v="0"/>
    <x v="413"/>
    <n v="22.079281000000002"/>
  </r>
  <r>
    <x v="0"/>
    <x v="414"/>
    <n v="22.193435999999998"/>
  </r>
  <r>
    <x v="0"/>
    <x v="415"/>
    <n v="22.155386"/>
  </r>
  <r>
    <x v="0"/>
    <x v="416"/>
    <n v="21.774871999999998"/>
  </r>
  <r>
    <x v="0"/>
    <x v="417"/>
    <n v="21.651205000000001"/>
  </r>
  <r>
    <x v="0"/>
    <x v="418"/>
    <n v="21.746334000000001"/>
  </r>
  <r>
    <x v="0"/>
    <x v="419"/>
    <n v="20.928229999999999"/>
  </r>
  <r>
    <x v="0"/>
    <x v="420"/>
    <n v="21.137509999999999"/>
  </r>
  <r>
    <x v="0"/>
    <x v="421"/>
    <n v="21.194590000000002"/>
  </r>
  <r>
    <x v="0"/>
    <x v="422"/>
    <n v="21.223127000000002"/>
  </r>
  <r>
    <x v="0"/>
    <x v="423"/>
    <n v="21.299229"/>
  </r>
  <r>
    <x v="0"/>
    <x v="424"/>
    <n v="21.270693000000001"/>
  </r>
  <r>
    <x v="0"/>
    <x v="425"/>
    <n v="21.261178999999998"/>
  </r>
  <r>
    <x v="0"/>
    <x v="426"/>
    <n v="21.327767999999999"/>
  </r>
  <r>
    <x v="0"/>
    <x v="427"/>
    <n v="21.460947000000001"/>
  </r>
  <r>
    <x v="0"/>
    <x v="428"/>
    <n v="21.584616"/>
  </r>
  <r>
    <x v="0"/>
    <x v="429"/>
    <n v="21.365818000000001"/>
  </r>
  <r>
    <x v="0"/>
    <x v="430"/>
    <n v="21.460947000000001"/>
  </r>
  <r>
    <x v="0"/>
    <x v="431"/>
    <n v="22.00318"/>
  </r>
  <r>
    <x v="0"/>
    <x v="432"/>
    <n v="22.107821000000001"/>
  </r>
  <r>
    <x v="0"/>
    <x v="433"/>
    <n v="22.260024999999999"/>
  </r>
  <r>
    <x v="0"/>
    <x v="434"/>
    <n v="22.155386"/>
  </r>
  <r>
    <x v="0"/>
    <x v="435"/>
    <n v="21.869999"/>
  </r>
  <r>
    <x v="0"/>
    <x v="436"/>
    <n v="21.959999"/>
  </r>
  <r>
    <x v="0"/>
    <x v="437"/>
    <n v="21.85"/>
  </r>
  <r>
    <x v="0"/>
    <x v="438"/>
    <n v="22.4"/>
  </r>
  <r>
    <x v="0"/>
    <x v="439"/>
    <n v="22.43"/>
  </r>
  <r>
    <x v="0"/>
    <x v="440"/>
    <n v="22.450001"/>
  </r>
  <r>
    <x v="0"/>
    <x v="441"/>
    <n v="22.6"/>
  </r>
  <r>
    <x v="0"/>
    <x v="442"/>
    <n v="23"/>
  </r>
  <r>
    <x v="0"/>
    <x v="443"/>
    <n v="23.059999000000001"/>
  </r>
  <r>
    <x v="0"/>
    <x v="444"/>
    <n v="22.59"/>
  </r>
  <r>
    <x v="0"/>
    <x v="445"/>
    <n v="22.74"/>
  </r>
  <r>
    <x v="0"/>
    <x v="446"/>
    <n v="22.799999"/>
  </r>
  <r>
    <x v="0"/>
    <x v="447"/>
    <n v="22.75"/>
  </r>
  <r>
    <x v="0"/>
    <x v="448"/>
    <n v="23.01"/>
  </r>
  <r>
    <x v="0"/>
    <x v="449"/>
    <n v="22.790001"/>
  </r>
  <r>
    <x v="0"/>
    <x v="450"/>
    <n v="23.09"/>
  </r>
  <r>
    <x v="0"/>
    <x v="451"/>
    <n v="23.51"/>
  </r>
  <r>
    <x v="0"/>
    <x v="452"/>
    <n v="23.370000999999998"/>
  </r>
  <r>
    <x v="0"/>
    <x v="453"/>
    <n v="23.32"/>
  </r>
  <r>
    <x v="0"/>
    <x v="454"/>
    <n v="23.549999"/>
  </r>
  <r>
    <x v="0"/>
    <x v="455"/>
    <n v="23.469999000000001"/>
  </r>
  <r>
    <x v="0"/>
    <x v="456"/>
    <n v="23.700001"/>
  </r>
  <r>
    <x v="0"/>
    <x v="457"/>
    <n v="23.309999000000001"/>
  </r>
  <r>
    <x v="0"/>
    <x v="458"/>
    <n v="23.49"/>
  </r>
  <r>
    <x v="0"/>
    <x v="459"/>
    <n v="23.549999"/>
  </r>
  <r>
    <x v="0"/>
    <x v="460"/>
    <n v="23.440000999999999"/>
  </r>
  <r>
    <x v="0"/>
    <x v="461"/>
    <n v="23.4"/>
  </r>
  <r>
    <x v="0"/>
    <x v="462"/>
    <n v="23.51"/>
  </r>
  <r>
    <x v="0"/>
    <x v="463"/>
    <n v="23.51"/>
  </r>
  <r>
    <x v="0"/>
    <x v="464"/>
    <n v="23.76"/>
  </r>
  <r>
    <x v="0"/>
    <x v="465"/>
    <n v="23.709999"/>
  </r>
  <r>
    <x v="0"/>
    <x v="466"/>
    <n v="23.959999"/>
  </r>
  <r>
    <x v="0"/>
    <x v="467"/>
    <n v="24.280000999999999"/>
  </r>
  <r>
    <x v="0"/>
    <x v="468"/>
    <n v="24.059999000000001"/>
  </r>
  <r>
    <x v="0"/>
    <x v="469"/>
    <n v="23.889999"/>
  </r>
  <r>
    <x v="0"/>
    <x v="470"/>
    <n v="23.719999000000001"/>
  </r>
  <r>
    <x v="0"/>
    <x v="471"/>
    <n v="23.33"/>
  </r>
  <r>
    <x v="0"/>
    <x v="472"/>
    <n v="23.59"/>
  </r>
  <r>
    <x v="0"/>
    <x v="473"/>
    <n v="23.559999000000001"/>
  </r>
  <r>
    <x v="0"/>
    <x v="474"/>
    <n v="23.43"/>
  </r>
  <r>
    <x v="0"/>
    <x v="475"/>
    <n v="23.65"/>
  </r>
  <r>
    <x v="0"/>
    <x v="476"/>
    <n v="23.799999"/>
  </r>
  <r>
    <x v="0"/>
    <x v="477"/>
    <n v="23.66"/>
  </r>
  <r>
    <x v="0"/>
    <x v="478"/>
    <n v="23.26"/>
  </r>
  <r>
    <x v="0"/>
    <x v="479"/>
    <n v="23.200001"/>
  </r>
  <r>
    <x v="0"/>
    <x v="480"/>
    <n v="23.23"/>
  </r>
  <r>
    <x v="0"/>
    <x v="481"/>
    <n v="23.24"/>
  </r>
  <r>
    <x v="0"/>
    <x v="482"/>
    <n v="23.18"/>
  </r>
  <r>
    <x v="0"/>
    <x v="483"/>
    <n v="23.4"/>
  </r>
  <r>
    <x v="0"/>
    <x v="484"/>
    <n v="22.790001"/>
  </r>
  <r>
    <x v="0"/>
    <x v="485"/>
    <n v="23.059999000000001"/>
  </r>
  <r>
    <x v="0"/>
    <x v="486"/>
    <n v="23.030000999999999"/>
  </r>
  <r>
    <x v="0"/>
    <x v="487"/>
    <n v="23.02"/>
  </r>
  <r>
    <x v="0"/>
    <x v="488"/>
    <n v="23.1"/>
  </r>
  <r>
    <x v="0"/>
    <x v="489"/>
    <n v="22.93"/>
  </r>
  <r>
    <x v="0"/>
    <x v="490"/>
    <n v="22.870000999999998"/>
  </r>
  <r>
    <x v="0"/>
    <x v="491"/>
    <n v="22.360001"/>
  </r>
  <r>
    <x v="0"/>
    <x v="492"/>
    <n v="22.48"/>
  </r>
  <r>
    <x v="0"/>
    <x v="493"/>
    <n v="22.879999000000002"/>
  </r>
  <r>
    <x v="0"/>
    <x v="494"/>
    <n v="23.209999"/>
  </r>
  <r>
    <x v="0"/>
    <x v="495"/>
    <n v="23.290001"/>
  </r>
  <r>
    <x v="0"/>
    <x v="496"/>
    <n v="23.4"/>
  </r>
  <r>
    <x v="0"/>
    <x v="497"/>
    <n v="23.48"/>
  </r>
  <r>
    <x v="0"/>
    <x v="498"/>
    <n v="23.5"/>
  </r>
  <r>
    <x v="0"/>
    <x v="499"/>
    <n v="23.799999"/>
  </r>
  <r>
    <x v="0"/>
    <x v="500"/>
    <n v="23.24"/>
  </r>
  <r>
    <x v="1"/>
    <x v="0"/>
    <n v="11.841039"/>
  </r>
  <r>
    <x v="1"/>
    <x v="1"/>
    <n v="11.647643"/>
  </r>
  <r>
    <x v="1"/>
    <x v="2"/>
    <n v="11.366343000000001"/>
  </r>
  <r>
    <x v="1"/>
    <x v="3"/>
    <n v="11.208109"/>
  </r>
  <r>
    <x v="1"/>
    <x v="4"/>
    <n v="11.049877"/>
  </r>
  <r>
    <x v="1"/>
    <x v="5"/>
    <n v="11.252064000000001"/>
  </r>
  <r>
    <x v="1"/>
    <x v="6"/>
    <n v="11.348761"/>
  </r>
  <r>
    <x v="1"/>
    <x v="7"/>
    <n v="11.032296000000001"/>
  </r>
  <r>
    <x v="1"/>
    <x v="8"/>
    <n v="11.058669"/>
  </r>
  <r>
    <x v="1"/>
    <x v="9"/>
    <n v="10.812530000000001"/>
  </r>
  <r>
    <x v="1"/>
    <x v="10"/>
    <n v="10.592763"/>
  </r>
  <r>
    <x v="1"/>
    <x v="11"/>
    <n v="10.768575"/>
  </r>
  <r>
    <x v="1"/>
    <x v="12"/>
    <n v="10.979551000000001"/>
  </r>
  <r>
    <x v="1"/>
    <x v="13"/>
    <n v="10.95318"/>
  </r>
  <r>
    <x v="1"/>
    <x v="14"/>
    <n v="11.093830000000001"/>
  </r>
  <r>
    <x v="1"/>
    <x v="15"/>
    <n v="11.111412"/>
  </r>
  <r>
    <x v="1"/>
    <x v="16"/>
    <n v="11.005924"/>
  </r>
  <r>
    <x v="1"/>
    <x v="17"/>
    <n v="10.97076"/>
  </r>
  <r>
    <x v="1"/>
    <x v="18"/>
    <n v="10.856483000000001"/>
  </r>
  <r>
    <x v="1"/>
    <x v="19"/>
    <n v="10.733414"/>
  </r>
  <r>
    <x v="1"/>
    <x v="20"/>
    <n v="11.102620999999999"/>
  </r>
  <r>
    <x v="1"/>
    <x v="21"/>
    <n v="11.252064000000001"/>
  </r>
  <r>
    <x v="1"/>
    <x v="22"/>
    <n v="11.199318999999999"/>
  </r>
  <r>
    <x v="1"/>
    <x v="23"/>
    <n v="11.243273"/>
  </r>
  <r>
    <x v="1"/>
    <x v="24"/>
    <n v="11.489411"/>
  </r>
  <r>
    <x v="1"/>
    <x v="25"/>
    <n v="11.550947000000001"/>
  </r>
  <r>
    <x v="1"/>
    <x v="26"/>
    <n v="11.577318999999999"/>
  </r>
  <r>
    <x v="1"/>
    <x v="27"/>
    <n v="11.665226000000001"/>
  </r>
  <r>
    <x v="1"/>
    <x v="28"/>
    <n v="11.480620999999999"/>
  </r>
  <r>
    <x v="1"/>
    <x v="29"/>
    <n v="11.515783000000001"/>
  </r>
  <r>
    <x v="1"/>
    <x v="30"/>
    <n v="11.805876"/>
  </r>
  <r>
    <x v="1"/>
    <x v="31"/>
    <n v="11.946527"/>
  </r>
  <r>
    <x v="1"/>
    <x v="32"/>
    <n v="11.814666000000001"/>
  </r>
  <r>
    <x v="1"/>
    <x v="33"/>
    <n v="11.630061"/>
  </r>
  <r>
    <x v="1"/>
    <x v="34"/>
    <n v="11.542154999999999"/>
  </r>
  <r>
    <x v="1"/>
    <x v="35"/>
    <n v="11.550947000000001"/>
  </r>
  <r>
    <x v="1"/>
    <x v="36"/>
    <n v="11.594900000000001"/>
  </r>
  <r>
    <x v="1"/>
    <x v="37"/>
    <n v="11.427875999999999"/>
  </r>
  <r>
    <x v="1"/>
    <x v="38"/>
    <n v="11.313598000000001"/>
  </r>
  <r>
    <x v="1"/>
    <x v="39"/>
    <n v="11.33118"/>
  </r>
  <r>
    <x v="1"/>
    <x v="40"/>
    <n v="11.85862"/>
  </r>
  <r>
    <x v="1"/>
    <x v="41"/>
    <n v="11.849829"/>
  </r>
  <r>
    <x v="1"/>
    <x v="42"/>
    <n v="11.86741"/>
  </r>
  <r>
    <x v="1"/>
    <x v="43"/>
    <n v="11.85862"/>
  </r>
  <r>
    <x v="1"/>
    <x v="44"/>
    <n v="11.630061"/>
  </r>
  <r>
    <x v="1"/>
    <x v="45"/>
    <n v="11.542154999999999"/>
  </r>
  <r>
    <x v="1"/>
    <x v="46"/>
    <n v="11.61248"/>
  </r>
  <r>
    <x v="1"/>
    <x v="47"/>
    <n v="11.797086"/>
  </r>
  <r>
    <x v="1"/>
    <x v="48"/>
    <n v="11.753132000000001"/>
  </r>
  <r>
    <x v="1"/>
    <x v="49"/>
    <n v="11.744341"/>
  </r>
  <r>
    <x v="1"/>
    <x v="50"/>
    <n v="11.779503"/>
  </r>
  <r>
    <x v="1"/>
    <x v="51"/>
    <n v="11.814666000000001"/>
  </r>
  <r>
    <x v="1"/>
    <x v="52"/>
    <n v="11.788294"/>
  </r>
  <r>
    <x v="1"/>
    <x v="53"/>
    <n v="11.770713000000001"/>
  </r>
  <r>
    <x v="1"/>
    <x v="54"/>
    <n v="11.911365"/>
  </r>
  <r>
    <x v="1"/>
    <x v="55"/>
    <n v="12.043224"/>
  </r>
  <r>
    <x v="1"/>
    <x v="56"/>
    <n v="12.087178"/>
  </r>
  <r>
    <x v="1"/>
    <x v="57"/>
    <n v="12.078386999999999"/>
  </r>
  <r>
    <x v="1"/>
    <x v="58"/>
    <n v="12.078386999999999"/>
  </r>
  <r>
    <x v="1"/>
    <x v="59"/>
    <n v="12.210248"/>
  </r>
  <r>
    <x v="1"/>
    <x v="60"/>
    <n v="12.913500000000001"/>
  </r>
  <r>
    <x v="1"/>
    <x v="61"/>
    <n v="12.693732000000001"/>
  </r>
  <r>
    <x v="1"/>
    <x v="62"/>
    <n v="12.702524"/>
  </r>
  <r>
    <x v="1"/>
    <x v="63"/>
    <n v="12.834384999999999"/>
  </r>
  <r>
    <x v="1"/>
    <x v="64"/>
    <n v="12.931082"/>
  </r>
  <r>
    <x v="1"/>
    <x v="65"/>
    <n v="12.790430000000001"/>
  </r>
  <r>
    <x v="1"/>
    <x v="66"/>
    <n v="12.764059"/>
  </r>
  <r>
    <x v="1"/>
    <x v="67"/>
    <n v="12.895918999999999"/>
  </r>
  <r>
    <x v="1"/>
    <x v="68"/>
    <n v="12.983826000000001"/>
  </r>
  <r>
    <x v="1"/>
    <x v="69"/>
    <n v="13.071732000000001"/>
  </r>
  <r>
    <x v="1"/>
    <x v="70"/>
    <n v="13.027779000000001"/>
  </r>
  <r>
    <x v="1"/>
    <x v="71"/>
    <n v="13.054152"/>
  </r>
  <r>
    <x v="1"/>
    <x v="72"/>
    <n v="13.045361"/>
  </r>
  <r>
    <x v="1"/>
    <x v="73"/>
    <n v="12.957452999999999"/>
  </r>
  <r>
    <x v="1"/>
    <x v="74"/>
    <n v="13.054152"/>
  </r>
  <r>
    <x v="1"/>
    <x v="75"/>
    <n v="13.010198000000001"/>
  </r>
  <r>
    <x v="1"/>
    <x v="76"/>
    <n v="13.071732000000001"/>
  </r>
  <r>
    <x v="1"/>
    <x v="77"/>
    <n v="12.957452999999999"/>
  </r>
  <r>
    <x v="1"/>
    <x v="78"/>
    <n v="12.860756"/>
  </r>
  <r>
    <x v="1"/>
    <x v="79"/>
    <n v="12.728896000000001"/>
  </r>
  <r>
    <x v="1"/>
    <x v="80"/>
    <n v="12.834384999999999"/>
  </r>
  <r>
    <x v="1"/>
    <x v="81"/>
    <n v="12.851966000000001"/>
  </r>
  <r>
    <x v="1"/>
    <x v="82"/>
    <n v="12.702524"/>
  </r>
  <r>
    <x v="1"/>
    <x v="83"/>
    <n v="12.702524"/>
  </r>
  <r>
    <x v="1"/>
    <x v="84"/>
    <n v="12.597035"/>
  </r>
  <r>
    <x v="1"/>
    <x v="85"/>
    <n v="12.605826"/>
  </r>
  <r>
    <x v="1"/>
    <x v="86"/>
    <n v="12.465175"/>
  </r>
  <r>
    <x v="1"/>
    <x v="87"/>
    <n v="12.298152999999999"/>
  </r>
  <r>
    <x v="1"/>
    <x v="88"/>
    <n v="12.113549000000001"/>
  </r>
  <r>
    <x v="1"/>
    <x v="89"/>
    <n v="12.245409"/>
  </r>
  <r>
    <x v="1"/>
    <x v="90"/>
    <n v="12.377269"/>
  </r>
  <r>
    <x v="1"/>
    <x v="91"/>
    <n v="12.711314"/>
  </r>
  <r>
    <x v="1"/>
    <x v="92"/>
    <n v="12.500339"/>
  </r>
  <r>
    <x v="1"/>
    <x v="93"/>
    <n v="11.682807"/>
  </r>
  <r>
    <x v="1"/>
    <x v="94"/>
    <n v="11.814666000000001"/>
  </r>
  <r>
    <x v="1"/>
    <x v="95"/>
    <n v="11.85862"/>
  </r>
  <r>
    <x v="1"/>
    <x v="96"/>
    <n v="11.823456"/>
  </r>
  <r>
    <x v="1"/>
    <x v="97"/>
    <n v="11.700388999999999"/>
  </r>
  <r>
    <x v="1"/>
    <x v="98"/>
    <n v="11.638852"/>
  </r>
  <r>
    <x v="1"/>
    <x v="99"/>
    <n v="11.647643"/>
  </r>
  <r>
    <x v="1"/>
    <x v="100"/>
    <n v="11.788294"/>
  </r>
  <r>
    <x v="1"/>
    <x v="101"/>
    <n v="11.753132000000001"/>
  </r>
  <r>
    <x v="1"/>
    <x v="102"/>
    <n v="11.849829"/>
  </r>
  <r>
    <x v="1"/>
    <x v="103"/>
    <n v="11.656434000000001"/>
  </r>
  <r>
    <x v="1"/>
    <x v="104"/>
    <n v="11.761922999999999"/>
  </r>
  <r>
    <x v="1"/>
    <x v="105"/>
    <n v="11.674015000000001"/>
  </r>
  <r>
    <x v="1"/>
    <x v="106"/>
    <n v="11.717969"/>
  </r>
  <r>
    <x v="1"/>
    <x v="107"/>
    <n v="11.700388999999999"/>
  </r>
  <r>
    <x v="1"/>
    <x v="108"/>
    <n v="11.656434000000001"/>
  </r>
  <r>
    <x v="1"/>
    <x v="109"/>
    <n v="11.691597"/>
  </r>
  <r>
    <x v="1"/>
    <x v="110"/>
    <n v="11.814666000000001"/>
  </r>
  <r>
    <x v="1"/>
    <x v="111"/>
    <n v="11.849829"/>
  </r>
  <r>
    <x v="1"/>
    <x v="112"/>
    <n v="11.717969"/>
  </r>
  <r>
    <x v="1"/>
    <x v="113"/>
    <n v="11.744341"/>
  </r>
  <r>
    <x v="1"/>
    <x v="114"/>
    <n v="11.86741"/>
  </r>
  <r>
    <x v="1"/>
    <x v="115"/>
    <n v="12.131130000000001"/>
  </r>
  <r>
    <x v="1"/>
    <x v="116"/>
    <n v="12.052014"/>
  </r>
  <r>
    <x v="1"/>
    <x v="117"/>
    <n v="12.060805999999999"/>
  </r>
  <r>
    <x v="1"/>
    <x v="118"/>
    <n v="12.025641999999999"/>
  </r>
  <r>
    <x v="1"/>
    <x v="119"/>
    <n v="12.069595"/>
  </r>
  <r>
    <x v="1"/>
    <x v="120"/>
    <n v="11.744341"/>
  </r>
  <r>
    <x v="1"/>
    <x v="121"/>
    <n v="11.981688999999999"/>
  </r>
  <r>
    <x v="1"/>
    <x v="122"/>
    <n v="12.060805999999999"/>
  </r>
  <r>
    <x v="1"/>
    <x v="123"/>
    <n v="11.86741"/>
  </r>
  <r>
    <x v="1"/>
    <x v="124"/>
    <n v="11.99048"/>
  </r>
  <r>
    <x v="1"/>
    <x v="125"/>
    <n v="12.078386999999999"/>
  </r>
  <r>
    <x v="1"/>
    <x v="126"/>
    <n v="12.131130000000001"/>
  </r>
  <r>
    <x v="1"/>
    <x v="127"/>
    <n v="12.122339999999999"/>
  </r>
  <r>
    <x v="1"/>
    <x v="128"/>
    <n v="12.131130000000001"/>
  </r>
  <r>
    <x v="1"/>
    <x v="129"/>
    <n v="12.122339999999999"/>
  </r>
  <r>
    <x v="1"/>
    <x v="130"/>
    <n v="12.394850999999999"/>
  </r>
  <r>
    <x v="1"/>
    <x v="131"/>
    <n v="11.779503"/>
  </r>
  <r>
    <x v="1"/>
    <x v="132"/>
    <n v="11.58611"/>
  </r>
  <r>
    <x v="1"/>
    <x v="133"/>
    <n v="11.454248"/>
  </r>
  <r>
    <x v="1"/>
    <x v="134"/>
    <n v="11.445458"/>
  </r>
  <r>
    <x v="1"/>
    <x v="135"/>
    <n v="11.463039"/>
  </r>
  <r>
    <x v="1"/>
    <x v="136"/>
    <n v="11.225690999999999"/>
  </r>
  <r>
    <x v="1"/>
    <x v="137"/>
    <n v="11.348761"/>
  </r>
  <r>
    <x v="1"/>
    <x v="138"/>
    <n v="11.621271"/>
  </r>
  <r>
    <x v="1"/>
    <x v="139"/>
    <n v="11.700388999999999"/>
  </r>
  <r>
    <x v="1"/>
    <x v="140"/>
    <n v="11.172948"/>
  </r>
  <r>
    <x v="1"/>
    <x v="141"/>
    <n v="10.988341999999999"/>
  </r>
  <r>
    <x v="1"/>
    <x v="142"/>
    <n v="10.830109999999999"/>
  </r>
  <r>
    <x v="1"/>
    <x v="143"/>
    <n v="10.364204000000001"/>
  </r>
  <r>
    <x v="1"/>
    <x v="144"/>
    <n v="10.082903999999999"/>
  </r>
  <r>
    <x v="1"/>
    <x v="145"/>
    <n v="9.9774150000000006"/>
  </r>
  <r>
    <x v="1"/>
    <x v="146"/>
    <n v="10.285088999999999"/>
  </r>
  <r>
    <x v="1"/>
    <x v="147"/>
    <n v="10.276297"/>
  </r>
  <r>
    <x v="1"/>
    <x v="148"/>
    <n v="9.8367629999999995"/>
  </r>
  <r>
    <x v="1"/>
    <x v="149"/>
    <n v="9.8191819999999996"/>
  </r>
  <r>
    <x v="1"/>
    <x v="150"/>
    <n v="9.1335099999999994"/>
  </r>
  <r>
    <x v="1"/>
    <x v="151"/>
    <n v="8.8697900000000001"/>
  </r>
  <r>
    <x v="1"/>
    <x v="152"/>
    <n v="8.8258369999999999"/>
  </r>
  <r>
    <x v="1"/>
    <x v="153"/>
    <n v="7.9863270000000002"/>
  </r>
  <r>
    <x v="1"/>
    <x v="154"/>
    <n v="7.8061189999999998"/>
  </r>
  <r>
    <x v="1"/>
    <x v="155"/>
    <n v="7.4500970000000004"/>
  </r>
  <r>
    <x v="1"/>
    <x v="156"/>
    <n v="7.5204219999999999"/>
  </r>
  <r>
    <x v="1"/>
    <x v="157"/>
    <n v="7.1995620000000002"/>
  </r>
  <r>
    <x v="1"/>
    <x v="158"/>
    <n v="7.4676780000000003"/>
  </r>
  <r>
    <x v="1"/>
    <x v="159"/>
    <n v="7.6522819999999996"/>
  </r>
  <r>
    <x v="1"/>
    <x v="160"/>
    <n v="7.1160509999999997"/>
  </r>
  <r>
    <x v="1"/>
    <x v="161"/>
    <n v="7.3973519999999997"/>
  </r>
  <r>
    <x v="1"/>
    <x v="162"/>
    <n v="7.5555849999999998"/>
  </r>
  <r>
    <x v="1"/>
    <x v="163"/>
    <n v="7.9145089999999998"/>
  </r>
  <r>
    <x v="1"/>
    <x v="164"/>
    <n v="7.8645319999999996"/>
  </r>
  <r>
    <x v="1"/>
    <x v="165"/>
    <n v="7.7554920000000003"/>
  </r>
  <r>
    <x v="1"/>
    <x v="166"/>
    <n v="8.0235489999999992"/>
  </r>
  <r>
    <x v="1"/>
    <x v="167"/>
    <n v="7.8736189999999997"/>
  </r>
  <r>
    <x v="1"/>
    <x v="168"/>
    <n v="7.964486"/>
  </r>
  <r>
    <x v="1"/>
    <x v="169"/>
    <n v="8.1780240000000006"/>
  </r>
  <r>
    <x v="1"/>
    <x v="170"/>
    <n v="8.5142319999999998"/>
  </r>
  <r>
    <x v="1"/>
    <x v="171"/>
    <n v="8.7368550000000003"/>
  </r>
  <r>
    <x v="1"/>
    <x v="172"/>
    <n v="8.8095479999999995"/>
  </r>
  <r>
    <x v="1"/>
    <x v="173"/>
    <n v="9.1775590000000005"/>
  </r>
  <r>
    <x v="1"/>
    <x v="174"/>
    <n v="8.9231320000000007"/>
  </r>
  <r>
    <x v="1"/>
    <x v="175"/>
    <n v="8.5414899999999996"/>
  </r>
  <r>
    <x v="1"/>
    <x v="176"/>
    <n v="8.3961039999999993"/>
  </r>
  <r>
    <x v="1"/>
    <x v="177"/>
    <n v="8.6050989999999992"/>
  </r>
  <r>
    <x v="1"/>
    <x v="178"/>
    <n v="8.7186810000000001"/>
  </r>
  <r>
    <x v="1"/>
    <x v="179"/>
    <n v="8.4687979999999996"/>
  </r>
  <r>
    <x v="1"/>
    <x v="180"/>
    <n v="8.5732940000000006"/>
  </r>
  <r>
    <x v="1"/>
    <x v="181"/>
    <n v="8.7323109999999993"/>
  </r>
  <r>
    <x v="1"/>
    <x v="182"/>
    <n v="8.6687049999999992"/>
  </r>
  <r>
    <x v="1"/>
    <x v="183"/>
    <n v="8.8640690000000006"/>
  </r>
  <r>
    <x v="1"/>
    <x v="184"/>
    <n v="9.8045410000000004"/>
  </r>
  <r>
    <x v="1"/>
    <x v="185"/>
    <n v="10.358829"/>
  </r>
  <r>
    <x v="1"/>
    <x v="186"/>
    <n v="9.9862739999999999"/>
  </r>
  <r>
    <x v="1"/>
    <x v="187"/>
    <n v="10.040794"/>
  </r>
  <r>
    <x v="1"/>
    <x v="188"/>
    <n v="10.168008"/>
  </r>
  <r>
    <x v="1"/>
    <x v="189"/>
    <n v="10.046849"/>
  </r>
  <r>
    <x v="1"/>
    <x v="190"/>
    <n v="10.261208"/>
  </r>
  <r>
    <x v="1"/>
    <x v="191"/>
    <n v="10.279847"/>
  </r>
  <r>
    <x v="1"/>
    <x v="192"/>
    <n v="10.373046"/>
  </r>
  <r>
    <x v="1"/>
    <x v="193"/>
    <n v="10.382365999999999"/>
  </r>
  <r>
    <x v="1"/>
    <x v="194"/>
    <n v="9.8977310000000003"/>
  </r>
  <r>
    <x v="1"/>
    <x v="195"/>
    <n v="9.7486119999999996"/>
  </r>
  <r>
    <x v="1"/>
    <x v="196"/>
    <n v="9.7113329999999998"/>
  </r>
  <r>
    <x v="1"/>
    <x v="197"/>
    <n v="10.186647000000001"/>
  </r>
  <r>
    <x v="1"/>
    <x v="198"/>
    <n v="10.354405"/>
  </r>
  <r>
    <x v="1"/>
    <x v="199"/>
    <n v="10.373046"/>
  </r>
  <r>
    <x v="1"/>
    <x v="200"/>
    <n v="10.484885"/>
  </r>
  <r>
    <x v="1"/>
    <x v="201"/>
    <n v="10.363726"/>
  </r>
  <r>
    <x v="1"/>
    <x v="202"/>
    <n v="10.438285"/>
  </r>
  <r>
    <x v="1"/>
    <x v="203"/>
    <n v="10.90428"/>
  </r>
  <r>
    <x v="1"/>
    <x v="204"/>
    <n v="10.95088"/>
  </r>
  <r>
    <x v="1"/>
    <x v="205"/>
    <n v="10.717881999999999"/>
  </r>
  <r>
    <x v="1"/>
    <x v="206"/>
    <n v="10.671283000000001"/>
  </r>
  <r>
    <x v="1"/>
    <x v="207"/>
    <n v="11.044079999999999"/>
  </r>
  <r>
    <x v="1"/>
    <x v="208"/>
    <n v="11.165236999999999"/>
  </r>
  <r>
    <x v="1"/>
    <x v="209"/>
    <n v="11.221157"/>
  </r>
  <r>
    <x v="1"/>
    <x v="210"/>
    <n v="11.360955000000001"/>
  </r>
  <r>
    <x v="1"/>
    <x v="211"/>
    <n v="11.398235"/>
  </r>
  <r>
    <x v="1"/>
    <x v="212"/>
    <n v="11.221157"/>
  </r>
  <r>
    <x v="1"/>
    <x v="213"/>
    <n v="11.174557999999999"/>
  </r>
  <r>
    <x v="1"/>
    <x v="214"/>
    <n v="10.894959"/>
  </r>
  <r>
    <x v="1"/>
    <x v="215"/>
    <n v="10.894959"/>
  </r>
  <r>
    <x v="1"/>
    <x v="216"/>
    <n v="10.699242999999999"/>
  </r>
  <r>
    <x v="1"/>
    <x v="217"/>
    <n v="11.118638000000001"/>
  </r>
  <r>
    <x v="1"/>
    <x v="218"/>
    <n v="10.90428"/>
  </r>
  <r>
    <x v="1"/>
    <x v="219"/>
    <n v="10.764481999999999"/>
  </r>
  <r>
    <x v="1"/>
    <x v="220"/>
    <n v="10.764481999999999"/>
  </r>
  <r>
    <x v="1"/>
    <x v="221"/>
    <n v="10.764481999999999"/>
  </r>
  <r>
    <x v="1"/>
    <x v="222"/>
    <n v="10.456925"/>
  </r>
  <r>
    <x v="1"/>
    <x v="223"/>
    <n v="10.550122999999999"/>
  </r>
  <r>
    <x v="1"/>
    <x v="224"/>
    <n v="10.661963"/>
  </r>
  <r>
    <x v="1"/>
    <x v="225"/>
    <n v="10.661963"/>
  </r>
  <r>
    <x v="1"/>
    <x v="226"/>
    <n v="10.680603"/>
  </r>
  <r>
    <x v="1"/>
    <x v="227"/>
    <n v="10.829720999999999"/>
  </r>
  <r>
    <x v="1"/>
    <x v="228"/>
    <n v="10.88564"/>
  </r>
  <r>
    <x v="1"/>
    <x v="229"/>
    <n v="10.876321000000001"/>
  </r>
  <r>
    <x v="1"/>
    <x v="230"/>
    <n v="11.053399000000001"/>
  </r>
  <r>
    <x v="1"/>
    <x v="231"/>
    <n v="10.969519999999999"/>
  </r>
  <r>
    <x v="1"/>
    <x v="232"/>
    <n v="10.93224"/>
  </r>
  <r>
    <x v="1"/>
    <x v="233"/>
    <n v="10.93224"/>
  </r>
  <r>
    <x v="1"/>
    <x v="234"/>
    <n v="11.016119"/>
  </r>
  <r>
    <x v="1"/>
    <x v="235"/>
    <n v="11.174557999999999"/>
  </r>
  <r>
    <x v="1"/>
    <x v="236"/>
    <n v="11.127957"/>
  </r>
  <r>
    <x v="1"/>
    <x v="237"/>
    <n v="11.277077"/>
  </r>
  <r>
    <x v="1"/>
    <x v="238"/>
    <n v="11.351635999999999"/>
  </r>
  <r>
    <x v="1"/>
    <x v="239"/>
    <n v="11.174557999999999"/>
  </r>
  <r>
    <x v="1"/>
    <x v="240"/>
    <n v="11.118638000000001"/>
  </r>
  <r>
    <x v="1"/>
    <x v="241"/>
    <n v="11.090676999999999"/>
  </r>
  <r>
    <x v="1"/>
    <x v="242"/>
    <n v="10.941560000000001"/>
  </r>
  <r>
    <x v="1"/>
    <x v="243"/>
    <n v="11.081358"/>
  </r>
  <r>
    <x v="1"/>
    <x v="244"/>
    <n v="11.118638000000001"/>
  </r>
  <r>
    <x v="1"/>
    <x v="245"/>
    <n v="11.025439"/>
  </r>
  <r>
    <x v="1"/>
    <x v="246"/>
    <n v="10.876321000000001"/>
  </r>
  <r>
    <x v="1"/>
    <x v="247"/>
    <n v="10.829720999999999"/>
  </r>
  <r>
    <x v="1"/>
    <x v="248"/>
    <n v="10.550122999999999"/>
  </r>
  <r>
    <x v="1"/>
    <x v="249"/>
    <n v="10.522164"/>
  </r>
  <r>
    <x v="1"/>
    <x v="250"/>
    <n v="10.634003"/>
  </r>
  <r>
    <x v="1"/>
    <x v="251"/>
    <n v="10.736523"/>
  </r>
  <r>
    <x v="1"/>
    <x v="252"/>
    <n v="10.699242999999999"/>
  </r>
  <r>
    <x v="1"/>
    <x v="253"/>
    <n v="10.671283000000001"/>
  </r>
  <r>
    <x v="1"/>
    <x v="254"/>
    <n v="10.708562000000001"/>
  </r>
  <r>
    <x v="1"/>
    <x v="255"/>
    <n v="10.736523"/>
  </r>
  <r>
    <x v="1"/>
    <x v="256"/>
    <n v="10.801762"/>
  </r>
  <r>
    <x v="1"/>
    <x v="257"/>
    <n v="11.118638000000001"/>
  </r>
  <r>
    <x v="1"/>
    <x v="258"/>
    <n v="11.044079999999999"/>
  </r>
  <r>
    <x v="1"/>
    <x v="259"/>
    <n v="11.016119"/>
  </r>
  <r>
    <x v="1"/>
    <x v="260"/>
    <n v="11.062718"/>
  </r>
  <r>
    <x v="1"/>
    <x v="261"/>
    <n v="10.90428"/>
  </r>
  <r>
    <x v="1"/>
    <x v="262"/>
    <n v="10.811082000000001"/>
  </r>
  <r>
    <x v="1"/>
    <x v="263"/>
    <n v="10.661963"/>
  </r>
  <r>
    <x v="1"/>
    <x v="264"/>
    <n v="10.736523"/>
  </r>
  <r>
    <x v="1"/>
    <x v="265"/>
    <n v="11.016119"/>
  </r>
  <r>
    <x v="1"/>
    <x v="266"/>
    <n v="10.941560000000001"/>
  </r>
  <r>
    <x v="1"/>
    <x v="267"/>
    <n v="10.848362"/>
  </r>
  <r>
    <x v="1"/>
    <x v="268"/>
    <n v="10.9602"/>
  </r>
  <r>
    <x v="1"/>
    <x v="269"/>
    <n v="10.839041999999999"/>
  </r>
  <r>
    <x v="1"/>
    <x v="270"/>
    <n v="10.792441"/>
  </r>
  <r>
    <x v="1"/>
    <x v="271"/>
    <n v="10.820401"/>
  </r>
  <r>
    <x v="1"/>
    <x v="272"/>
    <n v="10.801762"/>
  </r>
  <r>
    <x v="1"/>
    <x v="273"/>
    <n v="10.624682999999999"/>
  </r>
  <r>
    <x v="1"/>
    <x v="274"/>
    <n v="10.298487"/>
  </r>
  <r>
    <x v="1"/>
    <x v="275"/>
    <n v="10.466245000000001"/>
  </r>
  <r>
    <x v="1"/>
    <x v="276"/>
    <n v="10.317126"/>
  </r>
  <r>
    <x v="1"/>
    <x v="277"/>
    <n v="10.596724"/>
  </r>
  <r>
    <x v="1"/>
    <x v="278"/>
    <n v="10.671283000000001"/>
  </r>
  <r>
    <x v="1"/>
    <x v="279"/>
    <n v="10.848362"/>
  </r>
  <r>
    <x v="1"/>
    <x v="280"/>
    <n v="10.85768"/>
  </r>
  <r>
    <x v="1"/>
    <x v="281"/>
    <n v="10.93224"/>
  </r>
  <r>
    <x v="1"/>
    <x v="282"/>
    <n v="10.90428"/>
  </r>
  <r>
    <x v="1"/>
    <x v="283"/>
    <n v="10.764481999999999"/>
  </r>
  <r>
    <x v="1"/>
    <x v="284"/>
    <n v="10.587403"/>
  </r>
  <r>
    <x v="1"/>
    <x v="285"/>
    <n v="10.074809"/>
  </r>
  <r>
    <x v="1"/>
    <x v="286"/>
    <n v="10.084128"/>
  </r>
  <r>
    <x v="1"/>
    <x v="287"/>
    <n v="10.121408000000001"/>
  </r>
  <r>
    <x v="1"/>
    <x v="288"/>
    <n v="10.018889"/>
  </r>
  <r>
    <x v="1"/>
    <x v="289"/>
    <n v="10.205287"/>
  </r>
  <r>
    <x v="1"/>
    <x v="290"/>
    <n v="10.335767000000001"/>
  </r>
  <r>
    <x v="1"/>
    <x v="291"/>
    <n v="10.223927"/>
  </r>
  <r>
    <x v="1"/>
    <x v="292"/>
    <n v="10.130729000000001"/>
  </r>
  <r>
    <x v="1"/>
    <x v="293"/>
    <n v="10.130729000000001"/>
  </r>
  <r>
    <x v="1"/>
    <x v="294"/>
    <n v="10.05617"/>
  </r>
  <r>
    <x v="1"/>
    <x v="295"/>
    <n v="10.326447"/>
  </r>
  <r>
    <x v="1"/>
    <x v="296"/>
    <n v="10.326447"/>
  </r>
  <r>
    <x v="1"/>
    <x v="297"/>
    <n v="10.158689000000001"/>
  </r>
  <r>
    <x v="1"/>
    <x v="298"/>
    <n v="10.168009"/>
  </r>
  <r>
    <x v="1"/>
    <x v="299"/>
    <n v="10.829720999999999"/>
  </r>
  <r>
    <x v="1"/>
    <x v="300"/>
    <n v="11.165236999999999"/>
  </r>
  <r>
    <x v="1"/>
    <x v="301"/>
    <n v="11.016119"/>
  </r>
  <r>
    <x v="1"/>
    <x v="302"/>
    <n v="11.053399000000001"/>
  </r>
  <r>
    <x v="1"/>
    <x v="303"/>
    <n v="10.88564"/>
  </r>
  <r>
    <x v="1"/>
    <x v="304"/>
    <n v="11.146597999999999"/>
  </r>
  <r>
    <x v="1"/>
    <x v="305"/>
    <n v="11.258436"/>
  </r>
  <r>
    <x v="1"/>
    <x v="306"/>
    <n v="11.044079999999999"/>
  </r>
  <r>
    <x v="1"/>
    <x v="307"/>
    <n v="10.941560000000001"/>
  </r>
  <r>
    <x v="1"/>
    <x v="308"/>
    <n v="10.820401"/>
  </r>
  <r>
    <x v="1"/>
    <x v="309"/>
    <n v="10.978839000000001"/>
  </r>
  <r>
    <x v="1"/>
    <x v="310"/>
    <n v="10.941560000000001"/>
  </r>
  <r>
    <x v="1"/>
    <x v="311"/>
    <n v="10.989299000000001"/>
  </r>
  <r>
    <x v="1"/>
    <x v="312"/>
    <n v="10.323874"/>
  </r>
  <r>
    <x v="1"/>
    <x v="313"/>
    <n v="10.431516"/>
  </r>
  <r>
    <x v="1"/>
    <x v="314"/>
    <n v="10.382586"/>
  </r>
  <r>
    <x v="1"/>
    <x v="315"/>
    <n v="10.35323"/>
  </r>
  <r>
    <x v="1"/>
    <x v="316"/>
    <n v="10.451086999999999"/>
  </r>
  <r>
    <x v="1"/>
    <x v="317"/>
    <n v="10.480444"/>
  </r>
  <r>
    <x v="1"/>
    <x v="318"/>
    <n v="10.519587"/>
  </r>
  <r>
    <x v="1"/>
    <x v="319"/>
    <n v="10.529372"/>
  </r>
  <r>
    <x v="1"/>
    <x v="320"/>
    <n v="10.999084"/>
  </r>
  <r>
    <x v="1"/>
    <x v="321"/>
    <n v="11.048012"/>
  </r>
  <r>
    <x v="1"/>
    <x v="322"/>
    <n v="10.930584"/>
  </r>
  <r>
    <x v="1"/>
    <x v="323"/>
    <n v="10.744657"/>
  </r>
  <r>
    <x v="1"/>
    <x v="324"/>
    <n v="10.94037"/>
  </r>
  <r>
    <x v="1"/>
    <x v="325"/>
    <n v="11.116510999999999"/>
  </r>
  <r>
    <x v="1"/>
    <x v="326"/>
    <n v="11.253511"/>
  </r>
  <r>
    <x v="1"/>
    <x v="327"/>
    <n v="11.312225"/>
  </r>
  <r>
    <x v="1"/>
    <x v="328"/>
    <n v="11.233938999999999"/>
  </r>
  <r>
    <x v="1"/>
    <x v="329"/>
    <n v="11.449223999999999"/>
  </r>
  <r>
    <x v="1"/>
    <x v="330"/>
    <n v="11.987435"/>
  </r>
  <r>
    <x v="1"/>
    <x v="331"/>
    <n v="11.967864000000001"/>
  </r>
  <r>
    <x v="1"/>
    <x v="332"/>
    <n v="11.987435"/>
  </r>
  <r>
    <x v="1"/>
    <x v="333"/>
    <n v="12.026578000000001"/>
  </r>
  <r>
    <x v="1"/>
    <x v="334"/>
    <n v="12.104863"/>
  </r>
  <r>
    <x v="1"/>
    <x v="335"/>
    <n v="11.791722"/>
  </r>
  <r>
    <x v="1"/>
    <x v="336"/>
    <n v="12.016792000000001"/>
  </r>
  <r>
    <x v="1"/>
    <x v="337"/>
    <n v="12.036364000000001"/>
  </r>
  <r>
    <x v="1"/>
    <x v="338"/>
    <n v="11.997221"/>
  </r>
  <r>
    <x v="1"/>
    <x v="339"/>
    <n v="12.163577999999999"/>
  </r>
  <r>
    <x v="1"/>
    <x v="340"/>
    <n v="12.349505000000001"/>
  </r>
  <r>
    <x v="1"/>
    <x v="341"/>
    <n v="12.427790999999999"/>
  </r>
  <r>
    <x v="1"/>
    <x v="342"/>
    <n v="12.49629"/>
  </r>
  <r>
    <x v="1"/>
    <x v="343"/>
    <n v="12.398434"/>
  </r>
  <r>
    <x v="1"/>
    <x v="344"/>
    <n v="12.124435"/>
  </r>
  <r>
    <x v="1"/>
    <x v="345"/>
    <n v="11.977650000000001"/>
  </r>
  <r>
    <x v="1"/>
    <x v="346"/>
    <n v="11.967864000000001"/>
  </r>
  <r>
    <x v="1"/>
    <x v="347"/>
    <n v="12.183147999999999"/>
  </r>
  <r>
    <x v="1"/>
    <x v="348"/>
    <n v="12.124435"/>
  </r>
  <r>
    <x v="1"/>
    <x v="349"/>
    <n v="12.300576"/>
  </r>
  <r>
    <x v="1"/>
    <x v="350"/>
    <n v="12.163577999999999"/>
  </r>
  <r>
    <x v="1"/>
    <x v="351"/>
    <n v="12.241863"/>
  </r>
  <r>
    <x v="1"/>
    <x v="352"/>
    <n v="12.447362"/>
  </r>
  <r>
    <x v="1"/>
    <x v="353"/>
    <n v="12.633289"/>
  </r>
  <r>
    <x v="1"/>
    <x v="354"/>
    <n v="12.819217"/>
  </r>
  <r>
    <x v="1"/>
    <x v="355"/>
    <n v="12.662646000000001"/>
  </r>
  <r>
    <x v="1"/>
    <x v="356"/>
    <n v="12.692003"/>
  </r>
  <r>
    <x v="1"/>
    <x v="357"/>
    <n v="12.535432999999999"/>
  </r>
  <r>
    <x v="1"/>
    <x v="358"/>
    <n v="12.858359"/>
  </r>
  <r>
    <x v="1"/>
    <x v="359"/>
    <n v="12.829001999999999"/>
  </r>
  <r>
    <x v="1"/>
    <x v="360"/>
    <n v="12.770288000000001"/>
  </r>
  <r>
    <x v="1"/>
    <x v="361"/>
    <n v="14.061996000000001"/>
  </r>
  <r>
    <x v="1"/>
    <x v="362"/>
    <n v="13.513999"/>
  </r>
  <r>
    <x v="1"/>
    <x v="363"/>
    <n v="13.641211999999999"/>
  </r>
  <r>
    <x v="1"/>
    <x v="364"/>
    <n v="13.660784"/>
  </r>
  <r>
    <x v="1"/>
    <x v="365"/>
    <n v="13.82714"/>
  </r>
  <r>
    <x v="1"/>
    <x v="366"/>
    <n v="13.75864"/>
  </r>
  <r>
    <x v="1"/>
    <x v="367"/>
    <n v="13.895638999999999"/>
  </r>
  <r>
    <x v="1"/>
    <x v="368"/>
    <n v="14.081568000000001"/>
  </r>
  <r>
    <x v="1"/>
    <x v="369"/>
    <n v="13.885854"/>
  </r>
  <r>
    <x v="1"/>
    <x v="370"/>
    <n v="13.96414"/>
  </r>
  <r>
    <x v="1"/>
    <x v="371"/>
    <n v="13.778212"/>
  </r>
  <r>
    <x v="1"/>
    <x v="372"/>
    <n v="13.807569000000001"/>
  </r>
  <r>
    <x v="1"/>
    <x v="373"/>
    <n v="13.543355999999999"/>
  </r>
  <r>
    <x v="1"/>
    <x v="374"/>
    <n v="13.670569"/>
  </r>
  <r>
    <x v="1"/>
    <x v="375"/>
    <n v="13.729283000000001"/>
  </r>
  <r>
    <x v="1"/>
    <x v="376"/>
    <n v="13.885854"/>
  </r>
  <r>
    <x v="1"/>
    <x v="377"/>
    <n v="14.189209"/>
  </r>
  <r>
    <x v="1"/>
    <x v="378"/>
    <n v="13.885854"/>
  </r>
  <r>
    <x v="1"/>
    <x v="379"/>
    <n v="13.670569"/>
  </r>
  <r>
    <x v="1"/>
    <x v="380"/>
    <n v="13.787997000000001"/>
  </r>
  <r>
    <x v="1"/>
    <x v="381"/>
    <n v="13.75864"/>
  </r>
  <r>
    <x v="1"/>
    <x v="382"/>
    <n v="13.817354"/>
  </r>
  <r>
    <x v="1"/>
    <x v="383"/>
    <n v="13.797783000000001"/>
  </r>
  <r>
    <x v="1"/>
    <x v="384"/>
    <n v="13.602069999999999"/>
  </r>
  <r>
    <x v="1"/>
    <x v="385"/>
    <n v="13.719498"/>
  </r>
  <r>
    <x v="1"/>
    <x v="386"/>
    <n v="13.592283999999999"/>
  </r>
  <r>
    <x v="1"/>
    <x v="387"/>
    <n v="13.465071"/>
  </r>
  <r>
    <x v="1"/>
    <x v="388"/>
    <n v="13.406357"/>
  </r>
  <r>
    <x v="1"/>
    <x v="389"/>
    <n v="13.377000000000001"/>
  </r>
  <r>
    <x v="1"/>
    <x v="390"/>
    <n v="13.318284999999999"/>
  </r>
  <r>
    <x v="1"/>
    <x v="391"/>
    <n v="13.220428999999999"/>
  </r>
  <r>
    <x v="1"/>
    <x v="392"/>
    <n v="13.465071"/>
  </r>
  <r>
    <x v="1"/>
    <x v="393"/>
    <n v="13.386786000000001"/>
  </r>
  <r>
    <x v="1"/>
    <x v="394"/>
    <n v="13.083429000000001"/>
  </r>
  <r>
    <x v="1"/>
    <x v="395"/>
    <n v="13.386786000000001"/>
  </r>
  <r>
    <x v="1"/>
    <x v="396"/>
    <n v="13.435713"/>
  </r>
  <r>
    <x v="1"/>
    <x v="397"/>
    <n v="13.504213"/>
  </r>
  <r>
    <x v="1"/>
    <x v="398"/>
    <n v="13.122572"/>
  </r>
  <r>
    <x v="1"/>
    <x v="399"/>
    <n v="13.034501000000001"/>
  </r>
  <r>
    <x v="1"/>
    <x v="400"/>
    <n v="13.142144"/>
  </r>
  <r>
    <x v="1"/>
    <x v="401"/>
    <n v="13.142144"/>
  </r>
  <r>
    <x v="1"/>
    <x v="402"/>
    <n v="13.161714999999999"/>
  </r>
  <r>
    <x v="1"/>
    <x v="403"/>
    <n v="13.572713"/>
  </r>
  <r>
    <x v="1"/>
    <x v="404"/>
    <n v="13.337857"/>
  </r>
  <r>
    <x v="1"/>
    <x v="405"/>
    <n v="13.24"/>
  </r>
  <r>
    <x v="1"/>
    <x v="406"/>
    <n v="13.01493"/>
  </r>
  <r>
    <x v="1"/>
    <x v="407"/>
    <n v="12.956216"/>
  </r>
  <r>
    <x v="1"/>
    <x v="408"/>
    <n v="13.093215000000001"/>
  </r>
  <r>
    <x v="1"/>
    <x v="409"/>
    <n v="13.230214999999999"/>
  </r>
  <r>
    <x v="1"/>
    <x v="410"/>
    <n v="13.24"/>
  </r>
  <r>
    <x v="1"/>
    <x v="411"/>
    <n v="13.151929000000001"/>
  </r>
  <r>
    <x v="1"/>
    <x v="412"/>
    <n v="13.24"/>
  </r>
  <r>
    <x v="1"/>
    <x v="413"/>
    <n v="13.35"/>
  </r>
  <r>
    <x v="1"/>
    <x v="414"/>
    <n v="13.32"/>
  </r>
  <r>
    <x v="1"/>
    <x v="415"/>
    <n v="13.35"/>
  </r>
  <r>
    <x v="1"/>
    <x v="416"/>
    <n v="13.3"/>
  </r>
  <r>
    <x v="1"/>
    <x v="417"/>
    <n v="13.09"/>
  </r>
  <r>
    <x v="1"/>
    <x v="418"/>
    <n v="13.18"/>
  </r>
  <r>
    <x v="1"/>
    <x v="419"/>
    <n v="13.42"/>
  </r>
  <r>
    <x v="1"/>
    <x v="420"/>
    <n v="13.46"/>
  </r>
  <r>
    <x v="1"/>
    <x v="421"/>
    <n v="13.42"/>
  </r>
  <r>
    <x v="1"/>
    <x v="422"/>
    <n v="13.6"/>
  </r>
  <r>
    <x v="1"/>
    <x v="423"/>
    <n v="13.59"/>
  </r>
  <r>
    <x v="1"/>
    <x v="424"/>
    <n v="13.67"/>
  </r>
  <r>
    <x v="1"/>
    <x v="425"/>
    <n v="13.64"/>
  </r>
  <r>
    <x v="1"/>
    <x v="426"/>
    <n v="13.93"/>
  </r>
  <r>
    <x v="1"/>
    <x v="427"/>
    <n v="14.22"/>
  </r>
  <r>
    <x v="1"/>
    <x v="428"/>
    <n v="14.36"/>
  </r>
  <r>
    <x v="1"/>
    <x v="429"/>
    <n v="14.03"/>
  </r>
  <r>
    <x v="1"/>
    <x v="430"/>
    <n v="14.23"/>
  </r>
  <r>
    <x v="1"/>
    <x v="431"/>
    <n v="14.22"/>
  </r>
  <r>
    <x v="1"/>
    <x v="432"/>
    <n v="14.32"/>
  </r>
  <r>
    <x v="1"/>
    <x v="433"/>
    <n v="14.64"/>
  </r>
  <r>
    <x v="1"/>
    <x v="434"/>
    <n v="13.32"/>
  </r>
  <r>
    <x v="1"/>
    <x v="435"/>
    <n v="13.71"/>
  </r>
  <r>
    <x v="1"/>
    <x v="436"/>
    <n v="13.34"/>
  </r>
  <r>
    <x v="1"/>
    <x v="437"/>
    <n v="13.59"/>
  </r>
  <r>
    <x v="1"/>
    <x v="438"/>
    <n v="13.49"/>
  </r>
  <r>
    <x v="1"/>
    <x v="439"/>
    <n v="13.44"/>
  </r>
  <r>
    <x v="1"/>
    <x v="440"/>
    <n v="13.84"/>
  </r>
  <r>
    <x v="1"/>
    <x v="441"/>
    <n v="13.86"/>
  </r>
  <r>
    <x v="1"/>
    <x v="442"/>
    <n v="13.75"/>
  </r>
  <r>
    <x v="1"/>
    <x v="443"/>
    <n v="13.95"/>
  </r>
  <r>
    <x v="1"/>
    <x v="444"/>
    <n v="13.63"/>
  </r>
  <r>
    <x v="1"/>
    <x v="445"/>
    <n v="13.55"/>
  </r>
  <r>
    <x v="1"/>
    <x v="446"/>
    <n v="13.49"/>
  </r>
  <r>
    <x v="1"/>
    <x v="447"/>
    <n v="13.55"/>
  </r>
  <r>
    <x v="1"/>
    <x v="448"/>
    <n v="13.64"/>
  </r>
  <r>
    <x v="1"/>
    <x v="449"/>
    <n v="13.4"/>
  </r>
  <r>
    <x v="1"/>
    <x v="450"/>
    <n v="13.54"/>
  </r>
  <r>
    <x v="1"/>
    <x v="451"/>
    <n v="13.57"/>
  </r>
  <r>
    <x v="1"/>
    <x v="452"/>
    <n v="13.48"/>
  </r>
  <r>
    <x v="1"/>
    <x v="453"/>
    <n v="13.55"/>
  </r>
  <r>
    <x v="1"/>
    <x v="454"/>
    <n v="13.44"/>
  </r>
  <r>
    <x v="1"/>
    <x v="455"/>
    <n v="13.54"/>
  </r>
  <r>
    <x v="1"/>
    <x v="456"/>
    <n v="13.47"/>
  </r>
  <r>
    <x v="1"/>
    <x v="457"/>
    <n v="13.31"/>
  </r>
  <r>
    <x v="1"/>
    <x v="458"/>
    <n v="13.49"/>
  </r>
  <r>
    <x v="1"/>
    <x v="459"/>
    <n v="13.46"/>
  </r>
  <r>
    <x v="1"/>
    <x v="460"/>
    <n v="13.6"/>
  </r>
  <r>
    <x v="1"/>
    <x v="461"/>
    <n v="13.61"/>
  </r>
  <r>
    <x v="1"/>
    <x v="462"/>
    <n v="13.64"/>
  </r>
  <r>
    <x v="1"/>
    <x v="463"/>
    <n v="13.56"/>
  </r>
  <r>
    <x v="1"/>
    <x v="464"/>
    <n v="13.57"/>
  </r>
  <r>
    <x v="1"/>
    <x v="465"/>
    <n v="13.4"/>
  </r>
  <r>
    <x v="1"/>
    <x v="466"/>
    <n v="13.5"/>
  </r>
  <r>
    <x v="1"/>
    <x v="467"/>
    <n v="13.34"/>
  </r>
  <r>
    <x v="1"/>
    <x v="468"/>
    <n v="13.4"/>
  </r>
  <r>
    <x v="1"/>
    <x v="469"/>
    <n v="13.5"/>
  </r>
  <r>
    <x v="1"/>
    <x v="470"/>
    <n v="13.25"/>
  </r>
  <r>
    <x v="1"/>
    <x v="471"/>
    <n v="13.19"/>
  </r>
  <r>
    <x v="1"/>
    <x v="472"/>
    <n v="13.23"/>
  </r>
  <r>
    <x v="1"/>
    <x v="473"/>
    <n v="13.18"/>
  </r>
  <r>
    <x v="1"/>
    <x v="474"/>
    <n v="13.17"/>
  </r>
  <r>
    <x v="1"/>
    <x v="475"/>
    <n v="13.1"/>
  </r>
  <r>
    <x v="1"/>
    <x v="476"/>
    <n v="13.07"/>
  </r>
  <r>
    <x v="1"/>
    <x v="477"/>
    <n v="13.26"/>
  </r>
  <r>
    <x v="1"/>
    <x v="478"/>
    <n v="13.28"/>
  </r>
  <r>
    <x v="1"/>
    <x v="479"/>
    <n v="13.27"/>
  </r>
  <r>
    <x v="1"/>
    <x v="480"/>
    <n v="13.41"/>
  </r>
  <r>
    <x v="1"/>
    <x v="481"/>
    <n v="13.59"/>
  </r>
  <r>
    <x v="1"/>
    <x v="482"/>
    <n v="13.38"/>
  </r>
  <r>
    <x v="1"/>
    <x v="483"/>
    <n v="13.57"/>
  </r>
  <r>
    <x v="1"/>
    <x v="484"/>
    <n v="13.35"/>
  </r>
  <r>
    <x v="1"/>
    <x v="485"/>
    <n v="13.57"/>
  </r>
  <r>
    <x v="1"/>
    <x v="486"/>
    <n v="13.6"/>
  </r>
  <r>
    <x v="1"/>
    <x v="487"/>
    <n v="13.55"/>
  </r>
  <r>
    <x v="1"/>
    <x v="488"/>
    <n v="13.46"/>
  </r>
  <r>
    <x v="1"/>
    <x v="489"/>
    <n v="13.45"/>
  </r>
  <r>
    <x v="1"/>
    <x v="490"/>
    <n v="14.14"/>
  </r>
  <r>
    <x v="1"/>
    <x v="491"/>
    <n v="13.71"/>
  </r>
  <r>
    <x v="1"/>
    <x v="492"/>
    <n v="13.79"/>
  </r>
  <r>
    <x v="1"/>
    <x v="493"/>
    <n v="13.74"/>
  </r>
  <r>
    <x v="1"/>
    <x v="494"/>
    <n v="13.77"/>
  </r>
  <r>
    <x v="1"/>
    <x v="495"/>
    <n v="14.19"/>
  </r>
  <r>
    <x v="1"/>
    <x v="496"/>
    <n v="14.2"/>
  </r>
  <r>
    <x v="1"/>
    <x v="497"/>
    <n v="14.2"/>
  </r>
  <r>
    <x v="1"/>
    <x v="498"/>
    <n v="14.21"/>
  </r>
  <r>
    <x v="1"/>
    <x v="499"/>
    <n v="14.31"/>
  </r>
  <r>
    <x v="1"/>
    <x v="500"/>
    <n v="14.2"/>
  </r>
  <r>
    <x v="2"/>
    <x v="0"/>
    <n v="12.140502"/>
  </r>
  <r>
    <x v="2"/>
    <x v="1"/>
    <n v="12.140502"/>
  </r>
  <r>
    <x v="2"/>
    <x v="2"/>
    <n v="12.216977999999999"/>
  </r>
  <r>
    <x v="2"/>
    <x v="3"/>
    <n v="12.255216000000001"/>
  </r>
  <r>
    <x v="2"/>
    <x v="4"/>
    <n v="12.159621"/>
  </r>
  <r>
    <x v="2"/>
    <x v="5"/>
    <n v="12.121384000000001"/>
  </r>
  <r>
    <x v="2"/>
    <x v="6"/>
    <n v="12.331690999999999"/>
  </r>
  <r>
    <x v="2"/>
    <x v="7"/>
    <n v="12.465522999999999"/>
  </r>
  <r>
    <x v="2"/>
    <x v="8"/>
    <n v="12.446405"/>
  </r>
  <r>
    <x v="2"/>
    <x v="9"/>
    <n v="12.484643"/>
  </r>
  <r>
    <x v="2"/>
    <x v="10"/>
    <n v="13.096447"/>
  </r>
  <r>
    <x v="2"/>
    <x v="11"/>
    <n v="13.153803999999999"/>
  </r>
  <r>
    <x v="2"/>
    <x v="12"/>
    <n v="13.192041"/>
  </r>
  <r>
    <x v="2"/>
    <x v="13"/>
    <n v="13.268516999999999"/>
  </r>
  <r>
    <x v="2"/>
    <x v="14"/>
    <n v="13.192041"/>
  </r>
  <r>
    <x v="2"/>
    <x v="15"/>
    <n v="13.249397999999999"/>
  </r>
  <r>
    <x v="2"/>
    <x v="16"/>
    <n v="12.618475"/>
  </r>
  <r>
    <x v="2"/>
    <x v="17"/>
    <n v="12.427284999999999"/>
  </r>
  <r>
    <x v="2"/>
    <x v="18"/>
    <n v="12.618475"/>
  </r>
  <r>
    <x v="2"/>
    <x v="19"/>
    <n v="12.541999000000001"/>
  </r>
  <r>
    <x v="2"/>
    <x v="20"/>
    <n v="12.847901"/>
  </r>
  <r>
    <x v="2"/>
    <x v="21"/>
    <n v="13.134684999999999"/>
  </r>
  <r>
    <x v="2"/>
    <x v="22"/>
    <n v="13.287635999999999"/>
  </r>
  <r>
    <x v="2"/>
    <x v="23"/>
    <n v="13.268516999999999"/>
  </r>
  <r>
    <x v="2"/>
    <x v="24"/>
    <n v="13.478826"/>
  </r>
  <r>
    <x v="2"/>
    <x v="25"/>
    <n v="13.211161000000001"/>
  </r>
  <r>
    <x v="2"/>
    <x v="26"/>
    <n v="13.134684999999999"/>
  </r>
  <r>
    <x v="2"/>
    <x v="27"/>
    <n v="13.23028"/>
  </r>
  <r>
    <x v="2"/>
    <x v="28"/>
    <n v="12.886139"/>
  </r>
  <r>
    <x v="2"/>
    <x v="29"/>
    <n v="12.771425000000001"/>
  </r>
  <r>
    <x v="2"/>
    <x v="30"/>
    <n v="12.86702"/>
  </r>
  <r>
    <x v="2"/>
    <x v="31"/>
    <n v="12.733188"/>
  </r>
  <r>
    <x v="2"/>
    <x v="32"/>
    <n v="12.924377"/>
  </r>
  <r>
    <x v="2"/>
    <x v="33"/>
    <n v="13.115565999999999"/>
  </r>
  <r>
    <x v="2"/>
    <x v="34"/>
    <n v="13.364110999999999"/>
  </r>
  <r>
    <x v="2"/>
    <x v="35"/>
    <n v="13.325873"/>
  </r>
  <r>
    <x v="2"/>
    <x v="36"/>
    <n v="13.402348999999999"/>
  </r>
  <r>
    <x v="2"/>
    <x v="37"/>
    <n v="13.478826"/>
  </r>
  <r>
    <x v="2"/>
    <x v="38"/>
    <n v="13.631777"/>
  </r>
  <r>
    <x v="2"/>
    <x v="39"/>
    <n v="13.555301"/>
  </r>
  <r>
    <x v="2"/>
    <x v="40"/>
    <n v="13.861203"/>
  </r>
  <r>
    <x v="2"/>
    <x v="41"/>
    <n v="14.262700000000001"/>
  </r>
  <r>
    <x v="2"/>
    <x v="42"/>
    <n v="14.358295"/>
  </r>
  <r>
    <x v="2"/>
    <x v="43"/>
    <n v="14.358295"/>
  </r>
  <r>
    <x v="2"/>
    <x v="44"/>
    <n v="14.109749000000001"/>
  </r>
  <r>
    <x v="2"/>
    <x v="45"/>
    <n v="14.205342"/>
  </r>
  <r>
    <x v="2"/>
    <x v="46"/>
    <n v="14.320057"/>
  </r>
  <r>
    <x v="2"/>
    <x v="47"/>
    <n v="14.415651"/>
  </r>
  <r>
    <x v="2"/>
    <x v="48"/>
    <n v="14.128867"/>
  </r>
  <r>
    <x v="2"/>
    <x v="49"/>
    <n v="14.396533"/>
  </r>
  <r>
    <x v="2"/>
    <x v="50"/>
    <n v="14.453889"/>
  </r>
  <r>
    <x v="2"/>
    <x v="51"/>
    <n v="14.587721999999999"/>
  </r>
  <r>
    <x v="2"/>
    <x v="52"/>
    <n v="14.721553999999999"/>
  </r>
  <r>
    <x v="2"/>
    <x v="53"/>
    <n v="14.60684"/>
  </r>
  <r>
    <x v="2"/>
    <x v="54"/>
    <n v="14.511246999999999"/>
  </r>
  <r>
    <x v="2"/>
    <x v="55"/>
    <n v="14.721553999999999"/>
  </r>
  <r>
    <x v="2"/>
    <x v="56"/>
    <n v="14.60684"/>
  </r>
  <r>
    <x v="2"/>
    <x v="57"/>
    <n v="14.453889"/>
  </r>
  <r>
    <x v="2"/>
    <x v="58"/>
    <n v="14.549484"/>
  </r>
  <r>
    <x v="2"/>
    <x v="59"/>
    <n v="14.300938"/>
  </r>
  <r>
    <x v="2"/>
    <x v="60"/>
    <n v="14.396533"/>
  </r>
  <r>
    <x v="2"/>
    <x v="61"/>
    <n v="14.358295"/>
  </r>
  <r>
    <x v="2"/>
    <x v="62"/>
    <n v="14.243581000000001"/>
  </r>
  <r>
    <x v="2"/>
    <x v="63"/>
    <n v="14.281819"/>
  </r>
  <r>
    <x v="2"/>
    <x v="64"/>
    <n v="14.377414"/>
  </r>
  <r>
    <x v="2"/>
    <x v="65"/>
    <n v="14.434771"/>
  </r>
  <r>
    <x v="2"/>
    <x v="66"/>
    <n v="15.199526000000001"/>
  </r>
  <r>
    <x v="2"/>
    <x v="67"/>
    <n v="15.295121"/>
  </r>
  <r>
    <x v="2"/>
    <x v="68"/>
    <n v="15.295121"/>
  </r>
  <r>
    <x v="2"/>
    <x v="69"/>
    <n v="15.027456000000001"/>
  </r>
  <r>
    <x v="2"/>
    <x v="70"/>
    <n v="15.103930999999999"/>
  </r>
  <r>
    <x v="2"/>
    <x v="71"/>
    <n v="15.142169000000001"/>
  </r>
  <r>
    <x v="2"/>
    <x v="72"/>
    <n v="15.103930999999999"/>
  </r>
  <r>
    <x v="2"/>
    <x v="73"/>
    <n v="15.008336999999999"/>
  </r>
  <r>
    <x v="2"/>
    <x v="74"/>
    <n v="15.027456000000001"/>
  </r>
  <r>
    <x v="2"/>
    <x v="75"/>
    <n v="15.027456000000001"/>
  </r>
  <r>
    <x v="2"/>
    <x v="76"/>
    <n v="15.237762999999999"/>
  </r>
  <r>
    <x v="2"/>
    <x v="77"/>
    <n v="15.123051"/>
  </r>
  <r>
    <x v="2"/>
    <x v="78"/>
    <n v="15.046576"/>
  </r>
  <r>
    <x v="2"/>
    <x v="79"/>
    <n v="14.262700000000001"/>
  </r>
  <r>
    <x v="2"/>
    <x v="80"/>
    <n v="14.090630000000001"/>
  </r>
  <r>
    <x v="2"/>
    <x v="81"/>
    <n v="14.071510999999999"/>
  </r>
  <r>
    <x v="2"/>
    <x v="82"/>
    <n v="14.224463"/>
  </r>
  <r>
    <x v="2"/>
    <x v="83"/>
    <n v="14.377414"/>
  </r>
  <r>
    <x v="2"/>
    <x v="84"/>
    <n v="14.243581000000001"/>
  </r>
  <r>
    <x v="2"/>
    <x v="85"/>
    <n v="14.320057"/>
  </r>
  <r>
    <x v="2"/>
    <x v="86"/>
    <n v="14.320057"/>
  </r>
  <r>
    <x v="2"/>
    <x v="87"/>
    <n v="14.167104999999999"/>
  </r>
  <r>
    <x v="2"/>
    <x v="88"/>
    <n v="14.243581000000001"/>
  </r>
  <r>
    <x v="2"/>
    <x v="89"/>
    <n v="14.167104999999999"/>
  </r>
  <r>
    <x v="2"/>
    <x v="90"/>
    <n v="14.262700000000001"/>
  </r>
  <r>
    <x v="2"/>
    <x v="91"/>
    <n v="14.473008"/>
  </r>
  <r>
    <x v="2"/>
    <x v="92"/>
    <n v="15.008336999999999"/>
  </r>
  <r>
    <x v="2"/>
    <x v="93"/>
    <n v="14.912744"/>
  </r>
  <r>
    <x v="2"/>
    <x v="94"/>
    <n v="15.218645"/>
  </r>
  <r>
    <x v="2"/>
    <x v="95"/>
    <n v="15.276001000000001"/>
  </r>
  <r>
    <x v="2"/>
    <x v="96"/>
    <n v="15.409834999999999"/>
  </r>
  <r>
    <x v="2"/>
    <x v="97"/>
    <n v="15.486311000000001"/>
  </r>
  <r>
    <x v="2"/>
    <x v="98"/>
    <n v="15.486311000000001"/>
  </r>
  <r>
    <x v="2"/>
    <x v="99"/>
    <n v="15.524547999999999"/>
  </r>
  <r>
    <x v="2"/>
    <x v="100"/>
    <n v="15.505426999999999"/>
  </r>
  <r>
    <x v="2"/>
    <x v="101"/>
    <n v="15.467191"/>
  </r>
  <r>
    <x v="2"/>
    <x v="102"/>
    <n v="15.658379"/>
  </r>
  <r>
    <x v="2"/>
    <x v="103"/>
    <n v="15.486311000000001"/>
  </r>
  <r>
    <x v="2"/>
    <x v="104"/>
    <n v="15.811332999999999"/>
  </r>
  <r>
    <x v="2"/>
    <x v="105"/>
    <n v="16.059875000000002"/>
  </r>
  <r>
    <x v="2"/>
    <x v="106"/>
    <n v="16.078997000000001"/>
  </r>
  <r>
    <x v="2"/>
    <x v="107"/>
    <n v="15.830449"/>
  </r>
  <r>
    <x v="2"/>
    <x v="108"/>
    <n v="15.964283"/>
  </r>
  <r>
    <x v="2"/>
    <x v="109"/>
    <n v="16.117232999999999"/>
  </r>
  <r>
    <x v="2"/>
    <x v="110"/>
    <n v="16.308422"/>
  </r>
  <r>
    <x v="2"/>
    <x v="111"/>
    <n v="16.346661000000001"/>
  </r>
  <r>
    <x v="2"/>
    <x v="112"/>
    <n v="16.327541"/>
  </r>
  <r>
    <x v="2"/>
    <x v="113"/>
    <n v="16.461372000000001"/>
  </r>
  <r>
    <x v="2"/>
    <x v="114"/>
    <n v="16.155472"/>
  </r>
  <r>
    <x v="2"/>
    <x v="115"/>
    <n v="16.078997000000001"/>
  </r>
  <r>
    <x v="2"/>
    <x v="116"/>
    <n v="15.9834"/>
  </r>
  <r>
    <x v="2"/>
    <x v="117"/>
    <n v="15.945164"/>
  </r>
  <r>
    <x v="2"/>
    <x v="118"/>
    <n v="15.945164"/>
  </r>
  <r>
    <x v="2"/>
    <x v="119"/>
    <n v="16.078997000000001"/>
  </r>
  <r>
    <x v="2"/>
    <x v="120"/>
    <n v="15.849568"/>
  </r>
  <r>
    <x v="2"/>
    <x v="121"/>
    <n v="15.887808"/>
  </r>
  <r>
    <x v="2"/>
    <x v="122"/>
    <n v="15.696618000000001"/>
  </r>
  <r>
    <x v="2"/>
    <x v="123"/>
    <n v="15.830449"/>
  </r>
  <r>
    <x v="2"/>
    <x v="124"/>
    <n v="15.849568"/>
  </r>
  <r>
    <x v="2"/>
    <x v="125"/>
    <n v="16.059875000000002"/>
  </r>
  <r>
    <x v="2"/>
    <x v="126"/>
    <n v="16.404018000000001"/>
  </r>
  <r>
    <x v="2"/>
    <x v="127"/>
    <n v="16.327541"/>
  </r>
  <r>
    <x v="2"/>
    <x v="128"/>
    <n v="16.423136"/>
  </r>
  <r>
    <x v="2"/>
    <x v="129"/>
    <n v="16.614325000000001"/>
  </r>
  <r>
    <x v="2"/>
    <x v="130"/>
    <n v="16.729037999999999"/>
  </r>
  <r>
    <x v="2"/>
    <x v="131"/>
    <n v="16.690799999999999"/>
  </r>
  <r>
    <x v="2"/>
    <x v="132"/>
    <n v="16.499611000000002"/>
  </r>
  <r>
    <x v="2"/>
    <x v="133"/>
    <n v="16.786394000000001"/>
  </r>
  <r>
    <x v="2"/>
    <x v="134"/>
    <n v="17.187891"/>
  </r>
  <r>
    <x v="2"/>
    <x v="135"/>
    <n v="17.05406"/>
  </r>
  <r>
    <x v="2"/>
    <x v="136"/>
    <n v="17.207011999999999"/>
  </r>
  <r>
    <x v="2"/>
    <x v="137"/>
    <n v="17.589388"/>
  </r>
  <r>
    <x v="2"/>
    <x v="138"/>
    <n v="17.665865"/>
  </r>
  <r>
    <x v="2"/>
    <x v="139"/>
    <n v="17.799696000000001"/>
  </r>
  <r>
    <x v="2"/>
    <x v="140"/>
    <n v="17.608509000000002"/>
  </r>
  <r>
    <x v="2"/>
    <x v="141"/>
    <n v="17.474675999999999"/>
  </r>
  <r>
    <x v="2"/>
    <x v="142"/>
    <n v="17.512913000000001"/>
  </r>
  <r>
    <x v="2"/>
    <x v="143"/>
    <n v="17.073179"/>
  </r>
  <r>
    <x v="2"/>
    <x v="144"/>
    <n v="16.212827999999998"/>
  </r>
  <r>
    <x v="2"/>
    <x v="145"/>
    <n v="16.729037999999999"/>
  </r>
  <r>
    <x v="2"/>
    <x v="146"/>
    <n v="17.302606999999998"/>
  </r>
  <r>
    <x v="2"/>
    <x v="147"/>
    <n v="17.627625999999999"/>
  </r>
  <r>
    <x v="2"/>
    <x v="148"/>
    <n v="17.608509000000002"/>
  </r>
  <r>
    <x v="2"/>
    <x v="149"/>
    <n v="16.939346"/>
  </r>
  <r>
    <x v="2"/>
    <x v="150"/>
    <n v="16.117232999999999"/>
  </r>
  <r>
    <x v="2"/>
    <x v="151"/>
    <n v="15.9834"/>
  </r>
  <r>
    <x v="2"/>
    <x v="152"/>
    <n v="16.442254999999999"/>
  </r>
  <r>
    <x v="2"/>
    <x v="153"/>
    <n v="14.836266999999999"/>
  </r>
  <r>
    <x v="2"/>
    <x v="154"/>
    <n v="14.582153999999999"/>
  </r>
  <r>
    <x v="2"/>
    <x v="155"/>
    <n v="13.937099"/>
  </r>
  <r>
    <x v="2"/>
    <x v="156"/>
    <n v="14.152118"/>
  </r>
  <r>
    <x v="2"/>
    <x v="157"/>
    <n v="15.031738000000001"/>
  </r>
  <r>
    <x v="2"/>
    <x v="158"/>
    <n v="16.067736"/>
  </r>
  <r>
    <x v="2"/>
    <x v="159"/>
    <n v="17.084187"/>
  </r>
  <r>
    <x v="2"/>
    <x v="160"/>
    <n v="16.067736"/>
  </r>
  <r>
    <x v="2"/>
    <x v="161"/>
    <n v="16.732337999999999"/>
  </r>
  <r>
    <x v="2"/>
    <x v="162"/>
    <n v="16.478225999999999"/>
  </r>
  <r>
    <x v="2"/>
    <x v="163"/>
    <n v="16.419584"/>
  </r>
  <r>
    <x v="2"/>
    <x v="164"/>
    <n v="16.693242999999999"/>
  </r>
  <r>
    <x v="2"/>
    <x v="165"/>
    <n v="16.595509"/>
  </r>
  <r>
    <x v="2"/>
    <x v="166"/>
    <n v="16.888715999999999"/>
  </r>
  <r>
    <x v="2"/>
    <x v="167"/>
    <n v="16.321850000000001"/>
  </r>
  <r>
    <x v="2"/>
    <x v="168"/>
    <n v="16.009094000000001"/>
  </r>
  <r>
    <x v="2"/>
    <x v="169"/>
    <n v="15.833171"/>
  </r>
  <r>
    <x v="2"/>
    <x v="170"/>
    <n v="15.891812"/>
  </r>
  <r>
    <x v="2"/>
    <x v="171"/>
    <n v="15.950453"/>
  </r>
  <r>
    <x v="2"/>
    <x v="172"/>
    <n v="16.106831"/>
  </r>
  <r>
    <x v="2"/>
    <x v="173"/>
    <n v="16.282755000000002"/>
  </r>
  <r>
    <x v="2"/>
    <x v="174"/>
    <n v="16.595509"/>
  </r>
  <r>
    <x v="2"/>
    <x v="175"/>
    <n v="15.950453"/>
  </r>
  <r>
    <x v="2"/>
    <x v="176"/>
    <n v="15.676793999999999"/>
  </r>
  <r>
    <x v="2"/>
    <x v="177"/>
    <n v="15.579058"/>
  </r>
  <r>
    <x v="2"/>
    <x v="178"/>
    <n v="16.165472000000001"/>
  </r>
  <r>
    <x v="2"/>
    <x v="179"/>
    <n v="15.950453"/>
  </r>
  <r>
    <x v="2"/>
    <x v="180"/>
    <n v="15.794076"/>
  </r>
  <r>
    <x v="2"/>
    <x v="181"/>
    <n v="16.282755000000002"/>
  </r>
  <r>
    <x v="2"/>
    <x v="182"/>
    <n v="16.458679"/>
  </r>
  <r>
    <x v="2"/>
    <x v="183"/>
    <n v="16.360942999999999"/>
  </r>
  <r>
    <x v="2"/>
    <x v="184"/>
    <n v="16.126377000000002"/>
  </r>
  <r>
    <x v="2"/>
    <x v="185"/>
    <n v="16.028641"/>
  </r>
  <r>
    <x v="2"/>
    <x v="186"/>
    <n v="16.028641"/>
  </r>
  <r>
    <x v="2"/>
    <x v="187"/>
    <n v="15.676793999999999"/>
  </r>
  <r>
    <x v="2"/>
    <x v="188"/>
    <n v="16.009094000000001"/>
  </r>
  <r>
    <x v="2"/>
    <x v="189"/>
    <n v="15.872265000000001"/>
  </r>
  <r>
    <x v="2"/>
    <x v="190"/>
    <n v="17.103732999999998"/>
  </r>
  <r>
    <x v="2"/>
    <x v="191"/>
    <n v="17.103732999999998"/>
  </r>
  <r>
    <x v="2"/>
    <x v="192"/>
    <n v="16.986450000000001"/>
  </r>
  <r>
    <x v="2"/>
    <x v="193"/>
    <n v="16.790979"/>
  </r>
  <r>
    <x v="2"/>
    <x v="194"/>
    <n v="16.712790999999999"/>
  </r>
  <r>
    <x v="2"/>
    <x v="195"/>
    <n v="16.282755000000002"/>
  </r>
  <r>
    <x v="2"/>
    <x v="196"/>
    <n v="16.185019"/>
  </r>
  <r>
    <x v="2"/>
    <x v="197"/>
    <n v="16.360942999999999"/>
  </r>
  <r>
    <x v="2"/>
    <x v="198"/>
    <n v="16.654150000000001"/>
  </r>
  <r>
    <x v="2"/>
    <x v="199"/>
    <n v="16.673697000000001"/>
  </r>
  <r>
    <x v="2"/>
    <x v="200"/>
    <n v="16.966904"/>
  </r>
  <r>
    <x v="2"/>
    <x v="201"/>
    <n v="17.181920999999999"/>
  </r>
  <r>
    <x v="2"/>
    <x v="202"/>
    <n v="17.005997000000001"/>
  </r>
  <r>
    <x v="2"/>
    <x v="203"/>
    <n v="17.103732999999998"/>
  </r>
  <r>
    <x v="2"/>
    <x v="204"/>
    <n v="17.260110999999998"/>
  </r>
  <r>
    <x v="2"/>
    <x v="205"/>
    <n v="17.905165"/>
  </r>
  <r>
    <x v="2"/>
    <x v="206"/>
    <n v="18.022449000000002"/>
  </r>
  <r>
    <x v="2"/>
    <x v="207"/>
    <n v="17.983355"/>
  </r>
  <r>
    <x v="2"/>
    <x v="208"/>
    <n v="17.651052"/>
  </r>
  <r>
    <x v="2"/>
    <x v="209"/>
    <n v="18.002901000000001"/>
  </r>
  <r>
    <x v="2"/>
    <x v="210"/>
    <n v="17.533771999999999"/>
  </r>
  <r>
    <x v="2"/>
    <x v="211"/>
    <n v="17.396940000000001"/>
  </r>
  <r>
    <x v="2"/>
    <x v="212"/>
    <n v="17.338298999999999"/>
  </r>
  <r>
    <x v="2"/>
    <x v="213"/>
    <n v="17.553315999999999"/>
  </r>
  <r>
    <x v="2"/>
    <x v="214"/>
    <n v="17.436035"/>
  </r>
  <r>
    <x v="2"/>
    <x v="215"/>
    <n v="17.670601000000001"/>
  </r>
  <r>
    <x v="2"/>
    <x v="216"/>
    <n v="17.709696000000001"/>
  </r>
  <r>
    <x v="2"/>
    <x v="217"/>
    <n v="17.963806000000002"/>
  </r>
  <r>
    <x v="2"/>
    <x v="218"/>
    <n v="18.198374000000001"/>
  </r>
  <r>
    <x v="2"/>
    <x v="219"/>
    <n v="18.081088999999999"/>
  </r>
  <r>
    <x v="2"/>
    <x v="220"/>
    <n v="18.198374000000001"/>
  </r>
  <r>
    <x v="2"/>
    <x v="221"/>
    <n v="18.335203"/>
  </r>
  <r>
    <x v="2"/>
    <x v="222"/>
    <n v="18.041993999999999"/>
  </r>
  <r>
    <x v="2"/>
    <x v="223"/>
    <n v="17.807428000000002"/>
  </r>
  <r>
    <x v="2"/>
    <x v="224"/>
    <n v="18.432938"/>
  </r>
  <r>
    <x v="2"/>
    <x v="225"/>
    <n v="18.159279000000002"/>
  </r>
  <r>
    <x v="2"/>
    <x v="226"/>
    <n v="18.374296000000001"/>
  </r>
  <r>
    <x v="2"/>
    <x v="227"/>
    <n v="18.589314999999999"/>
  </r>
  <r>
    <x v="2"/>
    <x v="228"/>
    <n v="18.765239999999999"/>
  </r>
  <r>
    <x v="2"/>
    <x v="229"/>
    <n v="18.941161999999998"/>
  </r>
  <r>
    <x v="2"/>
    <x v="230"/>
    <n v="19.234369000000001"/>
  </r>
  <r>
    <x v="2"/>
    <x v="231"/>
    <n v="19.136634999999998"/>
  </r>
  <r>
    <x v="2"/>
    <x v="232"/>
    <n v="19.293011"/>
  </r>
  <r>
    <x v="2"/>
    <x v="233"/>
    <n v="19.195274000000001"/>
  </r>
  <r>
    <x v="2"/>
    <x v="234"/>
    <n v="19.156181"/>
  </r>
  <r>
    <x v="2"/>
    <x v="235"/>
    <n v="19.449389"/>
  </r>
  <r>
    <x v="2"/>
    <x v="236"/>
    <n v="19.253917999999999"/>
  </r>
  <r>
    <x v="2"/>
    <x v="237"/>
    <n v="19.351652000000001"/>
  </r>
  <r>
    <x v="2"/>
    <x v="238"/>
    <n v="19.351652000000001"/>
  </r>
  <r>
    <x v="2"/>
    <x v="239"/>
    <n v="19.312559"/>
  </r>
  <r>
    <x v="2"/>
    <x v="240"/>
    <n v="19.595991000000001"/>
  </r>
  <r>
    <x v="2"/>
    <x v="241"/>
    <n v="19.449389"/>
  </r>
  <r>
    <x v="2"/>
    <x v="242"/>
    <n v="19.986934999999999"/>
  </r>
  <r>
    <x v="2"/>
    <x v="243"/>
    <n v="19.742595999999999"/>
  </r>
  <r>
    <x v="2"/>
    <x v="244"/>
    <n v="19.595991000000001"/>
  </r>
  <r>
    <x v="2"/>
    <x v="245"/>
    <n v="19.547122999999999"/>
  </r>
  <r>
    <x v="2"/>
    <x v="246"/>
    <n v="20.084669000000002"/>
  </r>
  <r>
    <x v="2"/>
    <x v="247"/>
    <n v="20.280142000000001"/>
  </r>
  <r>
    <x v="2"/>
    <x v="248"/>
    <n v="20.133537"/>
  </r>
  <r>
    <x v="2"/>
    <x v="249"/>
    <n v="20.622215000000001"/>
  </r>
  <r>
    <x v="2"/>
    <x v="250"/>
    <n v="20.426743999999999"/>
  </r>
  <r>
    <x v="2"/>
    <x v="251"/>
    <n v="20.280142000000001"/>
  </r>
  <r>
    <x v="2"/>
    <x v="252"/>
    <n v="20.524481000000002"/>
  </r>
  <r>
    <x v="2"/>
    <x v="253"/>
    <n v="20.671082999999999"/>
  </r>
  <r>
    <x v="2"/>
    <x v="254"/>
    <n v="20.817685999999998"/>
  </r>
  <r>
    <x v="2"/>
    <x v="255"/>
    <n v="20.719951999999999"/>
  </r>
  <r>
    <x v="2"/>
    <x v="256"/>
    <n v="20.524481000000002"/>
  </r>
  <r>
    <x v="2"/>
    <x v="257"/>
    <n v="20.426743999999999"/>
  </r>
  <r>
    <x v="2"/>
    <x v="258"/>
    <n v="20.475612999999999"/>
  </r>
  <r>
    <x v="2"/>
    <x v="259"/>
    <n v="20.426743999999999"/>
  </r>
  <r>
    <x v="2"/>
    <x v="260"/>
    <n v="20.426743999999999"/>
  </r>
  <r>
    <x v="2"/>
    <x v="261"/>
    <n v="19.938065999999999"/>
  </r>
  <r>
    <x v="2"/>
    <x v="262"/>
    <n v="20.280142000000001"/>
  </r>
  <r>
    <x v="2"/>
    <x v="263"/>
    <n v="20.475612999999999"/>
  </r>
  <r>
    <x v="2"/>
    <x v="264"/>
    <n v="20.377876000000001"/>
  </r>
  <r>
    <x v="2"/>
    <x v="265"/>
    <n v="20.084669000000002"/>
  </r>
  <r>
    <x v="2"/>
    <x v="266"/>
    <n v="20.133537"/>
  </r>
  <r>
    <x v="2"/>
    <x v="267"/>
    <n v="20.182404999999999"/>
  </r>
  <r>
    <x v="2"/>
    <x v="268"/>
    <n v="19.742595999999999"/>
  </r>
  <r>
    <x v="2"/>
    <x v="269"/>
    <n v="19.547122999999999"/>
  </r>
  <r>
    <x v="2"/>
    <x v="270"/>
    <n v="19.840330000000002"/>
  </r>
  <r>
    <x v="2"/>
    <x v="271"/>
    <n v="20.182404999999999"/>
  </r>
  <r>
    <x v="2"/>
    <x v="272"/>
    <n v="20.084669000000002"/>
  </r>
  <r>
    <x v="2"/>
    <x v="273"/>
    <n v="19.791464000000001"/>
  </r>
  <r>
    <x v="2"/>
    <x v="274"/>
    <n v="19.019349999999999"/>
  </r>
  <r>
    <x v="2"/>
    <x v="275"/>
    <n v="19.449389"/>
  </r>
  <r>
    <x v="2"/>
    <x v="276"/>
    <n v="19.312559"/>
  </r>
  <r>
    <x v="2"/>
    <x v="277"/>
    <n v="19.429839999999999"/>
  </r>
  <r>
    <x v="2"/>
    <x v="278"/>
    <n v="18.726144999999999"/>
  </r>
  <r>
    <x v="2"/>
    <x v="279"/>
    <n v="18.823881"/>
  </r>
  <r>
    <x v="2"/>
    <x v="280"/>
    <n v="18.843427999999999"/>
  </r>
  <r>
    <x v="2"/>
    <x v="281"/>
    <n v="19.058444999999999"/>
  </r>
  <r>
    <x v="2"/>
    <x v="282"/>
    <n v="18.862974000000001"/>
  </r>
  <r>
    <x v="2"/>
    <x v="283"/>
    <n v="18.804333"/>
  </r>
  <r>
    <x v="2"/>
    <x v="284"/>
    <n v="18.628408"/>
  </r>
  <r>
    <x v="2"/>
    <x v="285"/>
    <n v="18.530671999999999"/>
  </r>
  <r>
    <x v="2"/>
    <x v="286"/>
    <n v="18.628408"/>
  </r>
  <r>
    <x v="2"/>
    <x v="287"/>
    <n v="18.687052000000001"/>
  </r>
  <r>
    <x v="2"/>
    <x v="288"/>
    <n v="18.472033"/>
  </r>
  <r>
    <x v="2"/>
    <x v="289"/>
    <n v="17.866071999999999"/>
  </r>
  <r>
    <x v="2"/>
    <x v="290"/>
    <n v="17.963806000000002"/>
  </r>
  <r>
    <x v="2"/>
    <x v="291"/>
    <n v="17.846525"/>
  </r>
  <r>
    <x v="2"/>
    <x v="292"/>
    <n v="17.924713000000001"/>
  </r>
  <r>
    <x v="2"/>
    <x v="293"/>
    <n v="17.787883999999998"/>
  </r>
  <r>
    <x v="2"/>
    <x v="294"/>
    <n v="17.866071999999999"/>
  </r>
  <r>
    <x v="2"/>
    <x v="295"/>
    <n v="17.826976999999999"/>
  </r>
  <r>
    <x v="2"/>
    <x v="296"/>
    <n v="17.846525"/>
  </r>
  <r>
    <x v="2"/>
    <x v="297"/>
    <n v="17.826976999999999"/>
  </r>
  <r>
    <x v="2"/>
    <x v="298"/>
    <n v="17.846525"/>
  </r>
  <r>
    <x v="2"/>
    <x v="299"/>
    <n v="17.963806000000002"/>
  </r>
  <r>
    <x v="2"/>
    <x v="300"/>
    <n v="18.198374000000001"/>
  </r>
  <r>
    <x v="2"/>
    <x v="301"/>
    <n v="18.13973"/>
  </r>
  <r>
    <x v="2"/>
    <x v="302"/>
    <n v="17.94426"/>
  </r>
  <r>
    <x v="2"/>
    <x v="303"/>
    <n v="17.983355"/>
  </r>
  <r>
    <x v="2"/>
    <x v="304"/>
    <n v="17.826976999999999"/>
  </r>
  <r>
    <x v="2"/>
    <x v="305"/>
    <n v="17.885618000000001"/>
  </r>
  <r>
    <x v="2"/>
    <x v="306"/>
    <n v="17.787883999999998"/>
  </r>
  <r>
    <x v="2"/>
    <x v="307"/>
    <n v="17.494675000000001"/>
  </r>
  <r>
    <x v="2"/>
    <x v="308"/>
    <n v="17.494675000000001"/>
  </r>
  <r>
    <x v="2"/>
    <x v="309"/>
    <n v="17.533771999999999"/>
  </r>
  <r>
    <x v="2"/>
    <x v="310"/>
    <n v="17.357845000000001"/>
  </r>
  <r>
    <x v="2"/>
    <x v="311"/>
    <n v="17.279657"/>
  </r>
  <r>
    <x v="2"/>
    <x v="312"/>
    <n v="17.005997000000001"/>
  </r>
  <r>
    <x v="2"/>
    <x v="313"/>
    <n v="17.162374"/>
  </r>
  <r>
    <x v="2"/>
    <x v="314"/>
    <n v="17.299206000000002"/>
  </r>
  <r>
    <x v="2"/>
    <x v="315"/>
    <n v="17.494675000000001"/>
  </r>
  <r>
    <x v="2"/>
    <x v="316"/>
    <n v="17.572865"/>
  </r>
  <r>
    <x v="2"/>
    <x v="317"/>
    <n v="17.807428000000002"/>
  </r>
  <r>
    <x v="2"/>
    <x v="318"/>
    <n v="17.142828000000002"/>
  </r>
  <r>
    <x v="2"/>
    <x v="319"/>
    <n v="17.181920999999999"/>
  </r>
  <r>
    <x v="2"/>
    <x v="320"/>
    <n v="17.084187"/>
  </r>
  <r>
    <x v="2"/>
    <x v="321"/>
    <n v="17.181920999999999"/>
  </r>
  <r>
    <x v="2"/>
    <x v="322"/>
    <n v="17.299206000000002"/>
  </r>
  <r>
    <x v="2"/>
    <x v="323"/>
    <n v="17.123280999999999"/>
  </r>
  <r>
    <x v="2"/>
    <x v="324"/>
    <n v="16.908262000000001"/>
  </r>
  <r>
    <x v="2"/>
    <x v="325"/>
    <n v="16.869167000000001"/>
  </r>
  <r>
    <x v="2"/>
    <x v="326"/>
    <n v="16.888715999999999"/>
  </r>
  <r>
    <x v="2"/>
    <x v="327"/>
    <n v="16.927809"/>
  </r>
  <r>
    <x v="2"/>
    <x v="328"/>
    <n v="16.673697000000001"/>
  </r>
  <r>
    <x v="2"/>
    <x v="329"/>
    <n v="16.771432999999998"/>
  </r>
  <r>
    <x v="2"/>
    <x v="330"/>
    <n v="17.123280999999999"/>
  </r>
  <r>
    <x v="2"/>
    <x v="331"/>
    <n v="16.673697000000001"/>
  </r>
  <r>
    <x v="2"/>
    <x v="332"/>
    <n v="17.142828000000002"/>
  </r>
  <r>
    <x v="2"/>
    <x v="333"/>
    <n v="17.123280999999999"/>
  </r>
  <r>
    <x v="2"/>
    <x v="334"/>
    <n v="17.123280999999999"/>
  </r>
  <r>
    <x v="2"/>
    <x v="335"/>
    <n v="17.103732999999998"/>
  </r>
  <r>
    <x v="2"/>
    <x v="336"/>
    <n v="16.966904"/>
  </r>
  <r>
    <x v="2"/>
    <x v="337"/>
    <n v="16.400037999999999"/>
  </r>
  <r>
    <x v="2"/>
    <x v="338"/>
    <n v="16.908262000000001"/>
  </r>
  <r>
    <x v="2"/>
    <x v="339"/>
    <n v="16.654150000000001"/>
  </r>
  <r>
    <x v="2"/>
    <x v="340"/>
    <n v="16.790979"/>
  </r>
  <r>
    <x v="2"/>
    <x v="341"/>
    <n v="17.045092"/>
  </r>
  <r>
    <x v="2"/>
    <x v="342"/>
    <n v="16.810528000000001"/>
  </r>
  <r>
    <x v="2"/>
    <x v="343"/>
    <n v="16.947357"/>
  </r>
  <r>
    <x v="2"/>
    <x v="344"/>
    <n v="16.908262000000001"/>
  </r>
  <r>
    <x v="2"/>
    <x v="345"/>
    <n v="17.201468999999999"/>
  </r>
  <r>
    <x v="2"/>
    <x v="346"/>
    <n v="16.986450000000001"/>
  </r>
  <r>
    <x v="2"/>
    <x v="347"/>
    <n v="17.201468999999999"/>
  </r>
  <r>
    <x v="2"/>
    <x v="348"/>
    <n v="17.514223000000001"/>
  </r>
  <r>
    <x v="2"/>
    <x v="349"/>
    <n v="17.533771999999999"/>
  </r>
  <r>
    <x v="2"/>
    <x v="350"/>
    <n v="17.299206000000002"/>
  </r>
  <r>
    <x v="2"/>
    <x v="351"/>
    <n v="17.279657"/>
  </r>
  <r>
    <x v="2"/>
    <x v="352"/>
    <n v="17.494675000000001"/>
  </r>
  <r>
    <x v="2"/>
    <x v="353"/>
    <n v="17.475128000000002"/>
  </r>
  <r>
    <x v="2"/>
    <x v="354"/>
    <n v="17.748788999999999"/>
  </r>
  <r>
    <x v="2"/>
    <x v="355"/>
    <n v="17.690147"/>
  </r>
  <r>
    <x v="2"/>
    <x v="356"/>
    <n v="17.983355"/>
  </r>
  <r>
    <x v="2"/>
    <x v="357"/>
    <n v="17.572865"/>
  </r>
  <r>
    <x v="2"/>
    <x v="358"/>
    <n v="17.240562000000001"/>
  </r>
  <r>
    <x v="2"/>
    <x v="359"/>
    <n v="17.611958999999999"/>
  </r>
  <r>
    <x v="2"/>
    <x v="360"/>
    <n v="17.494675000000001"/>
  </r>
  <r>
    <x v="2"/>
    <x v="361"/>
    <n v="17.611958999999999"/>
  </r>
  <r>
    <x v="2"/>
    <x v="362"/>
    <n v="17.807428000000002"/>
  </r>
  <r>
    <x v="2"/>
    <x v="363"/>
    <n v="17.709696000000001"/>
  </r>
  <r>
    <x v="2"/>
    <x v="364"/>
    <n v="17.748788999999999"/>
  </r>
  <r>
    <x v="2"/>
    <x v="365"/>
    <n v="17.748788999999999"/>
  </r>
  <r>
    <x v="2"/>
    <x v="366"/>
    <n v="17.690147"/>
  </r>
  <r>
    <x v="2"/>
    <x v="367"/>
    <n v="17.729240000000001"/>
  </r>
  <r>
    <x v="2"/>
    <x v="368"/>
    <n v="17.377393999999999"/>
  </r>
  <r>
    <x v="2"/>
    <x v="369"/>
    <n v="17.709696000000001"/>
  </r>
  <r>
    <x v="2"/>
    <x v="370"/>
    <n v="17.611958999999999"/>
  </r>
  <r>
    <x v="2"/>
    <x v="371"/>
    <n v="17.416487"/>
  </r>
  <r>
    <x v="2"/>
    <x v="372"/>
    <n v="17.338298999999999"/>
  </r>
  <r>
    <x v="2"/>
    <x v="373"/>
    <n v="17.260110999999998"/>
  </r>
  <r>
    <x v="2"/>
    <x v="374"/>
    <n v="17.181920999999999"/>
  </r>
  <r>
    <x v="2"/>
    <x v="375"/>
    <n v="17.494675000000001"/>
  </r>
  <r>
    <x v="2"/>
    <x v="376"/>
    <n v="17.494675000000001"/>
  </r>
  <r>
    <x v="2"/>
    <x v="377"/>
    <n v="17.514223000000001"/>
  </r>
  <r>
    <x v="2"/>
    <x v="378"/>
    <n v="17.494675000000001"/>
  </r>
  <r>
    <x v="2"/>
    <x v="379"/>
    <n v="17.279657"/>
  </r>
  <r>
    <x v="2"/>
    <x v="380"/>
    <n v="17.240562000000001"/>
  </r>
  <r>
    <x v="2"/>
    <x v="381"/>
    <n v="17.299206000000002"/>
  </r>
  <r>
    <x v="2"/>
    <x v="382"/>
    <n v="16.947357"/>
  </r>
  <r>
    <x v="2"/>
    <x v="383"/>
    <n v="17.142828000000002"/>
  </r>
  <r>
    <x v="2"/>
    <x v="384"/>
    <n v="17.142828000000002"/>
  </r>
  <r>
    <x v="2"/>
    <x v="385"/>
    <n v="17.142828000000002"/>
  </r>
  <r>
    <x v="2"/>
    <x v="386"/>
    <n v="17.103732999999998"/>
  </r>
  <r>
    <x v="2"/>
    <x v="387"/>
    <n v="17.201468999999999"/>
  </r>
  <r>
    <x v="2"/>
    <x v="388"/>
    <n v="16.302301"/>
  </r>
  <r>
    <x v="2"/>
    <x v="389"/>
    <n v="15.872265000000001"/>
  </r>
  <r>
    <x v="2"/>
    <x v="390"/>
    <n v="15.97"/>
  </r>
  <r>
    <x v="2"/>
    <x v="391"/>
    <n v="15.618152"/>
  </r>
  <r>
    <x v="2"/>
    <x v="392"/>
    <n v="15.481322"/>
  </r>
  <r>
    <x v="2"/>
    <x v="393"/>
    <n v="15.637699"/>
  </r>
  <r>
    <x v="2"/>
    <x v="394"/>
    <n v="15.520416000000001"/>
  </r>
  <r>
    <x v="2"/>
    <x v="395"/>
    <n v="15.618152"/>
  </r>
  <r>
    <x v="2"/>
    <x v="396"/>
    <n v="15.598604999999999"/>
  </r>
  <r>
    <x v="2"/>
    <x v="397"/>
    <n v="15.637699"/>
  </r>
  <r>
    <x v="2"/>
    <x v="398"/>
    <n v="15.735435000000001"/>
  </r>
  <r>
    <x v="2"/>
    <x v="399"/>
    <n v="15.735435000000001"/>
  </r>
  <r>
    <x v="2"/>
    <x v="400"/>
    <n v="15.657247"/>
  </r>
  <r>
    <x v="2"/>
    <x v="401"/>
    <n v="15.598604999999999"/>
  </r>
  <r>
    <x v="2"/>
    <x v="402"/>
    <n v="15.950453"/>
  </r>
  <r>
    <x v="2"/>
    <x v="403"/>
    <n v="16.028641"/>
  </r>
  <r>
    <x v="2"/>
    <x v="404"/>
    <n v="15.872265000000001"/>
  </r>
  <r>
    <x v="2"/>
    <x v="405"/>
    <n v="16.126377000000002"/>
  </r>
  <r>
    <x v="2"/>
    <x v="406"/>
    <n v="16.282755000000002"/>
  </r>
  <r>
    <x v="2"/>
    <x v="407"/>
    <n v="15.97"/>
  </r>
  <r>
    <x v="2"/>
    <x v="408"/>
    <n v="15.84"/>
  </r>
  <r>
    <x v="2"/>
    <x v="409"/>
    <n v="16.02"/>
  </r>
  <r>
    <x v="2"/>
    <x v="410"/>
    <n v="16.079999999999998"/>
  </r>
  <r>
    <x v="2"/>
    <x v="411"/>
    <n v="16.399999999999999"/>
  </r>
  <r>
    <x v="2"/>
    <x v="412"/>
    <n v="16.559999000000001"/>
  </r>
  <r>
    <x v="2"/>
    <x v="413"/>
    <n v="16.600000000000001"/>
  </r>
  <r>
    <x v="2"/>
    <x v="414"/>
    <n v="16.68"/>
  </r>
  <r>
    <x v="2"/>
    <x v="415"/>
    <n v="16.68"/>
  </r>
  <r>
    <x v="2"/>
    <x v="416"/>
    <n v="16.68"/>
  </r>
  <r>
    <x v="2"/>
    <x v="417"/>
    <n v="16.68"/>
  </r>
  <r>
    <x v="2"/>
    <x v="418"/>
    <n v="16.709999"/>
  </r>
  <r>
    <x v="2"/>
    <x v="419"/>
    <n v="16.920000000000002"/>
  </r>
  <r>
    <x v="2"/>
    <x v="420"/>
    <n v="17.27"/>
  </r>
  <r>
    <x v="2"/>
    <x v="421"/>
    <n v="17.260000000000002"/>
  </r>
  <r>
    <x v="2"/>
    <x v="422"/>
    <n v="17.209999"/>
  </r>
  <r>
    <x v="2"/>
    <x v="423"/>
    <n v="17.290001"/>
  </r>
  <r>
    <x v="2"/>
    <x v="424"/>
    <n v="17.360001"/>
  </r>
  <r>
    <x v="2"/>
    <x v="425"/>
    <n v="17.34"/>
  </r>
  <r>
    <x v="2"/>
    <x v="426"/>
    <n v="17.489999999999998"/>
  </r>
  <r>
    <x v="2"/>
    <x v="427"/>
    <n v="17.68"/>
  </r>
  <r>
    <x v="2"/>
    <x v="428"/>
    <n v="17.82"/>
  </r>
  <r>
    <x v="2"/>
    <x v="429"/>
    <n v="17.899999999999999"/>
  </r>
  <r>
    <x v="2"/>
    <x v="430"/>
    <n v="17.799999"/>
  </r>
  <r>
    <x v="2"/>
    <x v="431"/>
    <n v="17.959999"/>
  </r>
  <r>
    <x v="2"/>
    <x v="432"/>
    <n v="17.870000999999998"/>
  </r>
  <r>
    <x v="2"/>
    <x v="433"/>
    <n v="17.879999000000002"/>
  </r>
  <r>
    <x v="2"/>
    <x v="434"/>
    <n v="17.860001"/>
  </r>
  <r>
    <x v="2"/>
    <x v="435"/>
    <n v="17.91"/>
  </r>
  <r>
    <x v="2"/>
    <x v="436"/>
    <n v="17.989999999999998"/>
  </r>
  <r>
    <x v="2"/>
    <x v="437"/>
    <n v="18.030000999999999"/>
  </r>
  <r>
    <x v="2"/>
    <x v="438"/>
    <n v="17.969999000000001"/>
  </r>
  <r>
    <x v="2"/>
    <x v="439"/>
    <n v="17.93"/>
  </r>
  <r>
    <x v="2"/>
    <x v="440"/>
    <n v="17.82"/>
  </r>
  <r>
    <x v="2"/>
    <x v="441"/>
    <n v="17.899999999999999"/>
  </r>
  <r>
    <x v="2"/>
    <x v="442"/>
    <n v="17.93"/>
  </r>
  <r>
    <x v="2"/>
    <x v="443"/>
    <n v="17.969999000000001"/>
  </r>
  <r>
    <x v="2"/>
    <x v="444"/>
    <n v="17.82"/>
  </r>
  <r>
    <x v="2"/>
    <x v="445"/>
    <n v="17.780000999999999"/>
  </r>
  <r>
    <x v="2"/>
    <x v="446"/>
    <n v="17.850000000000001"/>
  </r>
  <r>
    <x v="2"/>
    <x v="447"/>
    <n v="17.879999000000002"/>
  </r>
  <r>
    <x v="2"/>
    <x v="448"/>
    <n v="18.329999999999998"/>
  </r>
  <r>
    <x v="2"/>
    <x v="449"/>
    <n v="18.23"/>
  </r>
  <r>
    <x v="2"/>
    <x v="450"/>
    <n v="18.350000000000001"/>
  </r>
  <r>
    <x v="2"/>
    <x v="451"/>
    <n v="18.440000999999999"/>
  </r>
  <r>
    <x v="2"/>
    <x v="452"/>
    <n v="18.440000999999999"/>
  </r>
  <r>
    <x v="2"/>
    <x v="453"/>
    <n v="18.809999000000001"/>
  </r>
  <r>
    <x v="2"/>
    <x v="454"/>
    <n v="18.799999"/>
  </r>
  <r>
    <x v="2"/>
    <x v="455"/>
    <n v="18.760000000000002"/>
  </r>
  <r>
    <x v="2"/>
    <x v="456"/>
    <n v="18.790001"/>
  </r>
  <r>
    <x v="2"/>
    <x v="457"/>
    <n v="18.73"/>
  </r>
  <r>
    <x v="2"/>
    <x v="458"/>
    <n v="18.879999000000002"/>
  </r>
  <r>
    <x v="2"/>
    <x v="459"/>
    <n v="18.93"/>
  </r>
  <r>
    <x v="2"/>
    <x v="460"/>
    <n v="18.780000999999999"/>
  </r>
  <r>
    <x v="2"/>
    <x v="461"/>
    <n v="18.989999999999998"/>
  </r>
  <r>
    <x v="2"/>
    <x v="462"/>
    <n v="19.110001"/>
  </r>
  <r>
    <x v="2"/>
    <x v="463"/>
    <n v="19.149999999999999"/>
  </r>
  <r>
    <x v="2"/>
    <x v="464"/>
    <n v="19.43"/>
  </r>
  <r>
    <x v="2"/>
    <x v="465"/>
    <n v="19.25"/>
  </r>
  <r>
    <x v="2"/>
    <x v="466"/>
    <n v="19.219999000000001"/>
  </r>
  <r>
    <x v="2"/>
    <x v="467"/>
    <n v="19.440000999999999"/>
  </r>
  <r>
    <x v="2"/>
    <x v="468"/>
    <n v="19.670000000000002"/>
  </r>
  <r>
    <x v="2"/>
    <x v="469"/>
    <n v="19.510000000000002"/>
  </r>
  <r>
    <x v="2"/>
    <x v="470"/>
    <n v="19.079999999999998"/>
  </r>
  <r>
    <x v="2"/>
    <x v="471"/>
    <n v="19.239999999999998"/>
  </r>
  <r>
    <x v="2"/>
    <x v="472"/>
    <n v="19.190000999999999"/>
  </r>
  <r>
    <x v="2"/>
    <x v="473"/>
    <n v="19.32"/>
  </r>
  <r>
    <x v="2"/>
    <x v="474"/>
    <n v="19.18"/>
  </r>
  <r>
    <x v="2"/>
    <x v="475"/>
    <n v="19.280000999999999"/>
  </r>
  <r>
    <x v="2"/>
    <x v="476"/>
    <n v="19.459999"/>
  </r>
  <r>
    <x v="2"/>
    <x v="477"/>
    <n v="19.399999999999999"/>
  </r>
  <r>
    <x v="2"/>
    <x v="478"/>
    <n v="19.27"/>
  </r>
  <r>
    <x v="2"/>
    <x v="479"/>
    <n v="19.34"/>
  </r>
  <r>
    <x v="2"/>
    <x v="480"/>
    <n v="19.600000000000001"/>
  </r>
  <r>
    <x v="2"/>
    <x v="481"/>
    <n v="19.649999999999999"/>
  </r>
  <r>
    <x v="2"/>
    <x v="482"/>
    <n v="20.16"/>
  </r>
  <r>
    <x v="2"/>
    <x v="483"/>
    <n v="20.219999000000001"/>
  </r>
  <r>
    <x v="2"/>
    <x v="484"/>
    <n v="20.200001"/>
  </r>
  <r>
    <x v="2"/>
    <x v="485"/>
    <n v="20.540001"/>
  </r>
  <r>
    <x v="2"/>
    <x v="486"/>
    <n v="20.92"/>
  </r>
  <r>
    <x v="2"/>
    <x v="487"/>
    <n v="20.66"/>
  </r>
  <r>
    <x v="2"/>
    <x v="488"/>
    <n v="20.66"/>
  </r>
  <r>
    <x v="2"/>
    <x v="489"/>
    <n v="20.540001"/>
  </r>
  <r>
    <x v="2"/>
    <x v="490"/>
    <n v="20.82"/>
  </r>
  <r>
    <x v="2"/>
    <x v="491"/>
    <n v="20.6"/>
  </r>
  <r>
    <x v="2"/>
    <x v="492"/>
    <n v="20.700001"/>
  </r>
  <r>
    <x v="2"/>
    <x v="493"/>
    <n v="20.82"/>
  </r>
  <r>
    <x v="2"/>
    <x v="494"/>
    <n v="20.68"/>
  </r>
  <r>
    <x v="2"/>
    <x v="495"/>
    <n v="20.98"/>
  </r>
  <r>
    <x v="2"/>
    <x v="496"/>
    <n v="20.639999"/>
  </r>
  <r>
    <x v="2"/>
    <x v="497"/>
    <n v="20.700001"/>
  </r>
  <r>
    <x v="2"/>
    <x v="498"/>
    <n v="20.66"/>
  </r>
  <r>
    <x v="2"/>
    <x v="499"/>
    <n v="20.5"/>
  </r>
  <r>
    <x v="2"/>
    <x v="500"/>
    <n v="20.76"/>
  </r>
  <r>
    <x v="3"/>
    <x v="0"/>
    <n v="24.382850999999999"/>
  </r>
  <r>
    <x v="3"/>
    <x v="1"/>
    <n v="24.075806"/>
  </r>
  <r>
    <x v="3"/>
    <x v="2"/>
    <n v="23.615241999999999"/>
  </r>
  <r>
    <x v="3"/>
    <x v="3"/>
    <n v="23.506875999999998"/>
  </r>
  <r>
    <x v="3"/>
    <x v="4"/>
    <n v="23.190802000000001"/>
  </r>
  <r>
    <x v="3"/>
    <x v="5"/>
    <n v="23.515906999999999"/>
  </r>
  <r>
    <x v="3"/>
    <x v="6"/>
    <n v="23.281106999999999"/>
  </r>
  <r>
    <x v="3"/>
    <x v="7"/>
    <n v="23.100494000000001"/>
  </r>
  <r>
    <x v="3"/>
    <x v="8"/>
    <n v="23.434629000000001"/>
  </r>
  <r>
    <x v="3"/>
    <x v="9"/>
    <n v="22.946971999999999"/>
  </r>
  <r>
    <x v="3"/>
    <x v="10"/>
    <n v="23.064373"/>
  </r>
  <r>
    <x v="3"/>
    <x v="11"/>
    <n v="23.506875999999998"/>
  </r>
  <r>
    <x v="3"/>
    <x v="12"/>
    <n v="23.768764000000001"/>
  </r>
  <r>
    <x v="3"/>
    <x v="13"/>
    <n v="23.272078"/>
  </r>
  <r>
    <x v="3"/>
    <x v="14"/>
    <n v="23.895192999999999"/>
  </r>
  <r>
    <x v="3"/>
    <x v="15"/>
    <n v="24.021623999999999"/>
  </r>
  <r>
    <x v="3"/>
    <x v="16"/>
    <n v="23.579122999999999"/>
  </r>
  <r>
    <x v="3"/>
    <x v="17"/>
    <n v="23.443659"/>
  </r>
  <r>
    <x v="3"/>
    <x v="18"/>
    <n v="23.443659"/>
  </r>
  <r>
    <x v="3"/>
    <x v="19"/>
    <n v="23.055342"/>
  </r>
  <r>
    <x v="3"/>
    <x v="20"/>
    <n v="23.660397"/>
  </r>
  <r>
    <x v="3"/>
    <x v="21"/>
    <n v="24.409942999999998"/>
  </r>
  <r>
    <x v="3"/>
    <x v="22"/>
    <n v="24.680864"/>
  </r>
  <r>
    <x v="3"/>
    <x v="23"/>
    <n v="24.355758999999999"/>
  </r>
  <r>
    <x v="3"/>
    <x v="24"/>
    <n v="24.744076"/>
  </r>
  <r>
    <x v="3"/>
    <x v="25"/>
    <n v="25.674237999999999"/>
  </r>
  <r>
    <x v="3"/>
    <x v="26"/>
    <n v="25.746485"/>
  </r>
  <r>
    <x v="3"/>
    <x v="27"/>
    <n v="26.676645000000001"/>
  </r>
  <r>
    <x v="3"/>
    <x v="28"/>
    <n v="26.757919000000001"/>
  </r>
  <r>
    <x v="3"/>
    <x v="29"/>
    <n v="26.748889999999999"/>
  </r>
  <r>
    <x v="3"/>
    <x v="30"/>
    <n v="27.886755000000001"/>
  </r>
  <r>
    <x v="3"/>
    <x v="31"/>
    <n v="28.076401000000001"/>
  </r>
  <r>
    <x v="3"/>
    <x v="32"/>
    <n v="28.428598000000001"/>
  </r>
  <r>
    <x v="3"/>
    <x v="33"/>
    <n v="27.570684"/>
  </r>
  <r>
    <x v="3"/>
    <x v="34"/>
    <n v="27.236547000000002"/>
  </r>
  <r>
    <x v="3"/>
    <x v="35"/>
    <n v="27.588743000000001"/>
  </r>
  <r>
    <x v="3"/>
    <x v="36"/>
    <n v="27.146239999999999"/>
  </r>
  <r>
    <x v="3"/>
    <x v="37"/>
    <n v="26.550215000000001"/>
  </r>
  <r>
    <x v="3"/>
    <x v="38"/>
    <n v="26.414755"/>
  </r>
  <r>
    <x v="3"/>
    <x v="39"/>
    <n v="26.243172000000001"/>
  </r>
  <r>
    <x v="3"/>
    <x v="40"/>
    <n v="26.225113"/>
  </r>
  <r>
    <x v="3"/>
    <x v="41"/>
    <n v="26.568276999999998"/>
  </r>
  <r>
    <x v="3"/>
    <x v="42"/>
    <n v="26.568276999999998"/>
  </r>
  <r>
    <x v="3"/>
    <x v="43"/>
    <n v="26.026433999999998"/>
  </r>
  <r>
    <x v="3"/>
    <x v="44"/>
    <n v="24.635712000000002"/>
  </r>
  <r>
    <x v="3"/>
    <x v="45"/>
    <n v="24.129992000000001"/>
  </r>
  <r>
    <x v="3"/>
    <x v="46"/>
    <n v="24.382850999999999"/>
  </r>
  <r>
    <x v="3"/>
    <x v="47"/>
    <n v="23.723611999999999"/>
  </r>
  <r>
    <x v="3"/>
    <x v="48"/>
    <n v="23.199831"/>
  </r>
  <r>
    <x v="3"/>
    <x v="49"/>
    <n v="23.470751"/>
  </r>
  <r>
    <x v="3"/>
    <x v="50"/>
    <n v="23.786825"/>
  </r>
  <r>
    <x v="3"/>
    <x v="51"/>
    <n v="24.680864"/>
  </r>
  <r>
    <x v="3"/>
    <x v="52"/>
    <n v="24.247388999999998"/>
  </r>
  <r>
    <x v="3"/>
    <x v="53"/>
    <n v="24.707954000000001"/>
  </r>
  <r>
    <x v="3"/>
    <x v="54"/>
    <n v="24.771172"/>
  </r>
  <r>
    <x v="3"/>
    <x v="55"/>
    <n v="24.653770000000002"/>
  </r>
  <r>
    <x v="3"/>
    <x v="56"/>
    <n v="24.653770000000002"/>
  </r>
  <r>
    <x v="3"/>
    <x v="57"/>
    <n v="24.978876"/>
  </r>
  <r>
    <x v="3"/>
    <x v="58"/>
    <n v="24.47316"/>
  </r>
  <r>
    <x v="3"/>
    <x v="59"/>
    <n v="24.482189000000002"/>
  </r>
  <r>
    <x v="3"/>
    <x v="60"/>
    <n v="23.028248000000001"/>
  </r>
  <r>
    <x v="3"/>
    <x v="61"/>
    <n v="24.229327999999999"/>
  </r>
  <r>
    <x v="3"/>
    <x v="62"/>
    <n v="25.195612000000001"/>
  </r>
  <r>
    <x v="3"/>
    <x v="63"/>
    <n v="25.249796"/>
  </r>
  <r>
    <x v="3"/>
    <x v="64"/>
    <n v="25.285919"/>
  </r>
  <r>
    <x v="3"/>
    <x v="65"/>
    <n v="24.969847000000001"/>
  </r>
  <r>
    <x v="3"/>
    <x v="66"/>
    <n v="25.692301"/>
  </r>
  <r>
    <x v="3"/>
    <x v="67"/>
    <n v="26.261232"/>
  </r>
  <r>
    <x v="3"/>
    <x v="68"/>
    <n v="26.523125"/>
  </r>
  <r>
    <x v="3"/>
    <x v="69"/>
    <n v="26.387661000000001"/>
  </r>
  <r>
    <x v="3"/>
    <x v="70"/>
    <n v="27.245578999999999"/>
  </r>
  <r>
    <x v="3"/>
    <x v="71"/>
    <n v="27.498439999999999"/>
  </r>
  <r>
    <x v="3"/>
    <x v="72"/>
    <n v="27.028842999999998"/>
  </r>
  <r>
    <x v="3"/>
    <x v="73"/>
    <n v="26.559246000000002"/>
  </r>
  <r>
    <x v="3"/>
    <x v="74"/>
    <n v="26.198018999999999"/>
  </r>
  <r>
    <x v="3"/>
    <x v="75"/>
    <n v="26.116741000000001"/>
  </r>
  <r>
    <x v="3"/>
    <x v="76"/>
    <n v="26.414755"/>
  </r>
  <r>
    <x v="3"/>
    <x v="77"/>
    <n v="26.026433999999998"/>
  </r>
  <r>
    <x v="3"/>
    <x v="78"/>
    <n v="25.791636"/>
  </r>
  <r>
    <x v="3"/>
    <x v="79"/>
    <n v="25.611025000000001"/>
  </r>
  <r>
    <x v="3"/>
    <x v="80"/>
    <n v="25.466532000000001"/>
  </r>
  <r>
    <x v="3"/>
    <x v="81"/>
    <n v="25.502655000000001"/>
  </r>
  <r>
    <x v="3"/>
    <x v="82"/>
    <n v="25.872913"/>
  </r>
  <r>
    <x v="3"/>
    <x v="83"/>
    <n v="25.68327"/>
  </r>
  <r>
    <x v="3"/>
    <x v="84"/>
    <n v="26.170922999999998"/>
  </r>
  <r>
    <x v="3"/>
    <x v="85"/>
    <n v="26.306383"/>
  </r>
  <r>
    <x v="3"/>
    <x v="86"/>
    <n v="26.098680000000002"/>
  </r>
  <r>
    <x v="3"/>
    <x v="87"/>
    <n v="26.179955"/>
  </r>
  <r>
    <x v="3"/>
    <x v="88"/>
    <n v="25.583931"/>
  </r>
  <r>
    <x v="3"/>
    <x v="89"/>
    <n v="25.963218999999999"/>
  </r>
  <r>
    <x v="3"/>
    <x v="90"/>
    <n v="25.827759"/>
  </r>
  <r>
    <x v="3"/>
    <x v="91"/>
    <n v="26.514091000000001"/>
  </r>
  <r>
    <x v="3"/>
    <x v="92"/>
    <n v="26.279295000000001"/>
  </r>
  <r>
    <x v="3"/>
    <x v="93"/>
    <n v="26.459906"/>
  </r>
  <r>
    <x v="3"/>
    <x v="94"/>
    <n v="25.285919"/>
  </r>
  <r>
    <x v="3"/>
    <x v="95"/>
    <n v="26.378632"/>
  </r>
  <r>
    <x v="3"/>
    <x v="96"/>
    <n v="26.396694"/>
  </r>
  <r>
    <x v="3"/>
    <x v="97"/>
    <n v="25.294948999999999"/>
  </r>
  <r>
    <x v="3"/>
    <x v="98"/>
    <n v="24.518311000000001"/>
  </r>
  <r>
    <x v="3"/>
    <x v="99"/>
    <n v="24.373819000000001"/>
  </r>
  <r>
    <x v="3"/>
    <x v="100"/>
    <n v="24.518311000000001"/>
  </r>
  <r>
    <x v="3"/>
    <x v="101"/>
    <n v="25.141428000000001"/>
  </r>
  <r>
    <x v="3"/>
    <x v="102"/>
    <n v="25.195612000000001"/>
  </r>
  <r>
    <x v="3"/>
    <x v="103"/>
    <n v="24.744076"/>
  </r>
  <r>
    <x v="3"/>
    <x v="104"/>
    <n v="25.403317999999999"/>
  </r>
  <r>
    <x v="3"/>
    <x v="105"/>
    <n v="25.069181"/>
  </r>
  <r>
    <x v="3"/>
    <x v="106"/>
    <n v="24.617649"/>
  </r>
  <r>
    <x v="3"/>
    <x v="107"/>
    <n v="24.744076"/>
  </r>
  <r>
    <x v="3"/>
    <x v="108"/>
    <n v="25.150459000000001"/>
  </r>
  <r>
    <x v="3"/>
    <x v="109"/>
    <n v="25.556840999999999"/>
  </r>
  <r>
    <x v="3"/>
    <x v="110"/>
    <n v="24.924693999999999"/>
  </r>
  <r>
    <x v="3"/>
    <x v="111"/>
    <n v="24.924693999999999"/>
  </r>
  <r>
    <x v="3"/>
    <x v="112"/>
    <n v="25.123365"/>
  </r>
  <r>
    <x v="3"/>
    <x v="113"/>
    <n v="25.818729000000001"/>
  </r>
  <r>
    <x v="3"/>
    <x v="114"/>
    <n v="26.017403000000002"/>
  </r>
  <r>
    <x v="3"/>
    <x v="115"/>
    <n v="26.369602"/>
  </r>
  <r>
    <x v="3"/>
    <x v="116"/>
    <n v="26.577307000000001"/>
  </r>
  <r>
    <x v="3"/>
    <x v="117"/>
    <n v="25.710360999999999"/>
  </r>
  <r>
    <x v="3"/>
    <x v="118"/>
    <n v="25.466532000000001"/>
  </r>
  <r>
    <x v="3"/>
    <x v="119"/>
    <n v="25.918068000000002"/>
  </r>
  <r>
    <x v="3"/>
    <x v="120"/>
    <n v="24.816324000000002"/>
  </r>
  <r>
    <x v="3"/>
    <x v="121"/>
    <n v="25.249796"/>
  </r>
  <r>
    <x v="3"/>
    <x v="122"/>
    <n v="25.493624000000001"/>
  </r>
  <r>
    <x v="3"/>
    <x v="123"/>
    <n v="24.942754999999998"/>
  </r>
  <r>
    <x v="3"/>
    <x v="124"/>
    <n v="24.653770000000002"/>
  </r>
  <r>
    <x v="3"/>
    <x v="125"/>
    <n v="24.608618"/>
  </r>
  <r>
    <x v="3"/>
    <x v="126"/>
    <n v="25.56587"/>
  </r>
  <r>
    <x v="3"/>
    <x v="127"/>
    <n v="26.486999999999998"/>
  </r>
  <r>
    <x v="3"/>
    <x v="128"/>
    <n v="29.178144"/>
  </r>
  <r>
    <x v="3"/>
    <x v="129"/>
    <n v="29.440033"/>
  </r>
  <r>
    <x v="3"/>
    <x v="130"/>
    <n v="29.24136"/>
  </r>
  <r>
    <x v="3"/>
    <x v="131"/>
    <n v="29.485188000000001"/>
  </r>
  <r>
    <x v="3"/>
    <x v="132"/>
    <n v="29.232327999999999"/>
  </r>
  <r>
    <x v="3"/>
    <x v="133"/>
    <n v="29.24136"/>
  </r>
  <r>
    <x v="3"/>
    <x v="134"/>
    <n v="29.304575"/>
  </r>
  <r>
    <x v="3"/>
    <x v="135"/>
    <n v="28.636303000000002"/>
  </r>
  <r>
    <x v="3"/>
    <x v="136"/>
    <n v="27.642928999999999"/>
  </r>
  <r>
    <x v="3"/>
    <x v="137"/>
    <n v="27.489408000000001"/>
  </r>
  <r>
    <x v="3"/>
    <x v="138"/>
    <n v="27.182364"/>
  </r>
  <r>
    <x v="3"/>
    <x v="139"/>
    <n v="27.263639000000001"/>
  </r>
  <r>
    <x v="3"/>
    <x v="140"/>
    <n v="25.746485"/>
  </r>
  <r>
    <x v="3"/>
    <x v="141"/>
    <n v="25.231735"/>
  </r>
  <r>
    <x v="3"/>
    <x v="142"/>
    <n v="25.466532000000001"/>
  </r>
  <r>
    <x v="3"/>
    <x v="143"/>
    <n v="24.825354000000001"/>
  </r>
  <r>
    <x v="3"/>
    <x v="144"/>
    <n v="24.048715999999999"/>
  </r>
  <r>
    <x v="3"/>
    <x v="145"/>
    <n v="24.003563"/>
  </r>
  <r>
    <x v="3"/>
    <x v="146"/>
    <n v="23.732641000000001"/>
  </r>
  <r>
    <x v="3"/>
    <x v="147"/>
    <n v="23.190802000000001"/>
  </r>
  <r>
    <x v="3"/>
    <x v="148"/>
    <n v="21.953596000000001"/>
  </r>
  <r>
    <x v="3"/>
    <x v="149"/>
    <n v="21.411753000000001"/>
  </r>
  <r>
    <x v="3"/>
    <x v="150"/>
    <n v="20.147459000000001"/>
  </r>
  <r>
    <x v="3"/>
    <x v="151"/>
    <n v="19.334696000000001"/>
  </r>
  <r>
    <x v="3"/>
    <x v="152"/>
    <n v="18.810918999999998"/>
  </r>
  <r>
    <x v="3"/>
    <x v="153"/>
    <n v="16.164926999999999"/>
  </r>
  <r>
    <x v="3"/>
    <x v="154"/>
    <n v="15.812730999999999"/>
  </r>
  <r>
    <x v="3"/>
    <x v="155"/>
    <n v="15.519234000000001"/>
  </r>
  <r>
    <x v="3"/>
    <x v="156"/>
    <n v="15.352166"/>
  </r>
  <r>
    <x v="3"/>
    <x v="157"/>
    <n v="13.64085"/>
  </r>
  <r>
    <x v="3"/>
    <x v="158"/>
    <n v="13.198347"/>
  </r>
  <r>
    <x v="3"/>
    <x v="159"/>
    <n v="13.514421"/>
  </r>
  <r>
    <x v="3"/>
    <x v="160"/>
    <n v="12.737781999999999"/>
  </r>
  <r>
    <x v="3"/>
    <x v="161"/>
    <n v="13.627304000000001"/>
  </r>
  <r>
    <x v="3"/>
    <x v="162"/>
    <n v="14.196237999999999"/>
  </r>
  <r>
    <x v="3"/>
    <x v="163"/>
    <n v="15.243797000000001"/>
  </r>
  <r>
    <x v="3"/>
    <x v="164"/>
    <n v="13.342836999999999"/>
  </r>
  <r>
    <x v="3"/>
    <x v="165"/>
    <n v="13.148678"/>
  </r>
  <r>
    <x v="3"/>
    <x v="166"/>
    <n v="14.092383999999999"/>
  </r>
  <r>
    <x v="3"/>
    <x v="167"/>
    <n v="14.151084000000001"/>
  </r>
  <r>
    <x v="3"/>
    <x v="168"/>
    <n v="14.250422"/>
  </r>
  <r>
    <x v="3"/>
    <x v="169"/>
    <n v="14.692926"/>
  </r>
  <r>
    <x v="3"/>
    <x v="170"/>
    <n v="15.686302"/>
  </r>
  <r>
    <x v="3"/>
    <x v="171"/>
    <n v="16.553246999999999"/>
  </r>
  <r>
    <x v="3"/>
    <x v="172"/>
    <n v="16.490031999999999"/>
  </r>
  <r>
    <x v="3"/>
    <x v="173"/>
    <n v="16.57131"/>
  </r>
  <r>
    <x v="3"/>
    <x v="174"/>
    <n v="16.616461000000001"/>
  </r>
  <r>
    <x v="3"/>
    <x v="175"/>
    <n v="15.713393"/>
  </r>
  <r>
    <x v="3"/>
    <x v="176"/>
    <n v="15.749516"/>
  </r>
  <r>
    <x v="3"/>
    <x v="177"/>
    <n v="16.959627000000001"/>
  </r>
  <r>
    <x v="3"/>
    <x v="178"/>
    <n v="17.23958"/>
  </r>
  <r>
    <x v="3"/>
    <x v="179"/>
    <n v="16.462938000000001"/>
  </r>
  <r>
    <x v="3"/>
    <x v="180"/>
    <n v="16.480999000000001"/>
  </r>
  <r>
    <x v="3"/>
    <x v="181"/>
    <n v="16.462938000000001"/>
  </r>
  <r>
    <x v="3"/>
    <x v="182"/>
    <n v="16.101711000000002"/>
  </r>
  <r>
    <x v="3"/>
    <x v="183"/>
    <n v="16.706769999999999"/>
  </r>
  <r>
    <x v="3"/>
    <x v="184"/>
    <n v="17.086058000000001"/>
  </r>
  <r>
    <x v="3"/>
    <x v="185"/>
    <n v="17.916879999999999"/>
  </r>
  <r>
    <x v="3"/>
    <x v="186"/>
    <n v="17.916879999999999"/>
  </r>
  <r>
    <x v="3"/>
    <x v="187"/>
    <n v="17.167334"/>
  </r>
  <r>
    <x v="3"/>
    <x v="188"/>
    <n v="17.411162999999998"/>
  </r>
  <r>
    <x v="3"/>
    <x v="189"/>
    <n v="17.483405999999999"/>
  </r>
  <r>
    <x v="3"/>
    <x v="190"/>
    <n v="17.609835"/>
  </r>
  <r>
    <x v="3"/>
    <x v="191"/>
    <n v="17.943971999999999"/>
  </r>
  <r>
    <x v="3"/>
    <x v="192"/>
    <n v="17.934940000000001"/>
  </r>
  <r>
    <x v="3"/>
    <x v="193"/>
    <n v="17.763356999999999"/>
  </r>
  <r>
    <x v="3"/>
    <x v="194"/>
    <n v="16.923504000000001"/>
  </r>
  <r>
    <x v="3"/>
    <x v="195"/>
    <n v="16.354569999999999"/>
  </r>
  <r>
    <x v="3"/>
    <x v="196"/>
    <n v="16.797075"/>
  </r>
  <r>
    <x v="3"/>
    <x v="197"/>
    <n v="17.989124"/>
  </r>
  <r>
    <x v="3"/>
    <x v="198"/>
    <n v="18.115555000000001"/>
  </r>
  <r>
    <x v="3"/>
    <x v="199"/>
    <n v="17.853663999999998"/>
  </r>
  <r>
    <x v="3"/>
    <x v="200"/>
    <n v="17.772387999999999"/>
  </r>
  <r>
    <x v="3"/>
    <x v="201"/>
    <n v="17.934940000000001"/>
  </r>
  <r>
    <x v="3"/>
    <x v="202"/>
    <n v="18.422595999999999"/>
  </r>
  <r>
    <x v="3"/>
    <x v="203"/>
    <n v="19.470158000000001"/>
  </r>
  <r>
    <x v="3"/>
    <x v="204"/>
    <n v="20.030062000000001"/>
  </r>
  <r>
    <x v="3"/>
    <x v="205"/>
    <n v="19.434035999999999"/>
  </r>
  <r>
    <x v="3"/>
    <x v="206"/>
    <n v="19.795261"/>
  </r>
  <r>
    <x v="3"/>
    <x v="207"/>
    <n v="20.138428000000001"/>
  </r>
  <r>
    <x v="3"/>
    <x v="208"/>
    <n v="20.842821000000001"/>
  </r>
  <r>
    <x v="3"/>
    <x v="209"/>
    <n v="20.824760000000001"/>
  </r>
  <r>
    <x v="3"/>
    <x v="210"/>
    <n v="21.366602"/>
  </r>
  <r>
    <x v="3"/>
    <x v="211"/>
    <n v="22.107116999999999"/>
  </r>
  <r>
    <x v="3"/>
    <x v="212"/>
    <n v="21.149865999999999"/>
  </r>
  <r>
    <x v="3"/>
    <x v="213"/>
    <n v="20.445471000000001"/>
  </r>
  <r>
    <x v="3"/>
    <x v="214"/>
    <n v="18.765765999999999"/>
  </r>
  <r>
    <x v="3"/>
    <x v="215"/>
    <n v="18.812377999999999"/>
  </r>
  <r>
    <x v="3"/>
    <x v="216"/>
    <n v="18.336939000000001"/>
  </r>
  <r>
    <x v="3"/>
    <x v="217"/>
    <n v="19.185268000000001"/>
  </r>
  <r>
    <x v="3"/>
    <x v="218"/>
    <n v="18.737798999999999"/>
  </r>
  <r>
    <x v="3"/>
    <x v="219"/>
    <n v="18.206429"/>
  </r>
  <r>
    <x v="3"/>
    <x v="220"/>
    <n v="18.094560999999999"/>
  </r>
  <r>
    <x v="3"/>
    <x v="221"/>
    <n v="18.635252000000001"/>
  </r>
  <r>
    <x v="3"/>
    <x v="222"/>
    <n v="18.719152000000001"/>
  </r>
  <r>
    <x v="3"/>
    <x v="223"/>
    <n v="18.681865999999999"/>
  </r>
  <r>
    <x v="3"/>
    <x v="224"/>
    <n v="18.793731999999999"/>
  </r>
  <r>
    <x v="3"/>
    <x v="225"/>
    <n v="18.9056"/>
  </r>
  <r>
    <x v="3"/>
    <x v="226"/>
    <n v="18.756443000000001"/>
  </r>
  <r>
    <x v="3"/>
    <x v="227"/>
    <n v="19.017467"/>
  </r>
  <r>
    <x v="3"/>
    <x v="228"/>
    <n v="19.129332999999999"/>
  </r>
  <r>
    <x v="3"/>
    <x v="229"/>
    <n v="19.073398999999998"/>
  </r>
  <r>
    <x v="3"/>
    <x v="230"/>
    <n v="19.371711999999999"/>
  </r>
  <r>
    <x v="3"/>
    <x v="231"/>
    <n v="19.483581999999998"/>
  </r>
  <r>
    <x v="3"/>
    <x v="232"/>
    <n v="18.831022000000001"/>
  </r>
  <r>
    <x v="3"/>
    <x v="233"/>
    <n v="18.262362"/>
  </r>
  <r>
    <x v="3"/>
    <x v="234"/>
    <n v="18.364908"/>
  </r>
  <r>
    <x v="3"/>
    <x v="235"/>
    <n v="19.222556999999998"/>
  </r>
  <r>
    <x v="3"/>
    <x v="236"/>
    <n v="19.222556999999998"/>
  </r>
  <r>
    <x v="3"/>
    <x v="237"/>
    <n v="19.539515000000002"/>
  </r>
  <r>
    <x v="3"/>
    <x v="238"/>
    <n v="20.322586000000001"/>
  </r>
  <r>
    <x v="3"/>
    <x v="239"/>
    <n v="20.303944000000001"/>
  </r>
  <r>
    <x v="3"/>
    <x v="240"/>
    <n v="20.210719999999998"/>
  </r>
  <r>
    <x v="3"/>
    <x v="241"/>
    <n v="20.359874999999999"/>
  </r>
  <r>
    <x v="3"/>
    <x v="242"/>
    <n v="20.509032999999999"/>
  </r>
  <r>
    <x v="3"/>
    <x v="243"/>
    <n v="21.068370999999999"/>
  </r>
  <r>
    <x v="3"/>
    <x v="244"/>
    <n v="21.366683999999999"/>
  </r>
  <r>
    <x v="3"/>
    <x v="245"/>
    <n v="21.441262999999999"/>
  </r>
  <r>
    <x v="3"/>
    <x v="246"/>
    <n v="20.956500999999999"/>
  </r>
  <r>
    <x v="3"/>
    <x v="247"/>
    <n v="21.031079999999999"/>
  </r>
  <r>
    <x v="3"/>
    <x v="248"/>
    <n v="20.658187999999999"/>
  </r>
  <r>
    <x v="3"/>
    <x v="249"/>
    <n v="20.098852000000001"/>
  </r>
  <r>
    <x v="3"/>
    <x v="250"/>
    <n v="20.639544999999998"/>
  </r>
  <r>
    <x v="3"/>
    <x v="251"/>
    <n v="20.732766999999999"/>
  </r>
  <r>
    <x v="3"/>
    <x v="252"/>
    <n v="21.180237000000002"/>
  </r>
  <r>
    <x v="3"/>
    <x v="253"/>
    <n v="21.124306000000001"/>
  </r>
  <r>
    <x v="3"/>
    <x v="254"/>
    <n v="21.180237000000002"/>
  </r>
  <r>
    <x v="3"/>
    <x v="255"/>
    <n v="21.403970999999999"/>
  </r>
  <r>
    <x v="3"/>
    <x v="256"/>
    <n v="22.093821999999999"/>
  </r>
  <r>
    <x v="3"/>
    <x v="257"/>
    <n v="21.907377"/>
  </r>
  <r>
    <x v="3"/>
    <x v="258"/>
    <n v="21.963308000000001"/>
  </r>
  <r>
    <x v="3"/>
    <x v="259"/>
    <n v="21.739576"/>
  </r>
  <r>
    <x v="3"/>
    <x v="260"/>
    <n v="22.589297999999999"/>
  </r>
  <r>
    <x v="3"/>
    <x v="261"/>
    <n v="22.092831"/>
  </r>
  <r>
    <x v="3"/>
    <x v="262"/>
    <n v="22.073737999999999"/>
  </r>
  <r>
    <x v="3"/>
    <x v="263"/>
    <n v="21.710932"/>
  </r>
  <r>
    <x v="3"/>
    <x v="264"/>
    <n v="21.596363"/>
  </r>
  <r>
    <x v="3"/>
    <x v="265"/>
    <n v="22.150116000000001"/>
  </r>
  <r>
    <x v="3"/>
    <x v="266"/>
    <n v="22.188305"/>
  </r>
  <r>
    <x v="3"/>
    <x v="267"/>
    <n v="22.837534000000002"/>
  </r>
  <r>
    <x v="3"/>
    <x v="268"/>
    <n v="22.837534000000002"/>
  </r>
  <r>
    <x v="3"/>
    <x v="269"/>
    <n v="23.047577"/>
  </r>
  <r>
    <x v="3"/>
    <x v="270"/>
    <n v="22.799340999999998"/>
  </r>
  <r>
    <x v="3"/>
    <x v="271"/>
    <n v="22.455635000000001"/>
  </r>
  <r>
    <x v="3"/>
    <x v="272"/>
    <n v="22.436539"/>
  </r>
  <r>
    <x v="3"/>
    <x v="273"/>
    <n v="22.474730000000001"/>
  </r>
  <r>
    <x v="3"/>
    <x v="274"/>
    <n v="22.703869000000001"/>
  </r>
  <r>
    <x v="3"/>
    <x v="275"/>
    <n v="22.894817"/>
  </r>
  <r>
    <x v="3"/>
    <x v="276"/>
    <n v="22.913912"/>
  </r>
  <r>
    <x v="3"/>
    <x v="277"/>
    <n v="23.715900000000001"/>
  </r>
  <r>
    <x v="3"/>
    <x v="278"/>
    <n v="24.269651"/>
  </r>
  <r>
    <x v="3"/>
    <x v="279"/>
    <n v="24.097798999999998"/>
  </r>
  <r>
    <x v="3"/>
    <x v="280"/>
    <n v="23.868658"/>
  </r>
  <r>
    <x v="3"/>
    <x v="281"/>
    <n v="24.422412999999999"/>
  </r>
  <r>
    <x v="3"/>
    <x v="282"/>
    <n v="25.167114000000002"/>
  </r>
  <r>
    <x v="3"/>
    <x v="283"/>
    <n v="25.396253999999999"/>
  </r>
  <r>
    <x v="3"/>
    <x v="284"/>
    <n v="24.880690000000001"/>
  </r>
  <r>
    <x v="3"/>
    <x v="285"/>
    <n v="23.677710000000001"/>
  </r>
  <r>
    <x v="3"/>
    <x v="286"/>
    <n v="23.945038"/>
  </r>
  <r>
    <x v="3"/>
    <x v="287"/>
    <n v="23.52495"/>
  </r>
  <r>
    <x v="3"/>
    <x v="288"/>
    <n v="23.544044"/>
  </r>
  <r>
    <x v="3"/>
    <x v="289"/>
    <n v="24.078700999999999"/>
  </r>
  <r>
    <x v="3"/>
    <x v="290"/>
    <n v="24.594265"/>
  </r>
  <r>
    <x v="3"/>
    <x v="291"/>
    <n v="24.384222000000001"/>
  </r>
  <r>
    <x v="3"/>
    <x v="292"/>
    <n v="25.549012999999999"/>
  </r>
  <r>
    <x v="3"/>
    <x v="293"/>
    <n v="28.909721000000001"/>
  </r>
  <r>
    <x v="3"/>
    <x v="294"/>
    <n v="27.974067999999999"/>
  </r>
  <r>
    <x v="3"/>
    <x v="295"/>
    <n v="27.343934999999998"/>
  </r>
  <r>
    <x v="3"/>
    <x v="296"/>
    <n v="27.477599999999999"/>
  </r>
  <r>
    <x v="3"/>
    <x v="297"/>
    <n v="27.133891999999999"/>
  </r>
  <r>
    <x v="3"/>
    <x v="298"/>
    <n v="27.076606999999999"/>
  </r>
  <r>
    <x v="3"/>
    <x v="299"/>
    <n v="26.675612999999998"/>
  </r>
  <r>
    <x v="3"/>
    <x v="300"/>
    <n v="27.687643000000001"/>
  </r>
  <r>
    <x v="3"/>
    <x v="301"/>
    <n v="27.401219999999999"/>
  </r>
  <r>
    <x v="3"/>
    <x v="302"/>
    <n v="28.241396000000002"/>
  </r>
  <r>
    <x v="3"/>
    <x v="303"/>
    <n v="27.954975000000001"/>
  </r>
  <r>
    <x v="3"/>
    <x v="304"/>
    <n v="28.776053999999998"/>
  </r>
  <r>
    <x v="3"/>
    <x v="305"/>
    <n v="28.241396000000002"/>
  </r>
  <r>
    <x v="3"/>
    <x v="306"/>
    <n v="28.317775999999999"/>
  </r>
  <r>
    <x v="3"/>
    <x v="307"/>
    <n v="28.508725999999999"/>
  </r>
  <r>
    <x v="3"/>
    <x v="308"/>
    <n v="27.382126"/>
  </r>
  <r>
    <x v="3"/>
    <x v="309"/>
    <n v="26.981133"/>
  </r>
  <r>
    <x v="3"/>
    <x v="310"/>
    <n v="26.255526"/>
  </r>
  <r>
    <x v="3"/>
    <x v="311"/>
    <n v="25.682676000000001"/>
  </r>
  <r>
    <x v="3"/>
    <x v="312"/>
    <n v="24.498791000000001"/>
  </r>
  <r>
    <x v="3"/>
    <x v="313"/>
    <n v="24.536982999999999"/>
  </r>
  <r>
    <x v="3"/>
    <x v="314"/>
    <n v="25.778151000000001"/>
  </r>
  <r>
    <x v="3"/>
    <x v="315"/>
    <n v="25.319873999999999"/>
  </r>
  <r>
    <x v="3"/>
    <x v="316"/>
    <n v="25.682676000000001"/>
  </r>
  <r>
    <x v="3"/>
    <x v="317"/>
    <n v="25.644487000000002"/>
  </r>
  <r>
    <x v="3"/>
    <x v="318"/>
    <n v="25.377158999999999"/>
  </r>
  <r>
    <x v="3"/>
    <x v="319"/>
    <n v="25.148018"/>
  </r>
  <r>
    <x v="3"/>
    <x v="320"/>
    <n v="26.484663000000001"/>
  </r>
  <r>
    <x v="3"/>
    <x v="321"/>
    <n v="27.382126"/>
  </r>
  <r>
    <x v="3"/>
    <x v="322"/>
    <n v="26.694707999999999"/>
  </r>
  <r>
    <x v="3"/>
    <x v="323"/>
    <n v="26.522853999999999"/>
  </r>
  <r>
    <x v="3"/>
    <x v="324"/>
    <n v="26.580138999999999"/>
  </r>
  <r>
    <x v="3"/>
    <x v="325"/>
    <n v="26.694707999999999"/>
  </r>
  <r>
    <x v="3"/>
    <x v="326"/>
    <n v="26.522853999999999"/>
  </r>
  <r>
    <x v="3"/>
    <x v="327"/>
    <n v="26.866561999999998"/>
  </r>
  <r>
    <x v="3"/>
    <x v="328"/>
    <n v="26.350999999999999"/>
  </r>
  <r>
    <x v="3"/>
    <x v="329"/>
    <n v="26.561045"/>
  </r>
  <r>
    <x v="3"/>
    <x v="330"/>
    <n v="26.866561999999998"/>
  </r>
  <r>
    <x v="3"/>
    <x v="331"/>
    <n v="28.031352999999999"/>
  </r>
  <r>
    <x v="3"/>
    <x v="332"/>
    <n v="27.725836000000001"/>
  </r>
  <r>
    <x v="3"/>
    <x v="333"/>
    <n v="27.611263000000001"/>
  </r>
  <r>
    <x v="3"/>
    <x v="334"/>
    <n v="27.840405000000001"/>
  </r>
  <r>
    <x v="3"/>
    <x v="335"/>
    <n v="27.305745999999999"/>
  </r>
  <r>
    <x v="3"/>
    <x v="336"/>
    <n v="27.687643000000001"/>
  </r>
  <r>
    <x v="3"/>
    <x v="337"/>
    <n v="27.267555000000002"/>
  </r>
  <r>
    <x v="3"/>
    <x v="338"/>
    <n v="26.904752999999999"/>
  </r>
  <r>
    <x v="3"/>
    <x v="339"/>
    <n v="26.828372999999999"/>
  </r>
  <r>
    <x v="3"/>
    <x v="340"/>
    <n v="26.790182000000001"/>
  </r>
  <r>
    <x v="3"/>
    <x v="341"/>
    <n v="27.534884999999999"/>
  </r>
  <r>
    <x v="3"/>
    <x v="342"/>
    <n v="27.133891999999999"/>
  </r>
  <r>
    <x v="3"/>
    <x v="343"/>
    <n v="26.255526"/>
  </r>
  <r>
    <x v="3"/>
    <x v="344"/>
    <n v="25.892721000000002"/>
  </r>
  <r>
    <x v="3"/>
    <x v="345"/>
    <n v="26.618326"/>
  </r>
  <r>
    <x v="3"/>
    <x v="346"/>
    <n v="26.675612999999998"/>
  </r>
  <r>
    <x v="3"/>
    <x v="347"/>
    <n v="27.611263000000001"/>
  </r>
  <r>
    <x v="3"/>
    <x v="348"/>
    <n v="26.981133"/>
  </r>
  <r>
    <x v="3"/>
    <x v="349"/>
    <n v="27.573073999999998"/>
  </r>
  <r>
    <x v="3"/>
    <x v="350"/>
    <n v="27.191177"/>
  </r>
  <r>
    <x v="3"/>
    <x v="351"/>
    <n v="27.382126"/>
  </r>
  <r>
    <x v="3"/>
    <x v="352"/>
    <n v="27.515791"/>
  </r>
  <r>
    <x v="3"/>
    <x v="353"/>
    <n v="27.725836000000001"/>
  </r>
  <r>
    <x v="3"/>
    <x v="354"/>
    <n v="27.611263000000001"/>
  </r>
  <r>
    <x v="3"/>
    <x v="355"/>
    <n v="27.477599999999999"/>
  </r>
  <r>
    <x v="3"/>
    <x v="356"/>
    <n v="27.706738999999999"/>
  </r>
  <r>
    <x v="3"/>
    <x v="357"/>
    <n v="27.668548999999999"/>
  </r>
  <r>
    <x v="3"/>
    <x v="358"/>
    <n v="28.947908000000002"/>
  </r>
  <r>
    <x v="3"/>
    <x v="359"/>
    <n v="29.272524000000001"/>
  </r>
  <r>
    <x v="3"/>
    <x v="360"/>
    <n v="28.928813999999999"/>
  </r>
  <r>
    <x v="3"/>
    <x v="361"/>
    <n v="29.539853999999998"/>
  </r>
  <r>
    <x v="3"/>
    <x v="362"/>
    <n v="29.043385000000001"/>
  </r>
  <r>
    <x v="3"/>
    <x v="363"/>
    <n v="28.871528999999999"/>
  </r>
  <r>
    <x v="3"/>
    <x v="364"/>
    <n v="28.394157"/>
  </r>
  <r>
    <x v="3"/>
    <x v="365"/>
    <n v="29.043385000000001"/>
  </r>
  <r>
    <x v="3"/>
    <x v="366"/>
    <n v="29.749894999999999"/>
  </r>
  <r>
    <x v="3"/>
    <x v="367"/>
    <n v="30.742833999999998"/>
  </r>
  <r>
    <x v="3"/>
    <x v="368"/>
    <n v="30.971969999999999"/>
  </r>
  <r>
    <x v="3"/>
    <x v="369"/>
    <n v="30.971969999999999"/>
  </r>
  <r>
    <x v="3"/>
    <x v="370"/>
    <n v="30.647355999999998"/>
  </r>
  <r>
    <x v="3"/>
    <x v="371"/>
    <n v="30.284555000000001"/>
  </r>
  <r>
    <x v="3"/>
    <x v="372"/>
    <n v="29.387093"/>
  </r>
  <r>
    <x v="3"/>
    <x v="373"/>
    <n v="28.852433999999999"/>
  </r>
  <r>
    <x v="3"/>
    <x v="374"/>
    <n v="28.699674999999999"/>
  </r>
  <r>
    <x v="3"/>
    <x v="375"/>
    <n v="29.940844999999999"/>
  </r>
  <r>
    <x v="3"/>
    <x v="376"/>
    <n v="30.570978"/>
  </r>
  <r>
    <x v="3"/>
    <x v="377"/>
    <n v="30.742833999999998"/>
  </r>
  <r>
    <x v="3"/>
    <x v="378"/>
    <n v="34.103541999999997"/>
  </r>
  <r>
    <x v="3"/>
    <x v="379"/>
    <n v="33.893497000000004"/>
  </r>
  <r>
    <x v="3"/>
    <x v="380"/>
    <n v="34.695480000000003"/>
  </r>
  <r>
    <x v="3"/>
    <x v="381"/>
    <n v="35.516562999999998"/>
  </r>
  <r>
    <x v="3"/>
    <x v="382"/>
    <n v="35.058289000000002"/>
  </r>
  <r>
    <x v="3"/>
    <x v="383"/>
    <n v="34.905524999999997"/>
  </r>
  <r>
    <x v="3"/>
    <x v="384"/>
    <n v="35.039192"/>
  </r>
  <r>
    <x v="3"/>
    <x v="385"/>
    <n v="34.389964999999997"/>
  </r>
  <r>
    <x v="3"/>
    <x v="386"/>
    <n v="35.134663000000003"/>
  </r>
  <r>
    <x v="3"/>
    <x v="387"/>
    <n v="35.115569999999998"/>
  </r>
  <r>
    <x v="3"/>
    <x v="388"/>
    <n v="34.370868999999999"/>
  </r>
  <r>
    <x v="3"/>
    <x v="389"/>
    <n v="34.638195000000003"/>
  </r>
  <r>
    <x v="3"/>
    <x v="390"/>
    <n v="34.619101999999998"/>
  </r>
  <r>
    <x v="3"/>
    <x v="391"/>
    <n v="34.122638999999999"/>
  </r>
  <r>
    <x v="3"/>
    <x v="392"/>
    <n v="34.943717999999997"/>
  </r>
  <r>
    <x v="3"/>
    <x v="393"/>
    <n v="35.631134000000003"/>
  </r>
  <r>
    <x v="3"/>
    <x v="394"/>
    <n v="35.115569999999998"/>
  </r>
  <r>
    <x v="3"/>
    <x v="395"/>
    <n v="35.707515999999998"/>
  </r>
  <r>
    <x v="3"/>
    <x v="396"/>
    <n v="35.573849000000003"/>
  </r>
  <r>
    <x v="3"/>
    <x v="397"/>
    <n v="35.879371999999996"/>
  </r>
  <r>
    <x v="3"/>
    <x v="398"/>
    <n v="34.676388000000003"/>
  </r>
  <r>
    <x v="3"/>
    <x v="399"/>
    <n v="34.409058000000002"/>
  </r>
  <r>
    <x v="3"/>
    <x v="400"/>
    <n v="35.612037999999998"/>
  </r>
  <r>
    <x v="3"/>
    <x v="401"/>
    <n v="35.745700999999997"/>
  </r>
  <r>
    <x v="3"/>
    <x v="402"/>
    <n v="35.153762999999998"/>
  </r>
  <r>
    <x v="3"/>
    <x v="403"/>
    <n v="35.860275000000001"/>
  </r>
  <r>
    <x v="3"/>
    <x v="404"/>
    <n v="35.822085999999999"/>
  </r>
  <r>
    <x v="3"/>
    <x v="405"/>
    <n v="35.841178999999997"/>
  </r>
  <r>
    <x v="3"/>
    <x v="406"/>
    <n v="35.802990000000001"/>
  </r>
  <r>
    <x v="3"/>
    <x v="407"/>
    <n v="35.89846"/>
  </r>
  <r>
    <x v="3"/>
    <x v="408"/>
    <n v="35.516562999999998"/>
  </r>
  <r>
    <x v="3"/>
    <x v="409"/>
    <n v="35.153762999999998"/>
  </r>
  <r>
    <x v="3"/>
    <x v="410"/>
    <n v="35.249232999999997"/>
  </r>
  <r>
    <x v="3"/>
    <x v="411"/>
    <n v="33.778927000000003"/>
  </r>
  <r>
    <x v="3"/>
    <x v="412"/>
    <n v="34.504536000000002"/>
  </r>
  <r>
    <x v="3"/>
    <x v="413"/>
    <n v="35.153762999999998"/>
  </r>
  <r>
    <x v="3"/>
    <x v="414"/>
    <n v="36.566783999999998"/>
  </r>
  <r>
    <x v="3"/>
    <x v="415"/>
    <n v="37.025063000000003"/>
  </r>
  <r>
    <x v="3"/>
    <x v="416"/>
    <n v="37.044155000000003"/>
  </r>
  <r>
    <x v="3"/>
    <x v="417"/>
    <n v="37.122311000000003"/>
  </r>
  <r>
    <x v="3"/>
    <x v="418"/>
    <n v="37.219996999999999"/>
  </r>
  <r>
    <x v="3"/>
    <x v="419"/>
    <n v="38.630001"/>
  </r>
  <r>
    <x v="3"/>
    <x v="420"/>
    <n v="37.889999000000003"/>
  </r>
  <r>
    <x v="3"/>
    <x v="421"/>
    <n v="38.439999"/>
  </r>
  <r>
    <x v="3"/>
    <x v="422"/>
    <n v="38.080002"/>
  </r>
  <r>
    <x v="3"/>
    <x v="423"/>
    <n v="37.950001"/>
  </r>
  <r>
    <x v="3"/>
    <x v="424"/>
    <n v="38.520000000000003"/>
  </r>
  <r>
    <x v="3"/>
    <x v="425"/>
    <n v="38.540000999999997"/>
  </r>
  <r>
    <x v="3"/>
    <x v="426"/>
    <n v="38.400002000000001"/>
  </r>
  <r>
    <x v="3"/>
    <x v="427"/>
    <n v="39.290000999999997"/>
  </r>
  <r>
    <x v="3"/>
    <x v="428"/>
    <n v="40.060001"/>
  </r>
  <r>
    <x v="3"/>
    <x v="429"/>
    <n v="38.869999"/>
  </r>
  <r>
    <x v="3"/>
    <x v="430"/>
    <n v="38.349997999999999"/>
  </r>
  <r>
    <x v="3"/>
    <x v="431"/>
    <n v="39.290000999999997"/>
  </r>
  <r>
    <x v="3"/>
    <x v="432"/>
    <n v="39.479999999999997"/>
  </r>
  <r>
    <x v="3"/>
    <x v="433"/>
    <n v="41.419998"/>
  </r>
  <r>
    <x v="3"/>
    <x v="434"/>
    <n v="40.810001"/>
  </r>
  <r>
    <x v="3"/>
    <x v="435"/>
    <n v="40.509998000000003"/>
  </r>
  <r>
    <x v="3"/>
    <x v="436"/>
    <n v="38.150002000000001"/>
  </r>
  <r>
    <x v="3"/>
    <x v="437"/>
    <n v="38.32"/>
  </r>
  <r>
    <x v="3"/>
    <x v="438"/>
    <n v="38.479999999999997"/>
  </r>
  <r>
    <x v="3"/>
    <x v="439"/>
    <n v="37.270000000000003"/>
  </r>
  <r>
    <x v="3"/>
    <x v="440"/>
    <n v="38.389999000000003"/>
  </r>
  <r>
    <x v="3"/>
    <x v="441"/>
    <n v="37.689999"/>
  </r>
  <r>
    <x v="3"/>
    <x v="442"/>
    <n v="38.549999"/>
  </r>
  <r>
    <x v="3"/>
    <x v="443"/>
    <n v="38.610000999999997"/>
  </r>
  <r>
    <x v="3"/>
    <x v="444"/>
    <n v="37.380001"/>
  </r>
  <r>
    <x v="3"/>
    <x v="445"/>
    <n v="37.159999999999997"/>
  </r>
  <r>
    <x v="3"/>
    <x v="446"/>
    <n v="37.979999999999997"/>
  </r>
  <r>
    <x v="3"/>
    <x v="447"/>
    <n v="38.310001"/>
  </r>
  <r>
    <x v="3"/>
    <x v="448"/>
    <n v="38.630001"/>
  </r>
  <r>
    <x v="3"/>
    <x v="449"/>
    <n v="37.799999"/>
  </r>
  <r>
    <x v="3"/>
    <x v="450"/>
    <n v="37.799999"/>
  </r>
  <r>
    <x v="3"/>
    <x v="451"/>
    <n v="38.150002000000001"/>
  </r>
  <r>
    <x v="3"/>
    <x v="452"/>
    <n v="38.029998999999997"/>
  </r>
  <r>
    <x v="3"/>
    <x v="453"/>
    <n v="38.130001"/>
  </r>
  <r>
    <x v="3"/>
    <x v="454"/>
    <n v="37.340000000000003"/>
  </r>
  <r>
    <x v="3"/>
    <x v="455"/>
    <n v="37.919998"/>
  </r>
  <r>
    <x v="3"/>
    <x v="456"/>
    <n v="37.43"/>
  </r>
  <r>
    <x v="3"/>
    <x v="457"/>
    <n v="37.18"/>
  </r>
  <r>
    <x v="3"/>
    <x v="458"/>
    <n v="38.299999"/>
  </r>
  <r>
    <x v="3"/>
    <x v="459"/>
    <n v="38.759998000000003"/>
  </r>
  <r>
    <x v="3"/>
    <x v="460"/>
    <n v="38.380001"/>
  </r>
  <r>
    <x v="3"/>
    <x v="461"/>
    <n v="38.639999000000003"/>
  </r>
  <r>
    <x v="3"/>
    <x v="462"/>
    <n v="38.770000000000003"/>
  </r>
  <r>
    <x v="3"/>
    <x v="463"/>
    <n v="38.490001999999997"/>
  </r>
  <r>
    <x v="3"/>
    <x v="464"/>
    <n v="37.389999000000003"/>
  </r>
  <r>
    <x v="3"/>
    <x v="465"/>
    <n v="36.549999"/>
  </r>
  <r>
    <x v="3"/>
    <x v="466"/>
    <n v="36.869999"/>
  </r>
  <r>
    <x v="3"/>
    <x v="467"/>
    <n v="36.880001"/>
  </r>
  <r>
    <x v="3"/>
    <x v="468"/>
    <n v="35.900002000000001"/>
  </r>
  <r>
    <x v="3"/>
    <x v="469"/>
    <n v="36.340000000000003"/>
  </r>
  <r>
    <x v="3"/>
    <x v="470"/>
    <n v="35.590000000000003"/>
  </r>
  <r>
    <x v="3"/>
    <x v="471"/>
    <n v="35.669998"/>
  </r>
  <r>
    <x v="3"/>
    <x v="472"/>
    <n v="36.189999"/>
  </r>
  <r>
    <x v="3"/>
    <x v="473"/>
    <n v="35.950001"/>
  </r>
  <r>
    <x v="3"/>
    <x v="474"/>
    <n v="36.380001"/>
  </r>
  <r>
    <x v="3"/>
    <x v="475"/>
    <n v="36.130001"/>
  </r>
  <r>
    <x v="3"/>
    <x v="476"/>
    <n v="35.450001"/>
  </r>
  <r>
    <x v="3"/>
    <x v="477"/>
    <n v="35.900002000000001"/>
  </r>
  <r>
    <x v="3"/>
    <x v="478"/>
    <n v="35.520000000000003"/>
  </r>
  <r>
    <x v="3"/>
    <x v="479"/>
    <n v="36.590000000000003"/>
  </r>
  <r>
    <x v="3"/>
    <x v="480"/>
    <n v="37.520000000000003"/>
  </r>
  <r>
    <x v="3"/>
    <x v="481"/>
    <n v="37.720001000000003"/>
  </r>
  <r>
    <x v="3"/>
    <x v="482"/>
    <n v="37.099997999999999"/>
  </r>
  <r>
    <x v="3"/>
    <x v="483"/>
    <n v="36.919998"/>
  </r>
  <r>
    <x v="3"/>
    <x v="484"/>
    <n v="36.490001999999997"/>
  </r>
  <r>
    <x v="3"/>
    <x v="485"/>
    <n v="36.130001"/>
  </r>
  <r>
    <x v="3"/>
    <x v="486"/>
    <n v="36.770000000000003"/>
  </r>
  <r>
    <x v="3"/>
    <x v="487"/>
    <n v="36.919998"/>
  </r>
  <r>
    <x v="3"/>
    <x v="488"/>
    <n v="36.810001"/>
  </r>
  <r>
    <x v="3"/>
    <x v="489"/>
    <n v="37.57"/>
  </r>
  <r>
    <x v="3"/>
    <x v="490"/>
    <n v="37.310001"/>
  </r>
  <r>
    <x v="3"/>
    <x v="491"/>
    <n v="36.020000000000003"/>
  </r>
  <r>
    <x v="3"/>
    <x v="492"/>
    <n v="36.790000999999997"/>
  </r>
  <r>
    <x v="3"/>
    <x v="493"/>
    <n v="37.330002"/>
  </r>
  <r>
    <x v="3"/>
    <x v="494"/>
    <n v="37.409999999999997"/>
  </r>
  <r>
    <x v="3"/>
    <x v="495"/>
    <n v="38.709999000000003"/>
  </r>
  <r>
    <x v="3"/>
    <x v="496"/>
    <n v="39.290000999999997"/>
  </r>
  <r>
    <x v="3"/>
    <x v="497"/>
    <n v="39.25"/>
  </r>
  <r>
    <x v="3"/>
    <x v="498"/>
    <n v="36.5"/>
  </r>
  <r>
    <x v="3"/>
    <x v="499"/>
    <n v="36.549999"/>
  </r>
  <r>
    <x v="3"/>
    <x v="500"/>
    <n v="36.240001999999997"/>
  </r>
  <r>
    <x v="4"/>
    <x v="0"/>
    <n v="20.338234"/>
  </r>
  <r>
    <x v="4"/>
    <x v="1"/>
    <n v="19.758482000000001"/>
  </r>
  <r>
    <x v="4"/>
    <x v="2"/>
    <n v="19.196294999999999"/>
  </r>
  <r>
    <x v="4"/>
    <x v="3"/>
    <n v="19.208006000000001"/>
  </r>
  <r>
    <x v="4"/>
    <x v="4"/>
    <n v="18.704381999999999"/>
  </r>
  <r>
    <x v="4"/>
    <x v="5"/>
    <n v="19.149446000000001"/>
  </r>
  <r>
    <x v="4"/>
    <x v="6"/>
    <n v="19.137733000000001"/>
  </r>
  <r>
    <x v="4"/>
    <x v="7"/>
    <n v="18.844929"/>
  </r>
  <r>
    <x v="4"/>
    <x v="8"/>
    <n v="19.038179"/>
  </r>
  <r>
    <x v="4"/>
    <x v="9"/>
    <n v="18.481850000000001"/>
  </r>
  <r>
    <x v="4"/>
    <x v="10"/>
    <n v="18.440857000000001"/>
  </r>
  <r>
    <x v="4"/>
    <x v="11"/>
    <n v="18.704381999999999"/>
  </r>
  <r>
    <x v="4"/>
    <x v="12"/>
    <n v="19.213861000000001"/>
  </r>
  <r>
    <x v="4"/>
    <x v="13"/>
    <n v="18.815649000000001"/>
  </r>
  <r>
    <x v="4"/>
    <x v="14"/>
    <n v="19.366121"/>
  </r>
  <r>
    <x v="4"/>
    <x v="15"/>
    <n v="19.278276000000002"/>
  </r>
  <r>
    <x v="4"/>
    <x v="16"/>
    <n v="18.956194"/>
  </r>
  <r>
    <x v="4"/>
    <x v="17"/>
    <n v="18.803936"/>
  </r>
  <r>
    <x v="4"/>
    <x v="18"/>
    <n v="18.944483000000002"/>
  </r>
  <r>
    <x v="4"/>
    <x v="19"/>
    <n v="19.049892"/>
  </r>
  <r>
    <x v="4"/>
    <x v="20"/>
    <n v="19.688206000000001"/>
  </r>
  <r>
    <x v="4"/>
    <x v="21"/>
    <n v="19.957585999999999"/>
  </r>
  <r>
    <x v="4"/>
    <x v="22"/>
    <n v="19.969297000000001"/>
  </r>
  <r>
    <x v="4"/>
    <x v="23"/>
    <n v="19.711632000000002"/>
  </r>
  <r>
    <x v="4"/>
    <x v="24"/>
    <n v="20.016148000000001"/>
  </r>
  <r>
    <x v="4"/>
    <x v="25"/>
    <n v="20.683743"/>
  </r>
  <r>
    <x v="4"/>
    <x v="26"/>
    <n v="20.964835999999998"/>
  </r>
  <r>
    <x v="4"/>
    <x v="27"/>
    <n v="21.339625999999999"/>
  </r>
  <r>
    <x v="4"/>
    <x v="28"/>
    <n v="21.380617000000001"/>
  </r>
  <r>
    <x v="4"/>
    <x v="29"/>
    <n v="21.778831"/>
  </r>
  <r>
    <x v="4"/>
    <x v="30"/>
    <n v="22.188761"/>
  </r>
  <r>
    <x v="4"/>
    <x v="31"/>
    <n v="22.510846999999998"/>
  </r>
  <r>
    <x v="4"/>
    <x v="32"/>
    <n v="22.522558"/>
  </r>
  <r>
    <x v="4"/>
    <x v="33"/>
    <n v="22.276603999999999"/>
  </r>
  <r>
    <x v="4"/>
    <x v="34"/>
    <n v="21.890101999999999"/>
  </r>
  <r>
    <x v="4"/>
    <x v="35"/>
    <n v="21.292777999999998"/>
  </r>
  <r>
    <x v="4"/>
    <x v="36"/>
    <n v="20.730595000000001"/>
  </r>
  <r>
    <x v="4"/>
    <x v="37"/>
    <n v="20.168406999999998"/>
  </r>
  <r>
    <x v="4"/>
    <x v="38"/>
    <n v="19.899025000000002"/>
  </r>
  <r>
    <x v="4"/>
    <x v="39"/>
    <n v="19.811185999999999"/>
  </r>
  <r>
    <x v="4"/>
    <x v="40"/>
    <n v="19.863890000000001"/>
  </r>
  <r>
    <x v="4"/>
    <x v="41"/>
    <n v="20.133272000000002"/>
  </r>
  <r>
    <x v="4"/>
    <x v="42"/>
    <n v="20.068853000000001"/>
  </r>
  <r>
    <x v="4"/>
    <x v="43"/>
    <n v="19.676493000000001"/>
  </r>
  <r>
    <x v="4"/>
    <x v="44"/>
    <n v="18.511129"/>
  </r>
  <r>
    <x v="4"/>
    <x v="45"/>
    <n v="18.27103"/>
  </r>
  <r>
    <x v="4"/>
    <x v="46"/>
    <n v="18.423287999999999"/>
  </r>
  <r>
    <x v="4"/>
    <x v="47"/>
    <n v="18.493561"/>
  </r>
  <r>
    <x v="4"/>
    <x v="48"/>
    <n v="18.165621000000002"/>
  </r>
  <r>
    <x v="4"/>
    <x v="49"/>
    <n v="18.434999000000001"/>
  </r>
  <r>
    <x v="4"/>
    <x v="50"/>
    <n v="18.675101999999999"/>
  </r>
  <r>
    <x v="4"/>
    <x v="51"/>
    <n v="18.757086000000001"/>
  </r>
  <r>
    <x v="4"/>
    <x v="52"/>
    <n v="18.856642000000001"/>
  </r>
  <r>
    <x v="4"/>
    <x v="53"/>
    <n v="19.260712000000002"/>
  </r>
  <r>
    <x v="4"/>
    <x v="54"/>
    <n v="19.190436999999999"/>
  </r>
  <r>
    <x v="4"/>
    <x v="55"/>
    <n v="19.055748000000001"/>
  </r>
  <r>
    <x v="4"/>
    <x v="56"/>
    <n v="19.032326000000001"/>
  </r>
  <r>
    <x v="4"/>
    <x v="57"/>
    <n v="19.711632000000002"/>
  </r>
  <r>
    <x v="4"/>
    <x v="58"/>
    <n v="19.325129"/>
  </r>
  <r>
    <x v="4"/>
    <x v="59"/>
    <n v="19.225577999999999"/>
  </r>
  <r>
    <x v="4"/>
    <x v="60"/>
    <n v="19.342694999999999"/>
  </r>
  <r>
    <x v="4"/>
    <x v="61"/>
    <n v="20.062995999999998"/>
  </r>
  <r>
    <x v="4"/>
    <x v="62"/>
    <n v="20.432547"/>
  </r>
  <r>
    <x v="4"/>
    <x v="63"/>
    <n v="20.951111000000001"/>
  </r>
  <r>
    <x v="4"/>
    <x v="64"/>
    <n v="20.903427000000001"/>
  </r>
  <r>
    <x v="4"/>
    <x v="65"/>
    <n v="20.194127999999999"/>
  </r>
  <r>
    <x v="4"/>
    <x v="66"/>
    <n v="20.635202"/>
  </r>
  <r>
    <x v="4"/>
    <x v="67"/>
    <n v="21.314696999999999"/>
  </r>
  <r>
    <x v="4"/>
    <x v="68"/>
    <n v="21.427949999999999"/>
  </r>
  <r>
    <x v="4"/>
    <x v="69"/>
    <n v="20.986872000000002"/>
  </r>
  <r>
    <x v="4"/>
    <x v="70"/>
    <n v="21.129925"/>
  </r>
  <r>
    <x v="4"/>
    <x v="71"/>
    <n v="21.004754999999999"/>
  </r>
  <r>
    <x v="4"/>
    <x v="72"/>
    <n v="21.028594999999999"/>
  </r>
  <r>
    <x v="4"/>
    <x v="73"/>
    <n v="20.933228"/>
  </r>
  <r>
    <x v="4"/>
    <x v="74"/>
    <n v="20.617322999999999"/>
  </r>
  <r>
    <x v="4"/>
    <x v="75"/>
    <n v="20.498114000000001"/>
  </r>
  <r>
    <x v="4"/>
    <x v="76"/>
    <n v="20.474271999999999"/>
  </r>
  <r>
    <x v="4"/>
    <x v="77"/>
    <n v="20.217970000000001"/>
  </r>
  <r>
    <x v="4"/>
    <x v="78"/>
    <n v="20.372941999999998"/>
  </r>
  <r>
    <x v="4"/>
    <x v="79"/>
    <n v="20.289494999999999"/>
  </r>
  <r>
    <x v="4"/>
    <x v="80"/>
    <n v="20.128564999999998"/>
  </r>
  <r>
    <x v="4"/>
    <x v="81"/>
    <n v="20.134523000000002"/>
  </r>
  <r>
    <x v="4"/>
    <x v="82"/>
    <n v="20.325258000000002"/>
  </r>
  <r>
    <x v="4"/>
    <x v="83"/>
    <n v="20.378900999999999"/>
  </r>
  <r>
    <x v="4"/>
    <x v="84"/>
    <n v="20.843821999999999"/>
  </r>
  <r>
    <x v="4"/>
    <x v="85"/>
    <n v="20.563679"/>
  </r>
  <r>
    <x v="4"/>
    <x v="86"/>
    <n v="20.742493"/>
  </r>
  <r>
    <x v="4"/>
    <x v="87"/>
    <n v="20.122601"/>
  </r>
  <r>
    <x v="4"/>
    <x v="88"/>
    <n v="19.520592000000001"/>
  </r>
  <r>
    <x v="4"/>
    <x v="89"/>
    <n v="19.884181999999999"/>
  </r>
  <r>
    <x v="4"/>
    <x v="90"/>
    <n v="20.068956"/>
  </r>
  <r>
    <x v="4"/>
    <x v="91"/>
    <n v="20.301418000000002"/>
  </r>
  <r>
    <x v="4"/>
    <x v="92"/>
    <n v="20.098761"/>
  </r>
  <r>
    <x v="4"/>
    <x v="93"/>
    <n v="20.3491"/>
  </r>
  <r>
    <x v="4"/>
    <x v="94"/>
    <n v="20.450430000000001"/>
  </r>
  <r>
    <x v="4"/>
    <x v="95"/>
    <n v="21.028594999999999"/>
  </r>
  <r>
    <x v="4"/>
    <x v="96"/>
    <n v="21.314696999999999"/>
  </r>
  <r>
    <x v="4"/>
    <x v="97"/>
    <n v="21.350462"/>
  </r>
  <r>
    <x v="4"/>
    <x v="98"/>
    <n v="21.55312"/>
  </r>
  <r>
    <x v="4"/>
    <x v="99"/>
    <n v="21.249136"/>
  </r>
  <r>
    <x v="4"/>
    <x v="100"/>
    <n v="21.302779999999998"/>
  </r>
  <r>
    <x v="4"/>
    <x v="101"/>
    <n v="21.153769"/>
  </r>
  <r>
    <x v="4"/>
    <x v="102"/>
    <n v="21.374306000000001"/>
  </r>
  <r>
    <x v="4"/>
    <x v="103"/>
    <n v="20.968990000000002"/>
  </r>
  <r>
    <x v="4"/>
    <x v="104"/>
    <n v="21.410067000000002"/>
  </r>
  <r>
    <x v="4"/>
    <x v="105"/>
    <n v="21.219332000000001"/>
  </r>
  <r>
    <x v="4"/>
    <x v="106"/>
    <n v="20.796137000000002"/>
  </r>
  <r>
    <x v="4"/>
    <x v="107"/>
    <n v="20.736532"/>
  </r>
  <r>
    <x v="4"/>
    <x v="108"/>
    <n v="20.206049"/>
  </r>
  <r>
    <x v="4"/>
    <x v="109"/>
    <n v="20.390823000000001"/>
  </r>
  <r>
    <x v="4"/>
    <x v="110"/>
    <n v="20.897466999999999"/>
  </r>
  <r>
    <x v="4"/>
    <x v="111"/>
    <n v="21.362385"/>
  </r>
  <r>
    <x v="4"/>
    <x v="112"/>
    <n v="21.284897000000001"/>
  </r>
  <r>
    <x v="4"/>
    <x v="113"/>
    <n v="21.451792000000001"/>
  </r>
  <r>
    <x v="4"/>
    <x v="114"/>
    <n v="21.797498999999998"/>
  </r>
  <r>
    <x v="4"/>
    <x v="115"/>
    <n v="21.940550000000002"/>
  </r>
  <r>
    <x v="4"/>
    <x v="116"/>
    <n v="21.541198999999999"/>
  </r>
  <r>
    <x v="4"/>
    <x v="117"/>
    <n v="21.100124000000001"/>
  </r>
  <r>
    <x v="4"/>
    <x v="118"/>
    <n v="20.420625999999999"/>
  </r>
  <r>
    <x v="4"/>
    <x v="119"/>
    <n v="20.843821999999999"/>
  </r>
  <r>
    <x v="4"/>
    <x v="120"/>
    <n v="20.104721000000001"/>
  </r>
  <r>
    <x v="4"/>
    <x v="121"/>
    <n v="20.110683000000002"/>
  </r>
  <r>
    <x v="4"/>
    <x v="122"/>
    <n v="20.331220999999999"/>
  </r>
  <r>
    <x v="4"/>
    <x v="123"/>
    <n v="19.782854"/>
  </r>
  <r>
    <x v="4"/>
    <x v="124"/>
    <n v="19.139122"/>
  </r>
  <r>
    <x v="4"/>
    <x v="125"/>
    <n v="19.282173"/>
  </r>
  <r>
    <x v="4"/>
    <x v="126"/>
    <n v="19.937828"/>
  </r>
  <r>
    <x v="4"/>
    <x v="127"/>
    <n v="20.623283000000001"/>
  </r>
  <r>
    <x v="4"/>
    <x v="128"/>
    <n v="20.921306999999999"/>
  </r>
  <r>
    <x v="4"/>
    <x v="129"/>
    <n v="19.96763"/>
  </r>
  <r>
    <x v="4"/>
    <x v="130"/>
    <n v="19.848419"/>
  </r>
  <r>
    <x v="4"/>
    <x v="131"/>
    <n v="20.170286000000001"/>
  </r>
  <r>
    <x v="4"/>
    <x v="132"/>
    <n v="20.432547"/>
  </r>
  <r>
    <x v="4"/>
    <x v="133"/>
    <n v="19.782854"/>
  </r>
  <r>
    <x v="4"/>
    <x v="134"/>
    <n v="19.812657999999999"/>
  </r>
  <r>
    <x v="4"/>
    <x v="135"/>
    <n v="19.878222000000001"/>
  </r>
  <r>
    <x v="4"/>
    <x v="136"/>
    <n v="5.3892860000000002"/>
  </r>
  <r>
    <x v="4"/>
    <x v="137"/>
    <n v="5.4682250000000003"/>
  </r>
  <r>
    <x v="4"/>
    <x v="138"/>
    <n v="5.4353350000000002"/>
  </r>
  <r>
    <x v="4"/>
    <x v="139"/>
    <n v="5.3711960000000003"/>
  </r>
  <r>
    <x v="4"/>
    <x v="140"/>
    <n v="5.0389900000000001"/>
  </r>
  <r>
    <x v="4"/>
    <x v="141"/>
    <n v="4.9518279999999999"/>
  </r>
  <r>
    <x v="4"/>
    <x v="142"/>
    <n v="5.1080629999999996"/>
  </r>
  <r>
    <x v="4"/>
    <x v="143"/>
    <n v="4.8794659999999999"/>
  </r>
  <r>
    <x v="4"/>
    <x v="144"/>
    <n v="4.8054600000000001"/>
  </r>
  <r>
    <x v="4"/>
    <x v="145"/>
    <n v="4.7544789999999999"/>
  </r>
  <r>
    <x v="4"/>
    <x v="146"/>
    <n v="4.7923039999999997"/>
  </r>
  <r>
    <x v="4"/>
    <x v="147"/>
    <n v="4.7215870000000004"/>
  </r>
  <r>
    <x v="4"/>
    <x v="148"/>
    <n v="4.4897010000000002"/>
  </r>
  <r>
    <x v="4"/>
    <x v="149"/>
    <n v="4.4156950000000004"/>
  </r>
  <r>
    <x v="4"/>
    <x v="150"/>
    <n v="4.0160629999999999"/>
  </r>
  <r>
    <x v="4"/>
    <x v="151"/>
    <n v="4.0242849999999999"/>
  </r>
  <r>
    <x v="4"/>
    <x v="152"/>
    <n v="3.892719"/>
  </r>
  <r>
    <x v="4"/>
    <x v="153"/>
    <n v="3.4601950000000001"/>
  </r>
  <r>
    <x v="4"/>
    <x v="154"/>
    <n v="3.4552610000000001"/>
  </r>
  <r>
    <x v="4"/>
    <x v="155"/>
    <n v="3.405923"/>
  </r>
  <r>
    <x v="4"/>
    <x v="156"/>
    <n v="3.465128"/>
  </r>
  <r>
    <x v="4"/>
    <x v="157"/>
    <n v="3.1575920000000002"/>
  </r>
  <r>
    <x v="4"/>
    <x v="158"/>
    <n v="3.2332429999999999"/>
  </r>
  <r>
    <x v="4"/>
    <x v="159"/>
    <n v="3.2422879999999998"/>
  </r>
  <r>
    <x v="4"/>
    <x v="160"/>
    <n v="4.1803999999999997"/>
  </r>
  <r>
    <x v="4"/>
    <x v="161"/>
    <n v="4.509423"/>
  </r>
  <r>
    <x v="4"/>
    <x v="162"/>
    <n v="4.5747780000000002"/>
  </r>
  <r>
    <x v="4"/>
    <x v="163"/>
    <n v="4.6130890000000004"/>
  </r>
  <r>
    <x v="4"/>
    <x v="164"/>
    <n v="4.3944910000000004"/>
  </r>
  <r>
    <x v="4"/>
    <x v="165"/>
    <n v="4.6468920000000002"/>
  </r>
  <r>
    <x v="4"/>
    <x v="166"/>
    <n v="4.8947859999999999"/>
  </r>
  <r>
    <x v="4"/>
    <x v="167"/>
    <n v="4.5905519999999997"/>
  </r>
  <r>
    <x v="4"/>
    <x v="168"/>
    <n v="4.6581599999999996"/>
  </r>
  <r>
    <x v="4"/>
    <x v="169"/>
    <n v="4.7009780000000001"/>
  </r>
  <r>
    <x v="4"/>
    <x v="170"/>
    <n v="4.9871829999999999"/>
  </r>
  <r>
    <x v="4"/>
    <x v="171"/>
    <n v="5.259868"/>
  </r>
  <r>
    <x v="4"/>
    <x v="172"/>
    <n v="5.259868"/>
  </r>
  <r>
    <x v="4"/>
    <x v="173"/>
    <n v="5.2238100000000003"/>
  </r>
  <r>
    <x v="4"/>
    <x v="174"/>
    <n v="5.1900060000000003"/>
  </r>
  <r>
    <x v="4"/>
    <x v="175"/>
    <n v="4.8497149999999998"/>
  </r>
  <r>
    <x v="4"/>
    <x v="176"/>
    <n v="4.8519680000000003"/>
  </r>
  <r>
    <x v="4"/>
    <x v="177"/>
    <n v="5.2576140000000002"/>
  </r>
  <r>
    <x v="4"/>
    <x v="178"/>
    <n v="5.2508530000000002"/>
  </r>
  <r>
    <x v="4"/>
    <x v="179"/>
    <n v="4.9826759999999997"/>
  </r>
  <r>
    <x v="4"/>
    <x v="180"/>
    <n v="5.0300010000000004"/>
  </r>
  <r>
    <x v="4"/>
    <x v="181"/>
    <n v="5.2193019999999999"/>
  </r>
  <r>
    <x v="4"/>
    <x v="182"/>
    <n v="5.1449340000000001"/>
  </r>
  <r>
    <x v="4"/>
    <x v="183"/>
    <n v="5.2733879999999997"/>
  </r>
  <r>
    <x v="4"/>
    <x v="184"/>
    <n v="5.4739579999999997"/>
  </r>
  <r>
    <x v="4"/>
    <x v="185"/>
    <n v="5.7421340000000001"/>
  </r>
  <r>
    <x v="4"/>
    <x v="186"/>
    <n v="5.7083310000000003"/>
  </r>
  <r>
    <x v="4"/>
    <x v="187"/>
    <n v="5.3364900000000004"/>
  </r>
  <r>
    <x v="4"/>
    <x v="188"/>
    <n v="5.5190299999999999"/>
  </r>
  <r>
    <x v="4"/>
    <x v="189"/>
    <n v="5.6181869999999998"/>
  </r>
  <r>
    <x v="4"/>
    <x v="190"/>
    <n v="5.6046659999999999"/>
  </r>
  <r>
    <x v="4"/>
    <x v="191"/>
    <n v="5.9517179999999996"/>
  </r>
  <r>
    <x v="4"/>
    <x v="192"/>
    <n v="5.809742"/>
  </r>
  <r>
    <x v="4"/>
    <x v="193"/>
    <n v="5.7150910000000001"/>
  </r>
  <r>
    <x v="4"/>
    <x v="194"/>
    <n v="5.5460719999999997"/>
  </r>
  <r>
    <x v="4"/>
    <x v="195"/>
    <n v="5.3455029999999999"/>
  </r>
  <r>
    <x v="4"/>
    <x v="196"/>
    <n v="5.5348040000000003"/>
  </r>
  <r>
    <x v="4"/>
    <x v="197"/>
    <n v="5.881856"/>
  </r>
  <r>
    <x v="4"/>
    <x v="198"/>
    <n v="5.9967889999999997"/>
  </r>
  <r>
    <x v="4"/>
    <x v="199"/>
    <n v="6.1838369999999996"/>
  </r>
  <r>
    <x v="4"/>
    <x v="200"/>
    <n v="6.1094679999999997"/>
  </r>
  <r>
    <x v="4"/>
    <x v="201"/>
    <n v="6.2694739999999998"/>
  </r>
  <r>
    <x v="4"/>
    <x v="202"/>
    <n v="6.5038460000000002"/>
  </r>
  <r>
    <x v="4"/>
    <x v="203"/>
    <n v="6.578214"/>
  </r>
  <r>
    <x v="4"/>
    <x v="204"/>
    <n v="6.6525829999999999"/>
  </r>
  <r>
    <x v="4"/>
    <x v="205"/>
    <n v="6.5737069999999997"/>
  </r>
  <r>
    <x v="4"/>
    <x v="206"/>
    <n v="6.7021620000000004"/>
  </r>
  <r>
    <x v="4"/>
    <x v="207"/>
    <n v="6.7585009999999999"/>
  </r>
  <r>
    <x v="4"/>
    <x v="208"/>
    <n v="7.008648"/>
  </r>
  <r>
    <x v="4"/>
    <x v="209"/>
    <n v="7.0176639999999999"/>
  </r>
  <r>
    <x v="4"/>
    <x v="210"/>
    <n v="7.2633039999999998"/>
  </r>
  <r>
    <x v="4"/>
    <x v="211"/>
    <n v="7.3038679999999996"/>
  </r>
  <r>
    <x v="4"/>
    <x v="212"/>
    <n v="7.2407680000000001"/>
  </r>
  <r>
    <x v="4"/>
    <x v="213"/>
    <n v="7.2452750000000004"/>
  </r>
  <r>
    <x v="4"/>
    <x v="214"/>
    <n v="6.690893"/>
  </r>
  <r>
    <x v="4"/>
    <x v="215"/>
    <n v="6.7134299999999998"/>
  </r>
  <r>
    <x v="4"/>
    <x v="216"/>
    <n v="6.8621670000000003"/>
  </r>
  <r>
    <x v="4"/>
    <x v="217"/>
    <n v="7.2542900000000001"/>
  </r>
  <r>
    <x v="4"/>
    <x v="218"/>
    <n v="8.3798130000000004"/>
  </r>
  <r>
    <x v="4"/>
    <x v="219"/>
    <n v="8.1394640000000003"/>
  </r>
  <r>
    <x v="4"/>
    <x v="220"/>
    <n v="8.1070580000000003"/>
  </r>
  <r>
    <x v="4"/>
    <x v="221"/>
    <n v="8.4797329999999995"/>
  </r>
  <r>
    <x v="4"/>
    <x v="222"/>
    <n v="8.3068989999999996"/>
  </r>
  <r>
    <x v="4"/>
    <x v="223"/>
    <n v="8.1205610000000004"/>
  </r>
  <r>
    <x v="4"/>
    <x v="224"/>
    <n v="8.1502680000000005"/>
  </r>
  <r>
    <x v="4"/>
    <x v="225"/>
    <n v="8.1772720000000003"/>
  </r>
  <r>
    <x v="4"/>
    <x v="226"/>
    <n v="7.8775110000000002"/>
  </r>
  <r>
    <x v="4"/>
    <x v="227"/>
    <n v="8.7208179999999995"/>
  </r>
  <r>
    <x v="4"/>
    <x v="228"/>
    <n v="8.6523050000000001"/>
  </r>
  <r>
    <x v="4"/>
    <x v="229"/>
    <n v="8.4957019999999996"/>
  </r>
  <r>
    <x v="4"/>
    <x v="230"/>
    <n v="8.7423520000000003"/>
  </r>
  <r>
    <x v="4"/>
    <x v="231"/>
    <n v="9.0477270000000001"/>
  </r>
  <r>
    <x v="4"/>
    <x v="232"/>
    <n v="8.5798749999999995"/>
  </r>
  <r>
    <x v="4"/>
    <x v="233"/>
    <n v="8.4800409999999999"/>
  </r>
  <r>
    <x v="4"/>
    <x v="234"/>
    <n v="8.4741689999999998"/>
  </r>
  <r>
    <x v="4"/>
    <x v="235"/>
    <n v="11.657121"/>
  </r>
  <r>
    <x v="4"/>
    <x v="236"/>
    <n v="11.544562000000001"/>
  </r>
  <r>
    <x v="4"/>
    <x v="237"/>
    <n v="11.666907999999999"/>
  </r>
  <r>
    <x v="4"/>
    <x v="238"/>
    <n v="11.882237"/>
  </r>
  <r>
    <x v="4"/>
    <x v="239"/>
    <n v="11.940963"/>
  </r>
  <r>
    <x v="4"/>
    <x v="240"/>
    <n v="11.852874"/>
  </r>
  <r>
    <x v="4"/>
    <x v="241"/>
    <n v="11.794148"/>
  </r>
  <r>
    <x v="4"/>
    <x v="242"/>
    <n v="11.892023999999999"/>
  </r>
  <r>
    <x v="4"/>
    <x v="243"/>
    <n v="11.857767000000001"/>
  </r>
  <r>
    <x v="4"/>
    <x v="244"/>
    <n v="11.813723"/>
  </r>
  <r>
    <x v="4"/>
    <x v="245"/>
    <n v="11.852874"/>
  </r>
  <r>
    <x v="4"/>
    <x v="246"/>
    <n v="11.843086"/>
  </r>
  <r>
    <x v="4"/>
    <x v="247"/>
    <n v="11.843086"/>
  </r>
  <r>
    <x v="4"/>
    <x v="248"/>
    <n v="11.901813000000001"/>
  </r>
  <r>
    <x v="4"/>
    <x v="249"/>
    <n v="11.980112999999999"/>
  </r>
  <r>
    <x v="4"/>
    <x v="250"/>
    <n v="11.906706"/>
  </r>
  <r>
    <x v="4"/>
    <x v="251"/>
    <n v="11.706059"/>
  </r>
  <r>
    <x v="4"/>
    <x v="252"/>
    <n v="11.779467"/>
  </r>
  <r>
    <x v="4"/>
    <x v="253"/>
    <n v="11.754996999999999"/>
  </r>
  <r>
    <x v="4"/>
    <x v="254"/>
    <n v="11.892023999999999"/>
  </r>
  <r>
    <x v="4"/>
    <x v="255"/>
    <n v="11.857767000000001"/>
  </r>
  <r>
    <x v="4"/>
    <x v="256"/>
    <n v="11.9116"/>
  </r>
  <r>
    <x v="4"/>
    <x v="257"/>
    <n v="11.735421000000001"/>
  </r>
  <r>
    <x v="4"/>
    <x v="258"/>
    <n v="11.588607"/>
  </r>
  <r>
    <x v="4"/>
    <x v="259"/>
    <n v="11.353702999999999"/>
  </r>
  <r>
    <x v="4"/>
    <x v="260"/>
    <n v="11.246036999999999"/>
  </r>
  <r>
    <x v="4"/>
    <x v="261"/>
    <n v="11.304765"/>
  </r>
  <r>
    <x v="4"/>
    <x v="262"/>
    <n v="11.280294"/>
  </r>
  <r>
    <x v="4"/>
    <x v="263"/>
    <n v="11.255826000000001"/>
  </r>
  <r>
    <x v="4"/>
    <x v="264"/>
    <n v="11.192206000000001"/>
  </r>
  <r>
    <x v="4"/>
    <x v="265"/>
    <n v="11.285189000000001"/>
  </r>
  <r>
    <x v="4"/>
    <x v="266"/>
    <n v="11.206887"/>
  </r>
  <r>
    <x v="4"/>
    <x v="267"/>
    <n v="11.23625"/>
  </r>
  <r>
    <x v="4"/>
    <x v="268"/>
    <n v="11.143268000000001"/>
  </r>
  <r>
    <x v="4"/>
    <x v="269"/>
    <n v="11.128586"/>
  </r>
  <r>
    <x v="4"/>
    <x v="270"/>
    <n v="11.197100000000001"/>
  </r>
  <r>
    <x v="4"/>
    <x v="271"/>
    <n v="11.162843000000001"/>
  </r>
  <r>
    <x v="4"/>
    <x v="272"/>
    <n v="11.23625"/>
  </r>
  <r>
    <x v="4"/>
    <x v="273"/>
    <n v="11.255826000000001"/>
  </r>
  <r>
    <x v="4"/>
    <x v="274"/>
    <n v="11.280294"/>
  </r>
  <r>
    <x v="4"/>
    <x v="275"/>
    <n v="11.29987"/>
  </r>
  <r>
    <x v="4"/>
    <x v="276"/>
    <n v="11.353702999999999"/>
  </r>
  <r>
    <x v="4"/>
    <x v="277"/>
    <n v="11.422216000000001"/>
  </r>
  <r>
    <x v="4"/>
    <x v="278"/>
    <n v="11.353702999999999"/>
  </r>
  <r>
    <x v="4"/>
    <x v="279"/>
    <n v="11.353702999999999"/>
  </r>
  <r>
    <x v="4"/>
    <x v="280"/>
    <n v="11.334127000000001"/>
  </r>
  <r>
    <x v="4"/>
    <x v="281"/>
    <n v="11.392854"/>
  </r>
  <r>
    <x v="4"/>
    <x v="282"/>
    <n v="11.451579000000001"/>
  </r>
  <r>
    <x v="4"/>
    <x v="283"/>
    <n v="11.451579000000001"/>
  </r>
  <r>
    <x v="4"/>
    <x v="284"/>
    <n v="11.5152"/>
  </r>
  <r>
    <x v="4"/>
    <x v="285"/>
    <n v="11.294976"/>
  </r>
  <r>
    <x v="4"/>
    <x v="286"/>
    <n v="11.329233"/>
  </r>
  <r>
    <x v="4"/>
    <x v="287"/>
    <n v="11.353702999999999"/>
  </r>
  <r>
    <x v="4"/>
    <x v="288"/>
    <n v="11.255826000000001"/>
  </r>
  <r>
    <x v="4"/>
    <x v="289"/>
    <n v="11.246036999999999"/>
  </r>
  <r>
    <x v="4"/>
    <x v="290"/>
    <n v="11.255826000000001"/>
  </r>
  <r>
    <x v="4"/>
    <x v="291"/>
    <n v="11.500518"/>
  </r>
  <r>
    <x v="4"/>
    <x v="292"/>
    <n v="11.309658000000001"/>
  </r>
  <r>
    <x v="4"/>
    <x v="293"/>
    <n v="11.255826000000001"/>
  </r>
  <r>
    <x v="4"/>
    <x v="294"/>
    <n v="11.451579000000001"/>
  </r>
  <r>
    <x v="4"/>
    <x v="295"/>
    <n v="11.280294"/>
  </r>
  <r>
    <x v="4"/>
    <x v="296"/>
    <n v="11.353702999999999"/>
  </r>
  <r>
    <x v="4"/>
    <x v="297"/>
    <n v="11.304765"/>
  </r>
  <r>
    <x v="4"/>
    <x v="298"/>
    <n v="11.334127000000001"/>
  </r>
  <r>
    <x v="4"/>
    <x v="299"/>
    <n v="11.324339"/>
  </r>
  <r>
    <x v="4"/>
    <x v="300"/>
    <n v="11.432003999999999"/>
  </r>
  <r>
    <x v="4"/>
    <x v="301"/>
    <n v="11.294976"/>
  </r>
  <r>
    <x v="4"/>
    <x v="302"/>
    <n v="11.280294"/>
  </r>
  <r>
    <x v="4"/>
    <x v="303"/>
    <n v="11.68159"/>
  </r>
  <r>
    <x v="4"/>
    <x v="304"/>
    <n v="11.657121"/>
  </r>
  <r>
    <x v="4"/>
    <x v="305"/>
    <n v="11.569031000000001"/>
  </r>
  <r>
    <x v="4"/>
    <x v="306"/>
    <n v="11.40264"/>
  </r>
  <r>
    <x v="4"/>
    <x v="307"/>
    <n v="11.363490000000001"/>
  </r>
  <r>
    <x v="4"/>
    <x v="308"/>
    <n v="11.40264"/>
  </r>
  <r>
    <x v="4"/>
    <x v="309"/>
    <n v="11.353702999999999"/>
  </r>
  <r>
    <x v="4"/>
    <x v="310"/>
    <n v="11.255826000000001"/>
  </r>
  <r>
    <x v="4"/>
    <x v="311"/>
    <n v="11.275401"/>
  </r>
  <r>
    <x v="4"/>
    <x v="312"/>
    <n v="11.128586"/>
  </r>
  <r>
    <x v="4"/>
    <x v="313"/>
    <n v="11.216675"/>
  </r>
  <r>
    <x v="4"/>
    <x v="314"/>
    <n v="11.250932000000001"/>
  </r>
  <r>
    <x v="4"/>
    <x v="315"/>
    <n v="10.418979999999999"/>
  </r>
  <r>
    <x v="4"/>
    <x v="316"/>
    <n v="10.237907"/>
  </r>
  <r>
    <x v="4"/>
    <x v="317"/>
    <n v="10.130243"/>
  </r>
  <r>
    <x v="4"/>
    <x v="318"/>
    <n v="10.575583"/>
  </r>
  <r>
    <x v="4"/>
    <x v="319"/>
    <n v="10.169394"/>
  </r>
  <r>
    <x v="4"/>
    <x v="320"/>
    <n v="10.355359999999999"/>
  </r>
  <r>
    <x v="4"/>
    <x v="321"/>
    <n v="9.9295960000000001"/>
  </r>
  <r>
    <x v="4"/>
    <x v="322"/>
    <n v="9.7739720000000005"/>
  </r>
  <r>
    <x v="4"/>
    <x v="323"/>
    <n v="9.9687470000000005"/>
  </r>
  <r>
    <x v="4"/>
    <x v="324"/>
    <n v="9.9198079999999997"/>
  </r>
  <r>
    <x v="4"/>
    <x v="325"/>
    <n v="9.9247029999999992"/>
  </r>
  <r>
    <x v="4"/>
    <x v="326"/>
    <n v="9.87087"/>
  </r>
  <r>
    <x v="4"/>
    <x v="327"/>
    <n v="9.9247029999999992"/>
  </r>
  <r>
    <x v="4"/>
    <x v="328"/>
    <n v="9.9051270000000002"/>
  </r>
  <r>
    <x v="4"/>
    <x v="329"/>
    <n v="10.051942"/>
  </r>
  <r>
    <x v="4"/>
    <x v="330"/>
    <n v="10.472811999999999"/>
  </r>
  <r>
    <x v="4"/>
    <x v="331"/>
    <n v="10.746866000000001"/>
  </r>
  <r>
    <x v="4"/>
    <x v="332"/>
    <n v="10.629415"/>
  </r>
  <r>
    <x v="4"/>
    <x v="333"/>
    <n v="10.639201999999999"/>
  </r>
  <r>
    <x v="4"/>
    <x v="334"/>
    <n v="10.697927999999999"/>
  </r>
  <r>
    <x v="4"/>
    <x v="335"/>
    <n v="10.590263"/>
  </r>
  <r>
    <x v="4"/>
    <x v="336"/>
    <n v="10.702823"/>
  </r>
  <r>
    <x v="4"/>
    <x v="337"/>
    <n v="10.595158"/>
  </r>
  <r>
    <x v="4"/>
    <x v="338"/>
    <n v="10.565795"/>
  </r>
  <r>
    <x v="4"/>
    <x v="339"/>
    <n v="10.668564999999999"/>
  </r>
  <r>
    <x v="4"/>
    <x v="340"/>
    <n v="10.712609"/>
  </r>
  <r>
    <x v="4"/>
    <x v="341"/>
    <n v="10.854531"/>
  </r>
  <r>
    <x v="4"/>
    <x v="342"/>
    <n v="10.668564999999999"/>
  </r>
  <r>
    <x v="4"/>
    <x v="343"/>
    <n v="10.487494"/>
  </r>
  <r>
    <x v="4"/>
    <x v="344"/>
    <n v="10.448342"/>
  </r>
  <r>
    <x v="4"/>
    <x v="345"/>
    <n v="10.521750000000001"/>
  </r>
  <r>
    <x v="4"/>
    <x v="346"/>
    <n v="10.707716"/>
  </r>
  <r>
    <x v="4"/>
    <x v="347"/>
    <n v="10.869211999999999"/>
  </r>
  <r>
    <x v="4"/>
    <x v="348"/>
    <n v="10.712609"/>
  </r>
  <r>
    <x v="4"/>
    <x v="349"/>
    <n v="10.918151"/>
  </r>
  <r>
    <x v="4"/>
    <x v="350"/>
    <n v="10.609838999999999"/>
  </r>
  <r>
    <x v="4"/>
    <x v="351"/>
    <n v="10.663671000000001"/>
  </r>
  <r>
    <x v="4"/>
    <x v="352"/>
    <n v="10.556006"/>
  </r>
  <r>
    <x v="4"/>
    <x v="353"/>
    <n v="10.600052"/>
  </r>
  <r>
    <x v="4"/>
    <x v="354"/>
    <n v="10.668564999999999"/>
  </r>
  <r>
    <x v="4"/>
    <x v="355"/>
    <n v="10.62452"/>
  </r>
  <r>
    <x v="4"/>
    <x v="356"/>
    <n v="10.830062"/>
  </r>
  <r>
    <x v="4"/>
    <x v="357"/>
    <n v="10.658778"/>
  </r>
  <r>
    <x v="4"/>
    <x v="358"/>
    <n v="11.016026999999999"/>
  </r>
  <r>
    <x v="4"/>
    <x v="359"/>
    <n v="11.128586"/>
  </r>
  <r>
    <x v="4"/>
    <x v="360"/>
    <n v="11.060072999999999"/>
  </r>
  <r>
    <x v="4"/>
    <x v="361"/>
    <n v="11.016026999999999"/>
  </r>
  <r>
    <x v="4"/>
    <x v="362"/>
    <n v="10.653884"/>
  </r>
  <r>
    <x v="4"/>
    <x v="363"/>
    <n v="10.374935000000001"/>
  </r>
  <r>
    <x v="4"/>
    <x v="364"/>
    <n v="10.340678"/>
  </r>
  <r>
    <x v="4"/>
    <x v="365"/>
    <n v="10.502174"/>
  </r>
  <r>
    <x v="4"/>
    <x v="366"/>
    <n v="10.409192000000001"/>
  </r>
  <r>
    <x v="4"/>
    <x v="367"/>
    <n v="10.423873"/>
  </r>
  <r>
    <x v="4"/>
    <x v="368"/>
    <n v="10.409192000000001"/>
  </r>
  <r>
    <x v="4"/>
    <x v="369"/>
    <n v="10.477706"/>
  </r>
  <r>
    <x v="4"/>
    <x v="370"/>
    <n v="10.374935000000001"/>
  </r>
  <r>
    <x v="4"/>
    <x v="371"/>
    <n v="10.526643999999999"/>
  </r>
  <r>
    <x v="4"/>
    <x v="372"/>
    <n v="10.526643999999999"/>
  </r>
  <r>
    <x v="4"/>
    <x v="373"/>
    <n v="10.409192000000001"/>
  </r>
  <r>
    <x v="4"/>
    <x v="374"/>
    <n v="10.404298000000001"/>
  </r>
  <r>
    <x v="4"/>
    <x v="375"/>
    <n v="10.590263"/>
  </r>
  <r>
    <x v="4"/>
    <x v="376"/>
    <n v="10.707716"/>
  </r>
  <r>
    <x v="4"/>
    <x v="377"/>
    <n v="11.157947999999999"/>
  </r>
  <r>
    <x v="4"/>
    <x v="378"/>
    <n v="10.981771"/>
  </r>
  <r>
    <x v="4"/>
    <x v="379"/>
    <n v="11.113904"/>
  </r>
  <r>
    <x v="4"/>
    <x v="380"/>
    <n v="11.216675"/>
  </r>
  <r>
    <x v="4"/>
    <x v="381"/>
    <n v="10.962194999999999"/>
  </r>
  <r>
    <x v="4"/>
    <x v="382"/>
    <n v="10.874105999999999"/>
  </r>
  <r>
    <x v="4"/>
    <x v="383"/>
    <n v="10.756653999999999"/>
  </r>
  <r>
    <x v="4"/>
    <x v="384"/>
    <n v="10.64899"/>
  </r>
  <r>
    <x v="4"/>
    <x v="385"/>
    <n v="10.570688000000001"/>
  </r>
  <r>
    <x v="4"/>
    <x v="386"/>
    <n v="10.507069"/>
  </r>
  <r>
    <x v="4"/>
    <x v="387"/>
    <n v="10.340678"/>
  </r>
  <r>
    <x v="4"/>
    <x v="388"/>
    <n v="10.325996"/>
  </r>
  <r>
    <x v="4"/>
    <x v="389"/>
    <n v="10.179181"/>
  </r>
  <r>
    <x v="4"/>
    <x v="390"/>
    <n v="10.130243"/>
  </r>
  <r>
    <x v="4"/>
    <x v="391"/>
    <n v="10.027471999999999"/>
  </r>
  <r>
    <x v="4"/>
    <x v="392"/>
    <n v="9.9736390000000004"/>
  </r>
  <r>
    <x v="4"/>
    <x v="393"/>
    <n v="10.174288000000001"/>
  </r>
  <r>
    <x v="4"/>
    <x v="394"/>
    <n v="10.022577999999999"/>
  </r>
  <r>
    <x v="4"/>
    <x v="395"/>
    <n v="10.438554999999999"/>
  </r>
  <r>
    <x v="4"/>
    <x v="396"/>
    <n v="10.125349999999999"/>
  </r>
  <r>
    <x v="4"/>
    <x v="397"/>
    <n v="10.208545000000001"/>
  </r>
  <r>
    <x v="4"/>
    <x v="398"/>
    <n v="9.9589590000000001"/>
  </r>
  <r>
    <x v="4"/>
    <x v="399"/>
    <n v="9.9051270000000002"/>
  </r>
  <r>
    <x v="4"/>
    <x v="400"/>
    <n v="10.521750000000001"/>
  </r>
  <r>
    <x v="4"/>
    <x v="401"/>
    <n v="10.477706"/>
  </r>
  <r>
    <x v="4"/>
    <x v="402"/>
    <n v="10.301527"/>
  </r>
  <r>
    <x v="4"/>
    <x v="403"/>
    <n v="10.619626999999999"/>
  </r>
  <r>
    <x v="4"/>
    <x v="404"/>
    <n v="10.556006"/>
  </r>
  <r>
    <x v="4"/>
    <x v="405"/>
    <n v="10.551113000000001"/>
  </r>
  <r>
    <x v="4"/>
    <x v="406"/>
    <n v="10.316209000000001"/>
  </r>
  <r>
    <x v="4"/>
    <x v="407"/>
    <n v="10.076411"/>
  </r>
  <r>
    <x v="4"/>
    <x v="408"/>
    <n v="10.144924"/>
  </r>
  <r>
    <x v="4"/>
    <x v="409"/>
    <n v="9.8659759999999999"/>
  </r>
  <r>
    <x v="4"/>
    <x v="410"/>
    <n v="10.125349999999999"/>
  </r>
  <r>
    <x v="4"/>
    <x v="411"/>
    <n v="10.110668"/>
  </r>
  <r>
    <x v="4"/>
    <x v="412"/>
    <n v="10.125349999999999"/>
  </r>
  <r>
    <x v="4"/>
    <x v="413"/>
    <n v="10.066623"/>
  </r>
  <r>
    <x v="4"/>
    <x v="414"/>
    <n v="10.1645"/>
  </r>
  <r>
    <x v="4"/>
    <x v="415"/>
    <n v="10.28"/>
  </r>
  <r>
    <x v="4"/>
    <x v="416"/>
    <n v="10.505000000000001"/>
  </r>
  <r>
    <x v="4"/>
    <x v="417"/>
    <n v="10.83"/>
  </r>
  <r>
    <x v="4"/>
    <x v="418"/>
    <n v="10.945"/>
  </r>
  <r>
    <x v="4"/>
    <x v="419"/>
    <n v="11.13"/>
  </r>
  <r>
    <x v="4"/>
    <x v="420"/>
    <n v="10.95"/>
  </r>
  <r>
    <x v="4"/>
    <x v="421"/>
    <n v="10.994999999999999"/>
  </r>
  <r>
    <x v="4"/>
    <x v="422"/>
    <n v="11.095000000000001"/>
  </r>
  <r>
    <x v="4"/>
    <x v="423"/>
    <n v="11.01"/>
  </r>
  <r>
    <x v="4"/>
    <x v="424"/>
    <n v="11.265000000000001"/>
  </r>
  <r>
    <x v="4"/>
    <x v="425"/>
    <n v="11.06"/>
  </r>
  <r>
    <x v="4"/>
    <x v="426"/>
    <n v="11.115"/>
  </r>
  <r>
    <x v="4"/>
    <x v="427"/>
    <n v="11.914999999999999"/>
  </r>
  <r>
    <x v="4"/>
    <x v="428"/>
    <n v="11.6"/>
  </r>
  <r>
    <x v="4"/>
    <x v="429"/>
    <n v="11.59"/>
  </r>
  <r>
    <x v="4"/>
    <x v="430"/>
    <n v="11.715"/>
  </r>
  <r>
    <x v="4"/>
    <x v="431"/>
    <n v="11.835000000000001"/>
  </r>
  <r>
    <x v="4"/>
    <x v="432"/>
    <n v="12"/>
  </r>
  <r>
    <x v="4"/>
    <x v="433"/>
    <n v="11.96"/>
  </r>
  <r>
    <x v="4"/>
    <x v="434"/>
    <n v="11.955"/>
  </r>
  <r>
    <x v="4"/>
    <x v="435"/>
    <n v="12.12"/>
  </r>
  <r>
    <x v="4"/>
    <x v="436"/>
    <n v="12.125"/>
  </r>
  <r>
    <x v="4"/>
    <x v="437"/>
    <n v="12.115"/>
  </r>
  <r>
    <x v="4"/>
    <x v="438"/>
    <n v="12.185"/>
  </r>
  <r>
    <x v="4"/>
    <x v="439"/>
    <n v="12.005000000000001"/>
  </r>
  <r>
    <x v="4"/>
    <x v="440"/>
    <n v="12.24"/>
  </r>
  <r>
    <x v="4"/>
    <x v="441"/>
    <n v="12.154999999999999"/>
  </r>
  <r>
    <x v="4"/>
    <x v="442"/>
    <n v="12.18"/>
  </r>
  <r>
    <x v="4"/>
    <x v="443"/>
    <n v="12.23"/>
  </r>
  <r>
    <x v="4"/>
    <x v="444"/>
    <n v="12.015000000000001"/>
  </r>
  <r>
    <x v="4"/>
    <x v="445"/>
    <n v="12.06"/>
  </r>
  <r>
    <x v="4"/>
    <x v="446"/>
    <n v="12.135"/>
  </r>
  <r>
    <x v="4"/>
    <x v="447"/>
    <n v="12.01"/>
  </r>
  <r>
    <x v="4"/>
    <x v="448"/>
    <n v="12.225"/>
  </r>
  <r>
    <x v="4"/>
    <x v="449"/>
    <n v="11.99"/>
  </r>
  <r>
    <x v="4"/>
    <x v="450"/>
    <n v="12"/>
  </r>
  <r>
    <x v="4"/>
    <x v="451"/>
    <n v="12.02"/>
  </r>
  <r>
    <x v="4"/>
    <x v="452"/>
    <n v="12.005000000000001"/>
  </r>
  <r>
    <x v="4"/>
    <x v="453"/>
    <n v="12.025"/>
  </r>
  <r>
    <x v="4"/>
    <x v="454"/>
    <n v="12.035"/>
  </r>
  <r>
    <x v="4"/>
    <x v="455"/>
    <n v="12.18"/>
  </r>
  <r>
    <x v="4"/>
    <x v="456"/>
    <n v="12.25"/>
  </r>
  <r>
    <x v="4"/>
    <x v="457"/>
    <n v="12.1"/>
  </r>
  <r>
    <x v="4"/>
    <x v="458"/>
    <n v="12.37"/>
  </r>
  <r>
    <x v="4"/>
    <x v="459"/>
    <n v="12.275"/>
  </r>
  <r>
    <x v="4"/>
    <x v="460"/>
    <n v="12.28"/>
  </r>
  <r>
    <x v="4"/>
    <x v="461"/>
    <n v="12.315"/>
  </r>
  <r>
    <x v="4"/>
    <x v="462"/>
    <n v="12.21"/>
  </r>
  <r>
    <x v="4"/>
    <x v="463"/>
    <n v="12.265000000000001"/>
  </r>
  <r>
    <x v="4"/>
    <x v="464"/>
    <n v="12.095000000000001"/>
  </r>
  <r>
    <x v="4"/>
    <x v="465"/>
    <n v="12.07"/>
  </r>
  <r>
    <x v="4"/>
    <x v="466"/>
    <n v="11.945"/>
  </r>
  <r>
    <x v="4"/>
    <x v="467"/>
    <n v="11.815"/>
  </r>
  <r>
    <x v="4"/>
    <x v="468"/>
    <n v="11.72"/>
  </r>
  <r>
    <x v="4"/>
    <x v="469"/>
    <n v="11.84"/>
  </r>
  <r>
    <x v="4"/>
    <x v="470"/>
    <n v="11.645"/>
  </r>
  <r>
    <x v="4"/>
    <x v="471"/>
    <n v="12.065"/>
  </r>
  <r>
    <x v="4"/>
    <x v="472"/>
    <n v="12.14"/>
  </r>
  <r>
    <x v="4"/>
    <x v="473"/>
    <n v="12.255000000000001"/>
  </r>
  <r>
    <x v="4"/>
    <x v="474"/>
    <n v="12.12"/>
  </r>
  <r>
    <x v="4"/>
    <x v="475"/>
    <n v="12.19"/>
  </r>
  <r>
    <x v="4"/>
    <x v="476"/>
    <n v="12.105"/>
  </r>
  <r>
    <x v="4"/>
    <x v="477"/>
    <n v="12.175000000000001"/>
  </r>
  <r>
    <x v="4"/>
    <x v="478"/>
    <n v="12.16"/>
  </r>
  <r>
    <x v="4"/>
    <x v="479"/>
    <n v="12.215"/>
  </r>
  <r>
    <x v="4"/>
    <x v="480"/>
    <n v="13.28"/>
  </r>
  <r>
    <x v="4"/>
    <x v="481"/>
    <n v="13.535"/>
  </r>
  <r>
    <x v="4"/>
    <x v="482"/>
    <n v="13.52"/>
  </r>
  <r>
    <x v="4"/>
    <x v="483"/>
    <n v="13.52"/>
  </r>
  <r>
    <x v="4"/>
    <x v="484"/>
    <n v="13.425000000000001"/>
  </r>
  <r>
    <x v="4"/>
    <x v="485"/>
    <n v="13.49"/>
  </r>
  <r>
    <x v="4"/>
    <x v="486"/>
    <n v="13.654999999999999"/>
  </r>
  <r>
    <x v="4"/>
    <x v="487"/>
    <n v="13.61"/>
  </r>
  <r>
    <x v="4"/>
    <x v="488"/>
    <n v="13.795"/>
  </r>
  <r>
    <x v="4"/>
    <x v="489"/>
    <n v="13.96"/>
  </r>
  <r>
    <x v="4"/>
    <x v="490"/>
    <n v="13.91"/>
  </r>
  <r>
    <x v="4"/>
    <x v="491"/>
    <n v="13.6"/>
  </r>
  <r>
    <x v="4"/>
    <x v="492"/>
    <n v="13.75"/>
  </r>
  <r>
    <x v="4"/>
    <x v="493"/>
    <n v="13.815"/>
  </r>
  <r>
    <x v="4"/>
    <x v="494"/>
    <n v="13.635"/>
  </r>
  <r>
    <x v="4"/>
    <x v="495"/>
    <n v="13.63"/>
  </r>
  <r>
    <x v="4"/>
    <x v="496"/>
    <n v="13.34"/>
  </r>
  <r>
    <x v="4"/>
    <x v="497"/>
    <n v="13.275"/>
  </r>
  <r>
    <x v="4"/>
    <x v="498"/>
    <n v="13.38"/>
  </r>
  <r>
    <x v="4"/>
    <x v="499"/>
    <n v="13.26"/>
  </r>
  <r>
    <x v="4"/>
    <x v="500"/>
    <n v="13.04"/>
  </r>
  <r>
    <x v="5"/>
    <x v="0"/>
    <n v="5.2876000000000003"/>
  </r>
  <r>
    <x v="5"/>
    <x v="1"/>
    <n v="5.2017709999999999"/>
  </r>
  <r>
    <x v="5"/>
    <x v="2"/>
    <n v="5.1935539999999998"/>
  </r>
  <r>
    <x v="5"/>
    <x v="3"/>
    <n v="5.1725529999999997"/>
  </r>
  <r>
    <x v="5"/>
    <x v="4"/>
    <n v="5.1223340000000004"/>
  </r>
  <r>
    <x v="5"/>
    <x v="5"/>
    <n v="5.1679870000000001"/>
  </r>
  <r>
    <x v="5"/>
    <x v="6"/>
    <n v="5.1807699999999999"/>
  </r>
  <r>
    <x v="5"/>
    <x v="7"/>
    <n v="5.1223340000000004"/>
  </r>
  <r>
    <x v="5"/>
    <x v="8"/>
    <n v="5.1122899999999998"/>
  </r>
  <r>
    <x v="5"/>
    <x v="9"/>
    <n v="4.9205449999999997"/>
  </r>
  <r>
    <x v="5"/>
    <x v="10"/>
    <n v="4.9059359999999996"/>
  </r>
  <r>
    <x v="5"/>
    <x v="11"/>
    <n v="5.0465489999999997"/>
  </r>
  <r>
    <x v="5"/>
    <x v="12"/>
    <n v="5.0602450000000001"/>
  </r>
  <r>
    <x v="5"/>
    <x v="13"/>
    <n v="5.006373"/>
  </r>
  <r>
    <x v="5"/>
    <x v="14"/>
    <n v="5.0702889999999998"/>
  </r>
  <r>
    <x v="5"/>
    <x v="15"/>
    <n v="5.1552040000000003"/>
  </r>
  <r>
    <x v="5"/>
    <x v="16"/>
    <n v="5.0794199999999998"/>
  </r>
  <r>
    <x v="5"/>
    <x v="17"/>
    <n v="5.0702889999999998"/>
  </r>
  <r>
    <x v="5"/>
    <x v="18"/>
    <n v="5.1670740000000004"/>
  </r>
  <r>
    <x v="5"/>
    <x v="19"/>
    <n v="5.0967669999999998"/>
  </r>
  <r>
    <x v="5"/>
    <x v="20"/>
    <n v="5.1643350000000003"/>
  </r>
  <r>
    <x v="5"/>
    <x v="21"/>
    <n v="5.1798570000000002"/>
  </r>
  <r>
    <x v="5"/>
    <x v="22"/>
    <n v="5.1405950000000002"/>
  </r>
  <r>
    <x v="5"/>
    <x v="23"/>
    <n v="5.036505"/>
  </r>
  <r>
    <x v="5"/>
    <x v="24"/>
    <n v="5.1369429999999996"/>
  </r>
  <r>
    <x v="5"/>
    <x v="25"/>
    <n v="5.5094760000000003"/>
  </r>
  <r>
    <x v="5"/>
    <x v="26"/>
    <n v="5.5039980000000002"/>
  </r>
  <r>
    <x v="5"/>
    <x v="27"/>
    <n v="5.771528"/>
  </r>
  <r>
    <x v="5"/>
    <x v="28"/>
    <n v="5.9157929999999999"/>
  </r>
  <r>
    <x v="5"/>
    <x v="29"/>
    <n v="5.9130539999999998"/>
  </r>
  <r>
    <x v="5"/>
    <x v="30"/>
    <n v="5.9833610000000004"/>
  </r>
  <r>
    <x v="5"/>
    <x v="31"/>
    <n v="6.0920160000000001"/>
  </r>
  <r>
    <x v="5"/>
    <x v="32"/>
    <n v="6.0491020000000004"/>
  </r>
  <r>
    <x v="5"/>
    <x v="33"/>
    <n v="5.8847490000000002"/>
  </r>
  <r>
    <x v="5"/>
    <x v="34"/>
    <n v="5.8564439999999998"/>
  </r>
  <r>
    <x v="5"/>
    <x v="35"/>
    <n v="5.9185319999999999"/>
  </r>
  <r>
    <x v="5"/>
    <x v="36"/>
    <n v="5.9660120000000001"/>
  </r>
  <r>
    <x v="5"/>
    <x v="37"/>
    <n v="5.8454870000000003"/>
  </r>
  <r>
    <x v="5"/>
    <x v="38"/>
    <n v="5.8226599999999999"/>
  </r>
  <r>
    <x v="5"/>
    <x v="39"/>
    <n v="5.8518780000000001"/>
  </r>
  <r>
    <x v="5"/>
    <x v="40"/>
    <n v="5.8710529999999999"/>
  </r>
  <r>
    <x v="5"/>
    <x v="41"/>
    <n v="5.8610090000000001"/>
  </r>
  <r>
    <x v="5"/>
    <x v="42"/>
    <n v="5.9367939999999999"/>
  </r>
  <r>
    <x v="5"/>
    <x v="43"/>
    <n v="5.8765309999999999"/>
  </r>
  <r>
    <x v="5"/>
    <x v="44"/>
    <n v="5.7596579999999999"/>
  </r>
  <r>
    <x v="5"/>
    <x v="45"/>
    <n v="5.6318279999999996"/>
  </r>
  <r>
    <x v="5"/>
    <x v="46"/>
    <n v="5.6026100000000003"/>
  </r>
  <r>
    <x v="5"/>
    <x v="47"/>
    <n v="5.6519159999999999"/>
  </r>
  <r>
    <x v="5"/>
    <x v="48"/>
    <n v="5.6135659999999996"/>
  </r>
  <r>
    <x v="5"/>
    <x v="49"/>
    <n v="5.5934790000000003"/>
  </r>
  <r>
    <x v="5"/>
    <x v="50"/>
    <n v="5.744135"/>
  </r>
  <r>
    <x v="5"/>
    <x v="51"/>
    <n v="5.9148800000000001"/>
  </r>
  <r>
    <x v="5"/>
    <x v="52"/>
    <n v="5.8600960000000004"/>
  </r>
  <r>
    <x v="5"/>
    <x v="53"/>
    <n v="5.9121410000000001"/>
  </r>
  <r>
    <x v="5"/>
    <x v="54"/>
    <n v="5.9367939999999999"/>
  </r>
  <r>
    <x v="5"/>
    <x v="55"/>
    <n v="5.9386200000000002"/>
  </r>
  <r>
    <x v="5"/>
    <x v="56"/>
    <n v="5.9349679999999996"/>
  </r>
  <r>
    <x v="5"/>
    <x v="57"/>
    <n v="6.0536669999999999"/>
  </r>
  <r>
    <x v="5"/>
    <x v="58"/>
    <n v="6.1111909999999998"/>
  </r>
  <r>
    <x v="5"/>
    <x v="59"/>
    <n v="6.0080140000000002"/>
  </r>
  <r>
    <x v="5"/>
    <x v="60"/>
    <n v="6.0344930000000003"/>
  </r>
  <r>
    <x v="5"/>
    <x v="61"/>
    <n v="6.1678009999999999"/>
  </r>
  <r>
    <x v="5"/>
    <x v="62"/>
    <n v="6.1431480000000001"/>
  </r>
  <r>
    <x v="5"/>
    <x v="63"/>
    <n v="6.011666"/>
  </r>
  <r>
    <x v="5"/>
    <x v="64"/>
    <n v="6.0007089999999996"/>
  </r>
  <r>
    <x v="5"/>
    <x v="65"/>
    <n v="5.9861000000000004"/>
  </r>
  <r>
    <x v="5"/>
    <x v="66"/>
    <n v="5.9970559999999997"/>
  </r>
  <r>
    <x v="5"/>
    <x v="67"/>
    <n v="6.1276260000000002"/>
  </r>
  <r>
    <x v="5"/>
    <x v="68"/>
    <n v="6.1650619999999998"/>
  </r>
  <r>
    <x v="5"/>
    <x v="69"/>
    <n v="6.203411"/>
  </r>
  <r>
    <x v="5"/>
    <x v="70"/>
    <n v="6.2335419999999999"/>
  </r>
  <r>
    <x v="5"/>
    <x v="71"/>
    <n v="6.1951929999999997"/>
  </r>
  <r>
    <x v="5"/>
    <x v="72"/>
    <n v="6.1842370000000004"/>
  </r>
  <r>
    <x v="5"/>
    <x v="73"/>
    <n v="6.2161939999999998"/>
  </r>
  <r>
    <x v="5"/>
    <x v="74"/>
    <n v="6.0911030000000004"/>
  </r>
  <r>
    <x v="5"/>
    <x v="75"/>
    <n v="6.0719289999999999"/>
  </r>
  <r>
    <x v="5"/>
    <x v="76"/>
    <n v="6.056406"/>
  </r>
  <r>
    <x v="5"/>
    <x v="77"/>
    <n v="5.9733169999999998"/>
  </r>
  <r>
    <x v="5"/>
    <x v="78"/>
    <n v="5.9979699999999996"/>
  </r>
  <r>
    <x v="5"/>
    <x v="79"/>
    <n v="5.948664"/>
  </r>
  <r>
    <x v="5"/>
    <x v="80"/>
    <n v="5.9194449999999996"/>
  </r>
  <r>
    <x v="5"/>
    <x v="81"/>
    <n v="5.9733169999999998"/>
  </r>
  <r>
    <x v="5"/>
    <x v="82"/>
    <n v="5.9861000000000004"/>
  </r>
  <r>
    <x v="5"/>
    <x v="83"/>
    <n v="5.9587079999999997"/>
  </r>
  <r>
    <x v="5"/>
    <x v="84"/>
    <n v="5.972404"/>
  </r>
  <r>
    <x v="5"/>
    <x v="85"/>
    <n v="5.9459249999999999"/>
  </r>
  <r>
    <x v="5"/>
    <x v="86"/>
    <n v="5.8728790000000002"/>
  </r>
  <r>
    <x v="5"/>
    <x v="87"/>
    <n v="5.78979"/>
  </r>
  <r>
    <x v="5"/>
    <x v="88"/>
    <n v="5.7130910000000004"/>
  </r>
  <r>
    <x v="5"/>
    <x v="89"/>
    <n v="5.816268"/>
  </r>
  <r>
    <x v="5"/>
    <x v="90"/>
    <n v="5.8272250000000003"/>
  </r>
  <r>
    <x v="5"/>
    <x v="91"/>
    <n v="5.9742300000000004"/>
  </r>
  <r>
    <x v="5"/>
    <x v="92"/>
    <n v="5.9888389999999996"/>
  </r>
  <r>
    <x v="5"/>
    <x v="93"/>
    <n v="6.0071009999999996"/>
  </r>
  <r>
    <x v="5"/>
    <x v="94"/>
    <n v="6.1732800000000001"/>
  </r>
  <r>
    <x v="5"/>
    <x v="95"/>
    <n v="6.2728039999999998"/>
  </r>
  <r>
    <x v="5"/>
    <x v="96"/>
    <n v="6.4161570000000001"/>
  </r>
  <r>
    <x v="5"/>
    <x v="97"/>
    <n v="6.5083770000000003"/>
  </r>
  <r>
    <x v="5"/>
    <x v="98"/>
    <n v="6.5549439999999999"/>
  </r>
  <r>
    <x v="5"/>
    <x v="99"/>
    <n v="6.572292"/>
  </r>
  <r>
    <x v="5"/>
    <x v="100"/>
    <n v="6.7101660000000001"/>
  </r>
  <r>
    <x v="5"/>
    <x v="101"/>
    <n v="6.704688"/>
  </r>
  <r>
    <x v="5"/>
    <x v="102"/>
    <n v="6.6964699999999997"/>
  </r>
  <r>
    <x v="5"/>
    <x v="103"/>
    <n v="6.6106410000000002"/>
  </r>
  <r>
    <x v="5"/>
    <x v="104"/>
    <n v="6.7877770000000002"/>
  </r>
  <r>
    <x v="5"/>
    <x v="105"/>
    <n v="6.6992089999999997"/>
  </r>
  <r>
    <x v="5"/>
    <x v="106"/>
    <n v="6.6654260000000001"/>
  </r>
  <r>
    <x v="5"/>
    <x v="107"/>
    <n v="6.6444239999999999"/>
  </r>
  <r>
    <x v="5"/>
    <x v="108"/>
    <n v="6.6480769999999998"/>
  </r>
  <r>
    <x v="5"/>
    <x v="109"/>
    <n v="6.6170330000000002"/>
  </r>
  <r>
    <x v="5"/>
    <x v="110"/>
    <n v="6.6005969999999996"/>
  </r>
  <r>
    <x v="5"/>
    <x v="111"/>
    <n v="6.5996839999999999"/>
  </r>
  <r>
    <x v="5"/>
    <x v="112"/>
    <n v="6.5193339999999997"/>
  </r>
  <r>
    <x v="5"/>
    <x v="113"/>
    <n v="6.6015100000000002"/>
  </r>
  <r>
    <x v="5"/>
    <x v="114"/>
    <n v="6.6508159999999998"/>
  </r>
  <r>
    <x v="5"/>
    <x v="115"/>
    <n v="6.6992089999999997"/>
  </r>
  <r>
    <x v="5"/>
    <x v="116"/>
    <n v="6.6690769999999997"/>
  </r>
  <r>
    <x v="5"/>
    <x v="117"/>
    <n v="6.6279890000000004"/>
  </r>
  <r>
    <x v="5"/>
    <x v="118"/>
    <n v="6.5923790000000002"/>
  </r>
  <r>
    <x v="5"/>
    <x v="119"/>
    <n v="6.6279890000000004"/>
  </r>
  <r>
    <x v="5"/>
    <x v="120"/>
    <n v="6.46455"/>
  </r>
  <r>
    <x v="5"/>
    <x v="121"/>
    <n v="6.6316420000000003"/>
  </r>
  <r>
    <x v="5"/>
    <x v="122"/>
    <n v="6.5878139999999998"/>
  </r>
  <r>
    <x v="5"/>
    <x v="123"/>
    <n v="6.4910290000000002"/>
  </r>
  <r>
    <x v="5"/>
    <x v="124"/>
    <n v="6.5056380000000003"/>
  </r>
  <r>
    <x v="5"/>
    <x v="125"/>
    <n v="6.515682"/>
  </r>
  <r>
    <x v="5"/>
    <x v="126"/>
    <n v="6.6060759999999998"/>
  </r>
  <r>
    <x v="5"/>
    <x v="127"/>
    <n v="6.7859509999999998"/>
  </r>
  <r>
    <x v="5"/>
    <x v="128"/>
    <n v="7.2315300000000002"/>
  </r>
  <r>
    <x v="5"/>
    <x v="129"/>
    <n v="7.3301420000000004"/>
  </r>
  <r>
    <x v="5"/>
    <x v="130"/>
    <n v="7.3420120000000004"/>
  </r>
  <r>
    <x v="5"/>
    <x v="131"/>
    <n v="7.3967960000000001"/>
  </r>
  <r>
    <x v="5"/>
    <x v="132"/>
    <n v="7.4451890000000001"/>
  </r>
  <r>
    <x v="5"/>
    <x v="133"/>
    <n v="7.421449"/>
  </r>
  <r>
    <x v="5"/>
    <x v="134"/>
    <n v="7.4278409999999999"/>
  </r>
  <r>
    <x v="5"/>
    <x v="135"/>
    <n v="7.4433629999999997"/>
  </r>
  <r>
    <x v="5"/>
    <x v="136"/>
    <n v="7.3191850000000001"/>
  </r>
  <r>
    <x v="5"/>
    <x v="137"/>
    <n v="7.3995350000000002"/>
  </r>
  <r>
    <x v="5"/>
    <x v="138"/>
    <n v="7.4278409999999999"/>
  </r>
  <r>
    <x v="5"/>
    <x v="139"/>
    <n v="7.4041009999999998"/>
  </r>
  <r>
    <x v="5"/>
    <x v="140"/>
    <n v="7.1886150000000004"/>
  </r>
  <r>
    <x v="5"/>
    <x v="141"/>
    <n v="7.0160450000000001"/>
  </r>
  <r>
    <x v="5"/>
    <x v="142"/>
    <n v="6.959435"/>
  </r>
  <r>
    <x v="5"/>
    <x v="143"/>
    <n v="6.6845999999999997"/>
  </r>
  <r>
    <x v="5"/>
    <x v="144"/>
    <n v="6.4828099999999997"/>
  </r>
  <r>
    <x v="5"/>
    <x v="145"/>
    <n v="6.5595090000000003"/>
  </r>
  <r>
    <x v="5"/>
    <x v="146"/>
    <n v="6.5741180000000004"/>
  </r>
  <r>
    <x v="5"/>
    <x v="147"/>
    <n v="6.5549439999999999"/>
  </r>
  <r>
    <x v="5"/>
    <x v="148"/>
    <n v="6.515682"/>
  </r>
  <r>
    <x v="5"/>
    <x v="149"/>
    <n v="6.2499779999999996"/>
  </r>
  <r>
    <x v="5"/>
    <x v="150"/>
    <n v="5.5697390000000002"/>
  </r>
  <r>
    <x v="5"/>
    <x v="151"/>
    <n v="5.48665"/>
  </r>
  <r>
    <x v="5"/>
    <x v="152"/>
    <n v="5.4145159999999999"/>
  </r>
  <r>
    <x v="5"/>
    <x v="153"/>
    <n v="4.6603190000000003"/>
  </r>
  <r>
    <x v="5"/>
    <x v="154"/>
    <n v="4.5781429999999999"/>
  </r>
  <r>
    <x v="5"/>
    <x v="155"/>
    <n v="4.2316320000000003"/>
  </r>
  <r>
    <x v="5"/>
    <x v="156"/>
    <n v="4.3005690000000003"/>
  </r>
  <r>
    <x v="5"/>
    <x v="157"/>
    <n v="4.2352850000000002"/>
  </r>
  <r>
    <x v="5"/>
    <x v="158"/>
    <n v="4.4909439999999998"/>
  </r>
  <r>
    <x v="5"/>
    <x v="159"/>
    <n v="4.4859229999999997"/>
  </r>
  <r>
    <x v="5"/>
    <x v="160"/>
    <n v="4.1544780000000001"/>
  </r>
  <r>
    <x v="5"/>
    <x v="161"/>
    <n v="4.4283989999999998"/>
  </r>
  <r>
    <x v="5"/>
    <x v="162"/>
    <n v="4.6648849999999999"/>
  </r>
  <r>
    <x v="5"/>
    <x v="163"/>
    <n v="5.1176029999999999"/>
  </r>
  <r>
    <x v="5"/>
    <x v="164"/>
    <n v="5.0016990000000003"/>
  </r>
  <r>
    <x v="5"/>
    <x v="165"/>
    <n v="4.8719270000000003"/>
  </r>
  <r>
    <x v="5"/>
    <x v="166"/>
    <n v="5.0849120000000001"/>
  </r>
  <r>
    <x v="5"/>
    <x v="167"/>
    <n v="4.925421"/>
  </r>
  <r>
    <x v="5"/>
    <x v="168"/>
    <n v="4.8585529999999997"/>
  </r>
  <r>
    <x v="5"/>
    <x v="169"/>
    <n v="4.8342830000000001"/>
  </r>
  <r>
    <x v="5"/>
    <x v="170"/>
    <n v="4.9571209999999999"/>
  </r>
  <r>
    <x v="5"/>
    <x v="171"/>
    <n v="5.2265730000000001"/>
  </r>
  <r>
    <x v="5"/>
    <x v="172"/>
    <n v="5.1304809999999996"/>
  </r>
  <r>
    <x v="5"/>
    <x v="173"/>
    <n v="5.1542570000000003"/>
  </r>
  <r>
    <x v="5"/>
    <x v="174"/>
    <n v="5.2661980000000002"/>
  </r>
  <r>
    <x v="5"/>
    <x v="175"/>
    <n v="4.9561299999999999"/>
  </r>
  <r>
    <x v="5"/>
    <x v="176"/>
    <n v="4.7857419999999999"/>
  </r>
  <r>
    <x v="5"/>
    <x v="177"/>
    <n v="5.0482589999999998"/>
  </r>
  <r>
    <x v="5"/>
    <x v="178"/>
    <n v="5.0452870000000001"/>
  </r>
  <r>
    <x v="5"/>
    <x v="179"/>
    <n v="4.8015920000000003"/>
  </r>
  <r>
    <x v="5"/>
    <x v="180"/>
    <n v="4.9699989999999996"/>
  </r>
  <r>
    <x v="5"/>
    <x v="181"/>
    <n v="5.1572279999999999"/>
  </r>
  <r>
    <x v="5"/>
    <x v="182"/>
    <n v="5.0334000000000003"/>
  </r>
  <r>
    <x v="5"/>
    <x v="183"/>
    <n v="5.1116599999999996"/>
  </r>
  <r>
    <x v="5"/>
    <x v="184"/>
    <n v="5.450456"/>
  </r>
  <r>
    <x v="5"/>
    <x v="185"/>
    <n v="5.9338839999999999"/>
  </r>
  <r>
    <x v="5"/>
    <x v="186"/>
    <n v="5.7922229999999999"/>
  </r>
  <r>
    <x v="5"/>
    <x v="187"/>
    <n v="5.4068680000000002"/>
  </r>
  <r>
    <x v="5"/>
    <x v="188"/>
    <n v="5.5693320000000002"/>
  </r>
  <r>
    <x v="5"/>
    <x v="189"/>
    <n v="5.4524369999999998"/>
  </r>
  <r>
    <x v="5"/>
    <x v="190"/>
    <n v="5.5554620000000003"/>
  </r>
  <r>
    <x v="5"/>
    <x v="191"/>
    <n v="5.570322"/>
  </r>
  <r>
    <x v="5"/>
    <x v="192"/>
    <n v="5.4791840000000001"/>
  </r>
  <r>
    <x v="5"/>
    <x v="193"/>
    <n v="5.5425839999999997"/>
  </r>
  <r>
    <x v="5"/>
    <x v="194"/>
    <n v="5.2770950000000001"/>
  </r>
  <r>
    <x v="5"/>
    <x v="195"/>
    <n v="5.1611909999999996"/>
  </r>
  <r>
    <x v="5"/>
    <x v="196"/>
    <n v="5.147322"/>
  </r>
  <r>
    <x v="5"/>
    <x v="197"/>
    <n v="5.4791840000000001"/>
  </r>
  <r>
    <x v="5"/>
    <x v="198"/>
    <n v="5.4742309999999996"/>
  </r>
  <r>
    <x v="5"/>
    <x v="199"/>
    <n v="5.571313"/>
  </r>
  <r>
    <x v="5"/>
    <x v="200"/>
    <n v="5.4643240000000004"/>
  </r>
  <r>
    <x v="5"/>
    <x v="201"/>
    <n v="5.5356500000000004"/>
  </r>
  <r>
    <x v="5"/>
    <x v="202"/>
    <n v="5.8249139999999997"/>
  </r>
  <r>
    <x v="5"/>
    <x v="203"/>
    <n v="6.0785159999999996"/>
  </r>
  <r>
    <x v="5"/>
    <x v="204"/>
    <n v="6.1538040000000001"/>
  </r>
  <r>
    <x v="5"/>
    <x v="205"/>
    <n v="6.0240309999999999"/>
  </r>
  <r>
    <x v="5"/>
    <x v="206"/>
    <n v="6.1597479999999996"/>
  </r>
  <r>
    <x v="5"/>
    <x v="207"/>
    <n v="6.3578739999999998"/>
  </r>
  <r>
    <x v="5"/>
    <x v="208"/>
    <n v="6.6293069999999998"/>
  </r>
  <r>
    <x v="5"/>
    <x v="209"/>
    <n v="6.6392139999999999"/>
  </r>
  <r>
    <x v="5"/>
    <x v="210"/>
    <n v="6.7610609999999998"/>
  </r>
  <r>
    <x v="5"/>
    <x v="211"/>
    <n v="6.8908339999999999"/>
  </r>
  <r>
    <x v="5"/>
    <x v="212"/>
    <n v="6.7779020000000001"/>
  </r>
  <r>
    <x v="5"/>
    <x v="213"/>
    <n v="6.748183"/>
  </r>
  <r>
    <x v="5"/>
    <x v="214"/>
    <n v="6.3519310000000004"/>
  </r>
  <r>
    <x v="5"/>
    <x v="215"/>
    <n v="6.3816490000000003"/>
  </r>
  <r>
    <x v="5"/>
    <x v="216"/>
    <n v="6.2627740000000003"/>
  </r>
  <r>
    <x v="5"/>
    <x v="217"/>
    <n v="6.4301909999999998"/>
  </r>
  <r>
    <x v="5"/>
    <x v="218"/>
    <n v="6.3628270000000002"/>
  </r>
  <r>
    <x v="5"/>
    <x v="219"/>
    <n v="6.2617830000000003"/>
  </r>
  <r>
    <x v="5"/>
    <x v="220"/>
    <n v="6.1755979999999999"/>
  </r>
  <r>
    <x v="5"/>
    <x v="221"/>
    <n v="6.355893"/>
  </r>
  <r>
    <x v="5"/>
    <x v="222"/>
    <n v="6.1260659999999998"/>
  </r>
  <r>
    <x v="5"/>
    <x v="223"/>
    <n v="6.2102700000000004"/>
  </r>
  <r>
    <x v="5"/>
    <x v="224"/>
    <n v="6.0279939999999996"/>
  </r>
  <r>
    <x v="5"/>
    <x v="225"/>
    <n v="6.1627200000000002"/>
  </r>
  <r>
    <x v="5"/>
    <x v="226"/>
    <n v="6.0904040000000004"/>
  </r>
  <r>
    <x v="5"/>
    <x v="227"/>
    <n v="6.1092250000000003"/>
  </r>
  <r>
    <x v="5"/>
    <x v="228"/>
    <n v="6.2201760000000004"/>
  </r>
  <r>
    <x v="5"/>
    <x v="229"/>
    <n v="6.1518230000000003"/>
  </r>
  <r>
    <x v="5"/>
    <x v="230"/>
    <n v="6.3529210000000003"/>
  </r>
  <r>
    <x v="5"/>
    <x v="231"/>
    <n v="6.3430150000000003"/>
  </r>
  <r>
    <x v="5"/>
    <x v="232"/>
    <n v="6.2905110000000004"/>
  </r>
  <r>
    <x v="5"/>
    <x v="233"/>
    <n v="6.1676729999999997"/>
  </r>
  <r>
    <x v="5"/>
    <x v="234"/>
    <n v="6.2657449999999999"/>
  </r>
  <r>
    <x v="5"/>
    <x v="235"/>
    <n v="6.447031"/>
  </r>
  <r>
    <x v="5"/>
    <x v="236"/>
    <n v="6.5381689999999999"/>
  </r>
  <r>
    <x v="5"/>
    <x v="237"/>
    <n v="6.548076"/>
  </r>
  <r>
    <x v="5"/>
    <x v="238"/>
    <n v="6.5857190000000001"/>
  </r>
  <r>
    <x v="5"/>
    <x v="239"/>
    <n v="6.6639799999999996"/>
  </r>
  <r>
    <x v="5"/>
    <x v="240"/>
    <n v="6.7263890000000002"/>
  </r>
  <r>
    <x v="5"/>
    <x v="241"/>
    <n v="6.8759750000000004"/>
  </r>
  <r>
    <x v="5"/>
    <x v="242"/>
    <n v="6.9354120000000004"/>
  </r>
  <r>
    <x v="5"/>
    <x v="243"/>
    <n v="6.8957870000000003"/>
  </r>
  <r>
    <x v="5"/>
    <x v="244"/>
    <n v="6.8313959999999998"/>
  </r>
  <r>
    <x v="5"/>
    <x v="245"/>
    <n v="6.7343140000000004"/>
  </r>
  <r>
    <x v="5"/>
    <x v="246"/>
    <n v="6.7372860000000001"/>
  </r>
  <r>
    <x v="5"/>
    <x v="247"/>
    <n v="6.7788930000000001"/>
  </r>
  <r>
    <x v="5"/>
    <x v="248"/>
    <n v="6.5520379999999996"/>
  </r>
  <r>
    <x v="5"/>
    <x v="249"/>
    <n v="6.5044880000000003"/>
  </r>
  <r>
    <x v="5"/>
    <x v="250"/>
    <n v="6.6312889999999998"/>
  </r>
  <r>
    <x v="5"/>
    <x v="251"/>
    <n v="6.6441660000000002"/>
  </r>
  <r>
    <x v="5"/>
    <x v="252"/>
    <n v="6.6233630000000003"/>
  </r>
  <r>
    <x v="5"/>
    <x v="253"/>
    <n v="6.6273260000000001"/>
  </r>
  <r>
    <x v="5"/>
    <x v="254"/>
    <n v="6.5520379999999996"/>
  </r>
  <r>
    <x v="5"/>
    <x v="255"/>
    <n v="6.6966710000000003"/>
  </r>
  <r>
    <x v="5"/>
    <x v="256"/>
    <n v="6.8551710000000003"/>
  </r>
  <r>
    <x v="5"/>
    <x v="257"/>
    <n v="6.8472470000000003"/>
  </r>
  <r>
    <x v="5"/>
    <x v="258"/>
    <n v="6.7878080000000001"/>
  </r>
  <r>
    <x v="5"/>
    <x v="259"/>
    <n v="6.7095479999999998"/>
  </r>
  <r>
    <x v="5"/>
    <x v="260"/>
    <n v="6.6818109999999997"/>
  </r>
  <r>
    <x v="5"/>
    <x v="261"/>
    <n v="6.6174200000000001"/>
  </r>
  <r>
    <x v="5"/>
    <x v="262"/>
    <n v="6.6887449999999999"/>
  </r>
  <r>
    <x v="5"/>
    <x v="263"/>
    <n v="6.5381689999999999"/>
  </r>
  <r>
    <x v="5"/>
    <x v="264"/>
    <n v="6.5371790000000001"/>
  </r>
  <r>
    <x v="5"/>
    <x v="265"/>
    <n v="6.648129"/>
  </r>
  <r>
    <x v="5"/>
    <x v="266"/>
    <n v="6.6828010000000004"/>
  </r>
  <r>
    <x v="5"/>
    <x v="267"/>
    <n v="6.7719579999999997"/>
  </r>
  <r>
    <x v="5"/>
    <x v="268"/>
    <n v="6.7075670000000001"/>
  </r>
  <r>
    <x v="5"/>
    <x v="269"/>
    <n v="6.8333769999999996"/>
  </r>
  <r>
    <x v="5"/>
    <x v="270"/>
    <n v="6.6877550000000001"/>
  </r>
  <r>
    <x v="5"/>
    <x v="271"/>
    <n v="6.6530820000000004"/>
  </r>
  <r>
    <x v="5"/>
    <x v="272"/>
    <n v="6.6322789999999996"/>
  </r>
  <r>
    <x v="5"/>
    <x v="273"/>
    <n v="6.6233630000000003"/>
  </r>
  <r>
    <x v="5"/>
    <x v="274"/>
    <n v="6.6213819999999997"/>
  </r>
  <r>
    <x v="5"/>
    <x v="275"/>
    <n v="6.7392669999999999"/>
  </r>
  <r>
    <x v="5"/>
    <x v="276"/>
    <n v="6.607513"/>
  </r>
  <r>
    <x v="5"/>
    <x v="277"/>
    <n v="6.7115299999999998"/>
  </r>
  <r>
    <x v="5"/>
    <x v="278"/>
    <n v="6.7055860000000003"/>
  </r>
  <r>
    <x v="5"/>
    <x v="279"/>
    <n v="6.5748230000000003"/>
  </r>
  <r>
    <x v="5"/>
    <x v="280"/>
    <n v="6.6491199999999999"/>
  </r>
  <r>
    <x v="5"/>
    <x v="281"/>
    <n v="6.5817569999999996"/>
  </r>
  <r>
    <x v="5"/>
    <x v="282"/>
    <n v="6.7224259999999996"/>
  </r>
  <r>
    <x v="5"/>
    <x v="283"/>
    <n v="6.6332700000000004"/>
  </r>
  <r>
    <x v="5"/>
    <x v="284"/>
    <n v="6.5153850000000002"/>
  </r>
  <r>
    <x v="5"/>
    <x v="285"/>
    <n v="6.2261199999999999"/>
  </r>
  <r>
    <x v="5"/>
    <x v="286"/>
    <n v="6.2865489999999999"/>
  </r>
  <r>
    <x v="5"/>
    <x v="287"/>
    <n v="6.2706989999999996"/>
  </r>
  <r>
    <x v="5"/>
    <x v="288"/>
    <n v="6.2102700000000004"/>
  </r>
  <r>
    <x v="5"/>
    <x v="289"/>
    <n v="6.195411"/>
  </r>
  <r>
    <x v="5"/>
    <x v="290"/>
    <n v="6.3994809999999998"/>
  </r>
  <r>
    <x v="5"/>
    <x v="291"/>
    <n v="6.355893"/>
  </r>
  <r>
    <x v="5"/>
    <x v="292"/>
    <n v="6.4262280000000001"/>
  </r>
  <r>
    <x v="5"/>
    <x v="293"/>
    <n v="6.5312349999999997"/>
  </r>
  <r>
    <x v="5"/>
    <x v="294"/>
    <n v="6.5292529999999998"/>
  </r>
  <r>
    <x v="5"/>
    <x v="295"/>
    <n v="6.6837920000000004"/>
  </r>
  <r>
    <x v="5"/>
    <x v="296"/>
    <n v="6.7838459999999996"/>
  </r>
  <r>
    <x v="5"/>
    <x v="297"/>
    <n v="6.7263890000000002"/>
  </r>
  <r>
    <x v="5"/>
    <x v="298"/>
    <n v="6.8086120000000001"/>
  </r>
  <r>
    <x v="5"/>
    <x v="299"/>
    <n v="6.7917709999999998"/>
  </r>
  <r>
    <x v="5"/>
    <x v="300"/>
    <n v="6.8145559999999996"/>
  </r>
  <r>
    <x v="5"/>
    <x v="301"/>
    <n v="6.6818109999999997"/>
  </r>
  <r>
    <x v="5"/>
    <x v="302"/>
    <n v="6.7214359999999997"/>
  </r>
  <r>
    <x v="5"/>
    <x v="303"/>
    <n v="6.5936450000000004"/>
  </r>
  <r>
    <x v="5"/>
    <x v="304"/>
    <n v="6.638223"/>
  </r>
  <r>
    <x v="5"/>
    <x v="305"/>
    <n v="6.6639799999999996"/>
  </r>
  <r>
    <x v="5"/>
    <x v="306"/>
    <n v="6.6511019999999998"/>
  </r>
  <r>
    <x v="5"/>
    <x v="307"/>
    <n v="6.5371790000000001"/>
  </r>
  <r>
    <x v="5"/>
    <x v="308"/>
    <n v="6.5094409999999998"/>
  </r>
  <r>
    <x v="5"/>
    <x v="309"/>
    <n v="6.7372860000000001"/>
  </r>
  <r>
    <x v="5"/>
    <x v="310"/>
    <n v="6.6619979999999996"/>
  </r>
  <r>
    <x v="5"/>
    <x v="311"/>
    <n v="6.5659070000000002"/>
  </r>
  <r>
    <x v="5"/>
    <x v="312"/>
    <n v="6.285558"/>
  </r>
  <r>
    <x v="5"/>
    <x v="313"/>
    <n v="6.2716890000000003"/>
  </r>
  <r>
    <x v="5"/>
    <x v="314"/>
    <n v="6.3994809999999998"/>
  </r>
  <r>
    <x v="5"/>
    <x v="315"/>
    <n v="6.5817569999999996"/>
  </r>
  <r>
    <x v="5"/>
    <x v="316"/>
    <n v="6.8363490000000002"/>
  </r>
  <r>
    <x v="5"/>
    <x v="317"/>
    <n v="6.8918249999999999"/>
  </r>
  <r>
    <x v="5"/>
    <x v="318"/>
    <n v="6.8888530000000001"/>
  </r>
  <r>
    <x v="5"/>
    <x v="319"/>
    <n v="6.8591340000000001"/>
  </r>
  <r>
    <x v="5"/>
    <x v="320"/>
    <n v="7.3871399999999996"/>
  </r>
  <r>
    <x v="5"/>
    <x v="321"/>
    <n v="7.5159229999999999"/>
  </r>
  <r>
    <x v="5"/>
    <x v="322"/>
    <n v="7.1186790000000002"/>
  </r>
  <r>
    <x v="5"/>
    <x v="323"/>
    <n v="6.9245150000000004"/>
  </r>
  <r>
    <x v="5"/>
    <x v="324"/>
    <n v="6.9839529999999996"/>
  </r>
  <r>
    <x v="5"/>
    <x v="325"/>
    <n v="7.0196160000000001"/>
  </r>
  <r>
    <x v="5"/>
    <x v="326"/>
    <n v="7.1137269999999999"/>
  </r>
  <r>
    <x v="5"/>
    <x v="327"/>
    <n v="7.1900050000000002"/>
  </r>
  <r>
    <x v="5"/>
    <x v="328"/>
    <n v="7.1325479999999999"/>
  </r>
  <r>
    <x v="5"/>
    <x v="329"/>
    <n v="7.1365109999999996"/>
  </r>
  <r>
    <x v="5"/>
    <x v="330"/>
    <n v="7.0978760000000003"/>
  </r>
  <r>
    <x v="5"/>
    <x v="331"/>
    <n v="7.2821340000000001"/>
  </r>
  <r>
    <x v="5"/>
    <x v="332"/>
    <n v="7.3108620000000002"/>
  </r>
  <r>
    <x v="5"/>
    <x v="333"/>
    <n v="7.2415180000000001"/>
  </r>
  <r>
    <x v="5"/>
    <x v="334"/>
    <n v="7.2682650000000004"/>
  </r>
  <r>
    <x v="5"/>
    <x v="335"/>
    <n v="7.0840069999999997"/>
  </r>
  <r>
    <x v="5"/>
    <x v="336"/>
    <n v="7.2028829999999999"/>
  </r>
  <r>
    <x v="5"/>
    <x v="337"/>
    <n v="7.1979300000000004"/>
  </r>
  <r>
    <x v="5"/>
    <x v="338"/>
    <n v="7.1672209999999996"/>
  </r>
  <r>
    <x v="5"/>
    <x v="339"/>
    <n v="7.1474080000000004"/>
  </r>
  <r>
    <x v="5"/>
    <x v="340"/>
    <n v="7.1602860000000002"/>
  </r>
  <r>
    <x v="5"/>
    <x v="341"/>
    <n v="7.0671660000000003"/>
  </r>
  <r>
    <x v="5"/>
    <x v="342"/>
    <n v="7.15137"/>
  </r>
  <r>
    <x v="5"/>
    <x v="343"/>
    <n v="7.1246229999999997"/>
  </r>
  <r>
    <x v="5"/>
    <x v="344"/>
    <n v="7.0275410000000003"/>
  </r>
  <r>
    <x v="5"/>
    <x v="345"/>
    <n v="7.0978760000000003"/>
  </r>
  <r>
    <x v="5"/>
    <x v="346"/>
    <n v="7.070138"/>
  </r>
  <r>
    <x v="5"/>
    <x v="347"/>
    <n v="6.8928159999999998"/>
  </r>
  <r>
    <x v="5"/>
    <x v="348"/>
    <n v="6.8056400000000004"/>
  </r>
  <r>
    <x v="5"/>
    <x v="349"/>
    <n v="6.7016229999999997"/>
  </r>
  <r>
    <x v="5"/>
    <x v="350"/>
    <n v="6.4826940000000004"/>
  </r>
  <r>
    <x v="5"/>
    <x v="351"/>
    <n v="6.4896279999999997"/>
  </r>
  <r>
    <x v="5"/>
    <x v="352"/>
    <n v="6.5946350000000002"/>
  </r>
  <r>
    <x v="5"/>
    <x v="353"/>
    <n v="6.6491199999999999"/>
  </r>
  <r>
    <x v="5"/>
    <x v="354"/>
    <n v="6.6649700000000003"/>
  </r>
  <r>
    <x v="5"/>
    <x v="355"/>
    <n v="6.6094949999999999"/>
  </r>
  <r>
    <x v="5"/>
    <x v="356"/>
    <n v="6.5698699999999999"/>
  </r>
  <r>
    <x v="5"/>
    <x v="357"/>
    <n v="6.5381689999999999"/>
  </r>
  <r>
    <x v="5"/>
    <x v="358"/>
    <n v="6.8521989999999997"/>
  </r>
  <r>
    <x v="5"/>
    <x v="359"/>
    <n v="6.7293620000000001"/>
  </r>
  <r>
    <x v="5"/>
    <x v="360"/>
    <n v="6.7263890000000002"/>
  </r>
  <r>
    <x v="5"/>
    <x v="361"/>
    <n v="6.9314499999999999"/>
  </r>
  <r>
    <x v="5"/>
    <x v="362"/>
    <n v="6.8809279999999999"/>
  </r>
  <r>
    <x v="5"/>
    <x v="363"/>
    <n v="6.9898980000000002"/>
  </r>
  <r>
    <x v="5"/>
    <x v="364"/>
    <n v="6.9156000000000004"/>
  </r>
  <r>
    <x v="5"/>
    <x v="365"/>
    <n v="6.9532439999999998"/>
  </r>
  <r>
    <x v="5"/>
    <x v="366"/>
    <n v="6.9482910000000002"/>
  </r>
  <r>
    <x v="5"/>
    <x v="367"/>
    <n v="6.9730569999999998"/>
  </r>
  <r>
    <x v="5"/>
    <x v="368"/>
    <n v="7.031504"/>
  </r>
  <r>
    <x v="5"/>
    <x v="369"/>
    <n v="6.9621599999999999"/>
  </r>
  <r>
    <x v="5"/>
    <x v="370"/>
    <n v="6.8056400000000004"/>
  </r>
  <r>
    <x v="5"/>
    <x v="371"/>
    <n v="6.8413029999999999"/>
  </r>
  <r>
    <x v="5"/>
    <x v="372"/>
    <n v="6.7620519999999997"/>
  </r>
  <r>
    <x v="5"/>
    <x v="373"/>
    <n v="6.7164830000000002"/>
  </r>
  <r>
    <x v="5"/>
    <x v="374"/>
    <n v="6.6461480000000002"/>
  </r>
  <r>
    <x v="5"/>
    <x v="375"/>
    <n v="6.6312889999999998"/>
  </r>
  <r>
    <x v="5"/>
    <x v="376"/>
    <n v="6.6580360000000001"/>
  </r>
  <r>
    <x v="5"/>
    <x v="377"/>
    <n v="6.7313419999999997"/>
  </r>
  <r>
    <x v="5"/>
    <x v="378"/>
    <n v="6.9839529999999996"/>
  </r>
  <r>
    <x v="5"/>
    <x v="379"/>
    <n v="6.9700839999999999"/>
  </r>
  <r>
    <x v="5"/>
    <x v="380"/>
    <n v="7.030513"/>
  </r>
  <r>
    <x v="5"/>
    <x v="381"/>
    <n v="6.9433369999999996"/>
  </r>
  <r>
    <x v="5"/>
    <x v="382"/>
    <n v="7.0275410000000003"/>
  </r>
  <r>
    <x v="5"/>
    <x v="383"/>
    <n v="6.9879160000000002"/>
  </r>
  <r>
    <x v="5"/>
    <x v="384"/>
    <n v="7.0473540000000003"/>
  </r>
  <r>
    <x v="5"/>
    <x v="385"/>
    <n v="7.1919870000000001"/>
  </r>
  <r>
    <x v="5"/>
    <x v="386"/>
    <n v="7.4307280000000002"/>
  </r>
  <r>
    <x v="5"/>
    <x v="387"/>
    <n v="7.4029910000000001"/>
  </r>
  <r>
    <x v="5"/>
    <x v="388"/>
    <n v="7.4020000000000001"/>
  </r>
  <r>
    <x v="5"/>
    <x v="389"/>
    <n v="7.49"/>
  </r>
  <r>
    <x v="5"/>
    <x v="390"/>
    <n v="7.5209999999999999"/>
  </r>
  <r>
    <x v="5"/>
    <x v="391"/>
    <n v="7.5510000000000002"/>
  </r>
  <r>
    <x v="5"/>
    <x v="392"/>
    <n v="7.5750000000000002"/>
  </r>
  <r>
    <x v="5"/>
    <x v="393"/>
    <n v="7.702"/>
  </r>
  <r>
    <x v="5"/>
    <x v="394"/>
    <n v="7.508"/>
  </r>
  <r>
    <x v="5"/>
    <x v="395"/>
    <n v="7.6369999999999996"/>
  </r>
  <r>
    <x v="5"/>
    <x v="396"/>
    <n v="7.7910000000000004"/>
  </r>
  <r>
    <x v="5"/>
    <x v="397"/>
    <n v="7.8940000000000001"/>
  </r>
  <r>
    <x v="5"/>
    <x v="398"/>
    <n v="7.93"/>
  </r>
  <r>
    <x v="5"/>
    <x v="399"/>
    <n v="7.96"/>
  </r>
  <r>
    <x v="5"/>
    <x v="400"/>
    <n v="8.1760000000000002"/>
  </r>
  <r>
    <x v="5"/>
    <x v="401"/>
    <n v="8.1940000000000008"/>
  </r>
  <r>
    <x v="5"/>
    <x v="402"/>
    <n v="8.2119999999999997"/>
  </r>
  <r>
    <x v="5"/>
    <x v="403"/>
    <n v="8.1869999999999994"/>
  </r>
  <r>
    <x v="5"/>
    <x v="404"/>
    <n v="8.2409999999999997"/>
  </r>
  <r>
    <x v="5"/>
    <x v="405"/>
    <n v="8.1669999999999998"/>
  </r>
  <r>
    <x v="5"/>
    <x v="406"/>
    <n v="8.1989999999999998"/>
  </r>
  <r>
    <x v="5"/>
    <x v="407"/>
    <n v="8.1769999999999996"/>
  </r>
  <r>
    <x v="5"/>
    <x v="408"/>
    <n v="8.2669999999999995"/>
  </r>
  <r>
    <x v="5"/>
    <x v="409"/>
    <n v="8.2349999999999994"/>
  </r>
  <r>
    <x v="5"/>
    <x v="410"/>
    <n v="8.26"/>
  </r>
  <r>
    <x v="5"/>
    <x v="411"/>
    <n v="8.2479999999999993"/>
  </r>
  <r>
    <x v="5"/>
    <x v="412"/>
    <n v="8.4149999999999991"/>
  </r>
  <r>
    <x v="5"/>
    <x v="413"/>
    <n v="8.32"/>
  </r>
  <r>
    <x v="5"/>
    <x v="414"/>
    <n v="8.3699999999999992"/>
  </r>
  <r>
    <x v="5"/>
    <x v="415"/>
    <n v="8.3219999999999992"/>
  </r>
  <r>
    <x v="5"/>
    <x v="416"/>
    <n v="8.484"/>
  </r>
  <r>
    <x v="5"/>
    <x v="417"/>
    <n v="8.4109999999999996"/>
  </r>
  <r>
    <x v="5"/>
    <x v="418"/>
    <n v="8.4670000000000005"/>
  </r>
  <r>
    <x v="5"/>
    <x v="419"/>
    <n v="8.4920000000000009"/>
  </r>
  <r>
    <x v="5"/>
    <x v="420"/>
    <n v="8.57"/>
  </r>
  <r>
    <x v="5"/>
    <x v="421"/>
    <n v="8.5120000000000005"/>
  </r>
  <r>
    <x v="5"/>
    <x v="422"/>
    <n v="8.5960000000000001"/>
  </r>
  <r>
    <x v="5"/>
    <x v="423"/>
    <n v="8.5399999999999991"/>
  </r>
  <r>
    <x v="5"/>
    <x v="424"/>
    <n v="8.5830000000000002"/>
  </r>
  <r>
    <x v="5"/>
    <x v="425"/>
    <n v="8.6430000000000007"/>
  </r>
  <r>
    <x v="5"/>
    <x v="426"/>
    <n v="8.5429999999999993"/>
  </r>
  <r>
    <x v="5"/>
    <x v="427"/>
    <n v="8.6999999999999993"/>
  </r>
  <r>
    <x v="5"/>
    <x v="428"/>
    <n v="8.6419999999999995"/>
  </r>
  <r>
    <x v="5"/>
    <x v="429"/>
    <n v="8.359"/>
  </r>
  <r>
    <x v="5"/>
    <x v="430"/>
    <n v="8.3840000000000003"/>
  </r>
  <r>
    <x v="5"/>
    <x v="431"/>
    <n v="8.3569999999999993"/>
  </r>
  <r>
    <x v="5"/>
    <x v="432"/>
    <n v="8.3789999999999996"/>
  </r>
  <r>
    <x v="5"/>
    <x v="433"/>
    <n v="8.4440000000000008"/>
  </r>
  <r>
    <x v="5"/>
    <x v="434"/>
    <n v="8.4870000000000001"/>
  </r>
  <r>
    <x v="5"/>
    <x v="435"/>
    <n v="8.4339999999999993"/>
  </r>
  <r>
    <x v="5"/>
    <x v="436"/>
    <n v="8.7230000000000008"/>
  </r>
  <r>
    <x v="5"/>
    <x v="437"/>
    <n v="8.6140000000000008"/>
  </r>
  <r>
    <x v="5"/>
    <x v="438"/>
    <n v="8.6300000000000008"/>
  </r>
  <r>
    <x v="5"/>
    <x v="439"/>
    <n v="8.4369999999999994"/>
  </r>
  <r>
    <x v="5"/>
    <x v="440"/>
    <n v="8.5640000000000001"/>
  </r>
  <r>
    <x v="5"/>
    <x v="441"/>
    <n v="8.5069999999999997"/>
  </r>
  <r>
    <x v="5"/>
    <x v="442"/>
    <n v="8.5030000000000001"/>
  </r>
  <r>
    <x v="5"/>
    <x v="443"/>
    <n v="8.5329999999999995"/>
  </r>
  <r>
    <x v="5"/>
    <x v="444"/>
    <n v="8.4450000000000003"/>
  </r>
  <r>
    <x v="5"/>
    <x v="445"/>
    <n v="8.5289999999999999"/>
  </r>
  <r>
    <x v="5"/>
    <x v="446"/>
    <n v="8.7170000000000005"/>
  </r>
  <r>
    <x v="5"/>
    <x v="447"/>
    <n v="8.5969999999999995"/>
  </r>
  <r>
    <x v="5"/>
    <x v="448"/>
    <n v="8.6379999999999999"/>
  </r>
  <r>
    <x v="5"/>
    <x v="449"/>
    <n v="8.4979999999999993"/>
  </r>
  <r>
    <x v="5"/>
    <x v="450"/>
    <n v="8.5510000000000002"/>
  </r>
  <r>
    <x v="5"/>
    <x v="451"/>
    <n v="8.7409999999999997"/>
  </r>
  <r>
    <x v="5"/>
    <x v="452"/>
    <n v="8.7370000000000001"/>
  </r>
  <r>
    <x v="5"/>
    <x v="453"/>
    <n v="8.7829999999999995"/>
  </r>
  <r>
    <x v="5"/>
    <x v="454"/>
    <n v="8.75"/>
  </r>
  <r>
    <x v="5"/>
    <x v="455"/>
    <n v="8.7870000000000008"/>
  </r>
  <r>
    <x v="5"/>
    <x v="456"/>
    <n v="8.8879999999999999"/>
  </r>
  <r>
    <x v="5"/>
    <x v="457"/>
    <n v="8.7490000000000006"/>
  </r>
  <r>
    <x v="5"/>
    <x v="458"/>
    <n v="8.98"/>
  </r>
  <r>
    <x v="5"/>
    <x v="459"/>
    <n v="9.0630000000000006"/>
  </r>
  <r>
    <x v="5"/>
    <x v="460"/>
    <n v="9.1630000000000003"/>
  </r>
  <r>
    <x v="5"/>
    <x v="461"/>
    <n v="9.1590000000000007"/>
  </r>
  <r>
    <x v="5"/>
    <x v="462"/>
    <n v="9.1129999999999995"/>
  </r>
  <r>
    <x v="5"/>
    <x v="463"/>
    <n v="9.0839999999999996"/>
  </r>
  <r>
    <x v="5"/>
    <x v="464"/>
    <n v="9.1039999999999992"/>
  </r>
  <r>
    <x v="5"/>
    <x v="465"/>
    <n v="9.2729999999999997"/>
  </r>
  <r>
    <x v="5"/>
    <x v="466"/>
    <n v="9.3070000000000004"/>
  </r>
  <r>
    <x v="5"/>
    <x v="467"/>
    <n v="9.3629999999999995"/>
  </r>
  <r>
    <x v="5"/>
    <x v="468"/>
    <n v="9.4120000000000008"/>
  </r>
  <r>
    <x v="5"/>
    <x v="469"/>
    <n v="9.3719999999999999"/>
  </r>
  <r>
    <x v="5"/>
    <x v="470"/>
    <n v="9.35"/>
  </r>
  <r>
    <x v="5"/>
    <x v="471"/>
    <n v="9.2390000000000008"/>
  </r>
  <r>
    <x v="5"/>
    <x v="472"/>
    <n v="9.35"/>
  </r>
  <r>
    <x v="5"/>
    <x v="473"/>
    <n v="9.2780000000000005"/>
  </r>
  <r>
    <x v="5"/>
    <x v="474"/>
    <n v="9.3789999999999996"/>
  </r>
  <r>
    <x v="5"/>
    <x v="475"/>
    <n v="9.4760000000000009"/>
  </r>
  <r>
    <x v="5"/>
    <x v="476"/>
    <n v="9.375"/>
  </r>
  <r>
    <x v="5"/>
    <x v="477"/>
    <n v="9.4410000000000007"/>
  </r>
  <r>
    <x v="5"/>
    <x v="478"/>
    <n v="9.3979999999999997"/>
  </r>
  <r>
    <x v="5"/>
    <x v="479"/>
    <n v="9.4540000000000006"/>
  </r>
  <r>
    <x v="5"/>
    <x v="480"/>
    <n v="9.4450000000000003"/>
  </r>
  <r>
    <x v="5"/>
    <x v="481"/>
    <n v="9.5239999999999991"/>
  </r>
  <r>
    <x v="5"/>
    <x v="482"/>
    <n v="9.3810000000000002"/>
  </r>
  <r>
    <x v="5"/>
    <x v="483"/>
    <n v="9.4920000000000009"/>
  </r>
  <r>
    <x v="5"/>
    <x v="484"/>
    <n v="9.2460000000000004"/>
  </r>
  <r>
    <x v="5"/>
    <x v="485"/>
    <n v="9.3789999999999996"/>
  </r>
  <r>
    <x v="5"/>
    <x v="486"/>
    <n v="9.4499999999999993"/>
  </r>
  <r>
    <x v="5"/>
    <x v="487"/>
    <n v="9.3989999999999991"/>
  </r>
  <r>
    <x v="5"/>
    <x v="488"/>
    <n v="9.4789999999999992"/>
  </r>
  <r>
    <x v="5"/>
    <x v="489"/>
    <n v="9.5250000000000004"/>
  </r>
  <r>
    <x v="5"/>
    <x v="490"/>
    <n v="9.5350000000000001"/>
  </r>
  <r>
    <x v="5"/>
    <x v="491"/>
    <n v="9.2149999999999999"/>
  </r>
  <r>
    <x v="5"/>
    <x v="492"/>
    <n v="9.3030000000000008"/>
  </r>
  <r>
    <x v="5"/>
    <x v="493"/>
    <n v="9.6509999999999998"/>
  </r>
  <r>
    <x v="5"/>
    <x v="494"/>
    <n v="9.6720000000000006"/>
  </r>
  <r>
    <x v="5"/>
    <x v="495"/>
    <n v="9.7829999999999995"/>
  </r>
  <r>
    <x v="5"/>
    <x v="496"/>
    <n v="9.9990000000000006"/>
  </r>
  <r>
    <x v="5"/>
    <x v="497"/>
    <n v="9.9580000000000002"/>
  </r>
  <r>
    <x v="5"/>
    <x v="498"/>
    <n v="9.9589999999999996"/>
  </r>
  <r>
    <x v="5"/>
    <x v="499"/>
    <n v="9.99"/>
  </r>
  <r>
    <x v="5"/>
    <x v="500"/>
    <n v="9.9"/>
  </r>
  <r>
    <x v="6"/>
    <x v="0"/>
    <n v="3913.5600589999999"/>
  </r>
  <r>
    <x v="6"/>
    <x v="1"/>
    <n v="3861.98999"/>
  </r>
  <r>
    <x v="6"/>
    <x v="3"/>
    <n v="3814.959961"/>
  </r>
  <r>
    <x v="6"/>
    <x v="4"/>
    <n v="3800.1499020000001"/>
  </r>
  <r>
    <x v="6"/>
    <x v="5"/>
    <n v="3865.330078"/>
  </r>
  <r>
    <x v="6"/>
    <x v="6"/>
    <n v="3868.830078"/>
  </r>
  <r>
    <x v="6"/>
    <x v="7"/>
    <n v="3840.469971"/>
  </r>
  <r>
    <x v="6"/>
    <x v="8"/>
    <n v="3868.01001"/>
  </r>
  <r>
    <x v="6"/>
    <x v="9"/>
    <n v="3765.290039"/>
  </r>
  <r>
    <x v="6"/>
    <x v="10"/>
    <n v="3751.9799800000001"/>
  </r>
  <r>
    <x v="6"/>
    <x v="11"/>
    <n v="3809.780029"/>
  </r>
  <r>
    <x v="6"/>
    <x v="12"/>
    <n v="3866.540039"/>
  </r>
  <r>
    <x v="6"/>
    <x v="13"/>
    <n v="3805.8999020000001"/>
  </r>
  <r>
    <x v="6"/>
    <x v="14"/>
    <n v="3847.8400879999999"/>
  </r>
  <r>
    <x v="6"/>
    <x v="15"/>
    <n v="3839.0500489999999"/>
  </r>
  <r>
    <x v="6"/>
    <x v="16"/>
    <n v="3790.860107"/>
  </r>
  <r>
    <x v="6"/>
    <x v="17"/>
    <n v="3777.219971"/>
  </r>
  <r>
    <x v="6"/>
    <x v="18"/>
    <n v="3795.1000979999999"/>
  </r>
  <r>
    <x v="6"/>
    <x v="19"/>
    <n v="3753.280029"/>
  </r>
  <r>
    <x v="6"/>
    <x v="20"/>
    <n v="3820.01001"/>
  </r>
  <r>
    <x v="6"/>
    <x v="21"/>
    <n v="3848.8798830000001"/>
  </r>
  <r>
    <x v="6"/>
    <x v="22"/>
    <n v="3854.719971"/>
  </r>
  <r>
    <x v="6"/>
    <x v="23"/>
    <n v="3817.8100589999999"/>
  </r>
  <r>
    <x v="6"/>
    <x v="24"/>
    <n v="3878.530029"/>
  </r>
  <r>
    <x v="6"/>
    <x v="25"/>
    <n v="3937.889893"/>
  </r>
  <r>
    <x v="6"/>
    <x v="26"/>
    <n v="3964.73999"/>
  </r>
  <r>
    <x v="6"/>
    <x v="27"/>
    <n v="3992.040039"/>
  </r>
  <r>
    <x v="6"/>
    <x v="28"/>
    <n v="4009.7299800000001"/>
  </r>
  <r>
    <x v="6"/>
    <x v="29"/>
    <n v="4009.790039"/>
  </r>
  <r>
    <x v="6"/>
    <x v="30"/>
    <n v="4063.2299800000001"/>
  </r>
  <r>
    <x v="6"/>
    <x v="31"/>
    <n v="4073.389893"/>
  </r>
  <r>
    <x v="6"/>
    <x v="32"/>
    <n v="4078.669922"/>
  </r>
  <r>
    <x v="6"/>
    <x v="33"/>
    <n v="4050.080078"/>
  </r>
  <r>
    <x v="6"/>
    <x v="34"/>
    <n v="4016.6201169999999"/>
  </r>
  <r>
    <x v="6"/>
    <x v="35"/>
    <n v="4037.0900879999999"/>
  </r>
  <r>
    <x v="6"/>
    <x v="36"/>
    <n v="4037.8999020000001"/>
  </r>
  <r>
    <x v="6"/>
    <x v="37"/>
    <n v="3993.4499510000001"/>
  </r>
  <r>
    <x v="6"/>
    <x v="38"/>
    <n v="3976.0200199999999"/>
  </r>
  <r>
    <x v="6"/>
    <x v="39"/>
    <n v="3955.9499510000001"/>
  </r>
  <r>
    <x v="6"/>
    <x v="40"/>
    <n v="3967.030029"/>
  </r>
  <r>
    <x v="6"/>
    <x v="41"/>
    <n v="4013.6599120000001"/>
  </r>
  <r>
    <x v="6"/>
    <x v="42"/>
    <n v="4040.1599120000001"/>
  </r>
  <r>
    <x v="6"/>
    <x v="43"/>
    <n v="3991.6999510000001"/>
  </r>
  <r>
    <x v="6"/>
    <x v="44"/>
    <n v="3903.0200199999999"/>
  </r>
  <r>
    <x v="6"/>
    <x v="45"/>
    <n v="3856.0500489999999"/>
  </r>
  <r>
    <x v="6"/>
    <x v="46"/>
    <n v="3882.98999"/>
  </r>
  <r>
    <x v="6"/>
    <x v="47"/>
    <n v="3922.929932"/>
  </r>
  <r>
    <x v="6"/>
    <x v="48"/>
    <n v="3899.929932"/>
  </r>
  <r>
    <x v="6"/>
    <x v="49"/>
    <n v="3917.6999510000001"/>
  </r>
  <r>
    <x v="6"/>
    <x v="50"/>
    <n v="3958"/>
  </r>
  <r>
    <x v="6"/>
    <x v="51"/>
    <n v="4034.219971"/>
  </r>
  <r>
    <x v="6"/>
    <x v="52"/>
    <n v="4003.76001"/>
  </r>
  <r>
    <x v="6"/>
    <x v="53"/>
    <n v="4040.530029"/>
  </r>
  <r>
    <x v="6"/>
    <x v="54"/>
    <n v="4043.820068"/>
  </r>
  <r>
    <x v="6"/>
    <x v="55"/>
    <n v="4064.26001"/>
  </r>
  <r>
    <x v="6"/>
    <x v="56"/>
    <n v="4066.929932"/>
  </r>
  <r>
    <x v="6"/>
    <x v="57"/>
    <n v="4101.7202150000003"/>
  </r>
  <r>
    <x v="6"/>
    <x v="58"/>
    <n v="4110.7402339999999"/>
  </r>
  <r>
    <x v="6"/>
    <x v="59"/>
    <n v="4135.5097660000001"/>
  </r>
  <r>
    <x v="6"/>
    <x v="60"/>
    <n v="4103.0698240000002"/>
  </r>
  <r>
    <x v="6"/>
    <x v="61"/>
    <n v="4117.1801759999998"/>
  </r>
  <r>
    <x v="6"/>
    <x v="62"/>
    <n v="4140.4301759999998"/>
  </r>
  <r>
    <x v="6"/>
    <x v="63"/>
    <n v="4119.8598629999997"/>
  </r>
  <r>
    <x v="6"/>
    <x v="64"/>
    <n v="4133.7202150000003"/>
  </r>
  <r>
    <x v="6"/>
    <x v="65"/>
    <n v="4092.3701169999999"/>
  </r>
  <r>
    <x v="6"/>
    <x v="66"/>
    <n v="4113.7797849999997"/>
  </r>
  <r>
    <x v="6"/>
    <x v="67"/>
    <n v="4167.0600590000004"/>
  </r>
  <r>
    <x v="6"/>
    <x v="68"/>
    <n v="4170.5200199999999"/>
  </r>
  <r>
    <x v="6"/>
    <x v="69"/>
    <n v="4158.1201170000004"/>
  </r>
  <r>
    <x v="6"/>
    <x v="70"/>
    <n v="4168.6401370000003"/>
  </r>
  <r>
    <x v="6"/>
    <x v="71"/>
    <n v="4158.8598629999997"/>
  </r>
  <r>
    <x v="6"/>
    <x v="72"/>
    <n v="4152.4501950000003"/>
  </r>
  <r>
    <x v="6"/>
    <x v="73"/>
    <n v="4168.1801759999998"/>
  </r>
  <r>
    <x v="6"/>
    <x v="74"/>
    <n v="4132.8100590000004"/>
  </r>
  <r>
    <x v="6"/>
    <x v="75"/>
    <n v="4089"/>
  </r>
  <r>
    <x v="6"/>
    <x v="76"/>
    <n v="4122.1201170000004"/>
  </r>
  <r>
    <x v="6"/>
    <x v="77"/>
    <n v="4103.5"/>
  </r>
  <r>
    <x v="6"/>
    <x v="78"/>
    <n v="4084.719971"/>
  </r>
  <r>
    <x v="6"/>
    <x v="79"/>
    <n v="4080.9499510000001"/>
  </r>
  <r>
    <x v="6"/>
    <x v="80"/>
    <n v="4057.98999"/>
  </r>
  <r>
    <x v="6"/>
    <x v="81"/>
    <n v="4065.76001"/>
  </r>
  <r>
    <x v="6"/>
    <x v="82"/>
    <n v="4085.959961"/>
  </r>
  <r>
    <x v="6"/>
    <x v="83"/>
    <n v="4082.3500979999999"/>
  </r>
  <r>
    <x v="6"/>
    <x v="84"/>
    <n v="4083.570068"/>
  </r>
  <r>
    <x v="6"/>
    <x v="85"/>
    <n v="4077.389893"/>
  </r>
  <r>
    <x v="6"/>
    <x v="86"/>
    <n v="4059.929932"/>
  </r>
  <r>
    <x v="6"/>
    <x v="87"/>
    <n v="4011.4099120000001"/>
  </r>
  <r>
    <x v="6"/>
    <x v="88"/>
    <n v="3991.530029"/>
  </r>
  <r>
    <x v="6"/>
    <x v="89"/>
    <n v="4036.5"/>
  </r>
  <r>
    <x v="6"/>
    <x v="90"/>
    <n v="4026.459961"/>
  </r>
  <r>
    <x v="6"/>
    <x v="501"/>
    <n v="4026.459961"/>
  </r>
  <r>
    <x v="6"/>
    <x v="91"/>
    <n v="4048.75"/>
  </r>
  <r>
    <x v="6"/>
    <x v="92"/>
    <n v="4035.959961"/>
  </r>
  <r>
    <x v="6"/>
    <x v="93"/>
    <n v="4040.5500489999999"/>
  </r>
  <r>
    <x v="6"/>
    <x v="94"/>
    <n v="4064.7700199999999"/>
  </r>
  <r>
    <x v="6"/>
    <x v="95"/>
    <n v="4099.8598629999997"/>
  </r>
  <r>
    <x v="6"/>
    <x v="96"/>
    <n v="4135.0400390000004"/>
  </r>
  <r>
    <x v="6"/>
    <x v="97"/>
    <n v="4165.8999020000001"/>
  </r>
  <r>
    <x v="6"/>
    <x v="98"/>
    <n v="4175.9902339999999"/>
  </r>
  <r>
    <x v="6"/>
    <x v="99"/>
    <n v="4196.8598629999997"/>
  </r>
  <r>
    <x v="6"/>
    <x v="100"/>
    <n v="4236.9799800000001"/>
  </r>
  <r>
    <x v="6"/>
    <x v="101"/>
    <n v="4248.7001950000003"/>
  </r>
  <r>
    <x v="6"/>
    <x v="102"/>
    <n v="4255.7998049999997"/>
  </r>
  <r>
    <x v="6"/>
    <x v="103"/>
    <n v="4221.9799800000001"/>
  </r>
  <r>
    <x v="6"/>
    <x v="104"/>
    <n v="4285.0297849999997"/>
  </r>
  <r>
    <x v="6"/>
    <x v="105"/>
    <n v="4265.4702150000003"/>
  </r>
  <r>
    <x v="6"/>
    <x v="106"/>
    <n v="4259.8500979999999"/>
  </r>
  <r>
    <x v="6"/>
    <x v="107"/>
    <n v="4236.5498049999997"/>
  </r>
  <r>
    <x v="6"/>
    <x v="108"/>
    <n v="4239.5698240000002"/>
  </r>
  <r>
    <x v="6"/>
    <x v="109"/>
    <n v="4262.1201170000004"/>
  </r>
  <r>
    <x v="6"/>
    <x v="110"/>
    <n v="4285.5400390000004"/>
  </r>
  <r>
    <x v="6"/>
    <x v="111"/>
    <n v="4296.2900390000004"/>
  </r>
  <r>
    <x v="6"/>
    <x v="112"/>
    <n v="4295.8500979999999"/>
  </r>
  <r>
    <x v="6"/>
    <x v="113"/>
    <n v="4338.080078"/>
  </r>
  <r>
    <x v="6"/>
    <x v="114"/>
    <n v="4367.5297849999997"/>
  </r>
  <r>
    <x v="6"/>
    <x v="115"/>
    <n v="4396.4799800000001"/>
  </r>
  <r>
    <x v="6"/>
    <x v="116"/>
    <n v="4364.5898440000001"/>
  </r>
  <r>
    <x v="6"/>
    <x v="117"/>
    <n v="4352.1000979999999"/>
  </r>
  <r>
    <x v="6"/>
    <x v="118"/>
    <n v="4324.7700199999999"/>
  </r>
  <r>
    <x v="6"/>
    <x v="119"/>
    <n v="4344.2597660000001"/>
  </r>
  <r>
    <x v="6"/>
    <x v="120"/>
    <n v="4246.6801759999998"/>
  </r>
  <r>
    <x v="6"/>
    <x v="121"/>
    <n v="4323.9301759999998"/>
  </r>
  <r>
    <x v="6"/>
    <x v="122"/>
    <n v="4315.4101559999999"/>
  </r>
  <r>
    <x v="6"/>
    <x v="123"/>
    <n v="4322.7402339999999"/>
  </r>
  <r>
    <x v="6"/>
    <x v="124"/>
    <n v="4300.080078"/>
  </r>
  <r>
    <x v="6"/>
    <x v="125"/>
    <n v="4294.1000979999999"/>
  </r>
  <r>
    <x v="6"/>
    <x v="126"/>
    <n v="4359.7597660000001"/>
  </r>
  <r>
    <x v="6"/>
    <x v="127"/>
    <n v="4440.1401370000003"/>
  </r>
  <r>
    <x v="6"/>
    <x v="128"/>
    <n v="4485.8598629999997"/>
  </r>
  <r>
    <x v="6"/>
    <x v="129"/>
    <n v="4525.7202150000003"/>
  </r>
  <r>
    <x v="6"/>
    <x v="130"/>
    <n v="4517.5097660000001"/>
  </r>
  <r>
    <x v="6"/>
    <x v="131"/>
    <n v="4581.4902339999999"/>
  </r>
  <r>
    <x v="6"/>
    <x v="132"/>
    <n v="4558.5400390000004"/>
  </r>
  <r>
    <x v="6"/>
    <x v="133"/>
    <n v="4548.3198240000002"/>
  </r>
  <r>
    <x v="6"/>
    <x v="134"/>
    <n v="4546.5698240000002"/>
  </r>
  <r>
    <x v="6"/>
    <x v="135"/>
    <n v="4526.3798829999996"/>
  </r>
  <r>
    <x v="6"/>
    <x v="136"/>
    <n v="4458.7900390000004"/>
  </r>
  <r>
    <x v="6"/>
    <x v="137"/>
    <n v="4502.6801759999998"/>
  </r>
  <r>
    <x v="6"/>
    <x v="138"/>
    <n v="4483.8598629999997"/>
  </r>
  <r>
    <x v="6"/>
    <x v="139"/>
    <n v="4470"/>
  </r>
  <r>
    <x v="6"/>
    <x v="140"/>
    <n v="4317.0400390000004"/>
  </r>
  <r>
    <x v="6"/>
    <x v="141"/>
    <n v="4236.7099609999996"/>
  </r>
  <r>
    <x v="6"/>
    <x v="142"/>
    <n v="4276.2998049999997"/>
  </r>
  <r>
    <x v="6"/>
    <x v="143"/>
    <n v="4154.6000979999999"/>
  </r>
  <r>
    <x v="6"/>
    <x v="144"/>
    <n v="4026.2299800000001"/>
  </r>
  <r>
    <x v="6"/>
    <x v="145"/>
    <n v="4041.5600589999999"/>
  </r>
  <r>
    <x v="6"/>
    <x v="146"/>
    <n v="4081.8400879999999"/>
  </r>
  <r>
    <x v="6"/>
    <x v="147"/>
    <n v="4098.5097660000001"/>
  </r>
  <r>
    <x v="6"/>
    <x v="148"/>
    <n v="4024.5600589999999"/>
  </r>
  <r>
    <x v="6"/>
    <x v="149"/>
    <n v="3879.0200199999999"/>
  </r>
  <r>
    <x v="6"/>
    <x v="150"/>
    <n v="3595.9399410000001"/>
  </r>
  <r>
    <x v="6"/>
    <x v="151"/>
    <n v="3536.209961"/>
  </r>
  <r>
    <x v="6"/>
    <x v="152"/>
    <n v="3504.26001"/>
  </r>
  <r>
    <x v="6"/>
    <x v="153"/>
    <n v="3149.3400879999999"/>
  </r>
  <r>
    <x v="6"/>
    <x v="154"/>
    <n v="3095.48999"/>
  </r>
  <r>
    <x v="6"/>
    <x v="155"/>
    <n v="2935.3100589999999"/>
  </r>
  <r>
    <x v="6"/>
    <x v="156"/>
    <n v="2982.669922"/>
  </r>
  <r>
    <x v="6"/>
    <x v="157"/>
    <n v="2905.76001"/>
  </r>
  <r>
    <x v="6"/>
    <x v="158"/>
    <n v="3011.969971"/>
  </r>
  <r>
    <x v="6"/>
    <x v="159"/>
    <n v="3040.6899410000001"/>
  </r>
  <r>
    <x v="6"/>
    <x v="160"/>
    <n v="2911.419922"/>
  </r>
  <r>
    <x v="6"/>
    <x v="161"/>
    <n v="3112.070068"/>
  </r>
  <r>
    <x v="6"/>
    <x v="162"/>
    <n v="3252.1999510000001"/>
  </r>
  <r>
    <x v="6"/>
    <x v="163"/>
    <n v="3321.669922"/>
  </r>
  <r>
    <x v="6"/>
    <x v="164"/>
    <n v="3209.0900879999999"/>
  </r>
  <r>
    <x v="6"/>
    <x v="165"/>
    <n v="3225.080078"/>
  </r>
  <r>
    <x v="6"/>
    <x v="166"/>
    <n v="3382.459961"/>
  </r>
  <r>
    <x v="6"/>
    <x v="167"/>
    <n v="3263.1201169999999"/>
  </r>
  <r>
    <x v="6"/>
    <x v="168"/>
    <n v="3294.219971"/>
  </r>
  <r>
    <x v="6"/>
    <x v="169"/>
    <n v="3254.01001"/>
  </r>
  <r>
    <x v="6"/>
    <x v="170"/>
    <n v="3336.790039"/>
  </r>
  <r>
    <x v="6"/>
    <x v="171"/>
    <n v="3444.0200199999999"/>
  </r>
  <r>
    <x v="6"/>
    <x v="172"/>
    <n v="3434.5200199999999"/>
  </r>
  <r>
    <x v="6"/>
    <x v="173"/>
    <n v="3467.26001"/>
  </r>
  <r>
    <x v="6"/>
    <x v="174"/>
    <n v="3534.0900879999999"/>
  </r>
  <r>
    <x v="6"/>
    <x v="175"/>
    <n v="3385.76001"/>
  </r>
  <r>
    <x v="6"/>
    <x v="176"/>
    <n v="3382.790039"/>
  </r>
  <r>
    <x v="6"/>
    <x v="177"/>
    <n v="3470.1298830000001"/>
  </r>
  <r>
    <x v="6"/>
    <x v="178"/>
    <n v="3461.6298830000001"/>
  </r>
  <r>
    <x v="6"/>
    <x v="179"/>
    <n v="3347.8000489999999"/>
  </r>
  <r>
    <x v="6"/>
    <x v="180"/>
    <n v="3455.790039"/>
  </r>
  <r>
    <x v="6"/>
    <x v="181"/>
    <n v="3502.719971"/>
  </r>
  <r>
    <x v="6"/>
    <x v="182"/>
    <n v="3468.780029"/>
  </r>
  <r>
    <x v="6"/>
    <x v="183"/>
    <n v="3505.580078"/>
  </r>
  <r>
    <x v="6"/>
    <x v="184"/>
    <n v="3615.959961"/>
  </r>
  <r>
    <x v="6"/>
    <x v="185"/>
    <n v="3748.9099120000001"/>
  </r>
  <r>
    <x v="6"/>
    <x v="186"/>
    <n v="3739.209961"/>
  </r>
  <r>
    <x v="6"/>
    <x v="187"/>
    <n v="3580.929932"/>
  </r>
  <r>
    <x v="6"/>
    <x v="188"/>
    <n v="3615.919922"/>
  </r>
  <r>
    <x v="6"/>
    <x v="189"/>
    <n v="3602.580078"/>
  </r>
  <r>
    <x v="6"/>
    <x v="190"/>
    <n v="3657.0500489999999"/>
  </r>
  <r>
    <x v="6"/>
    <x v="191"/>
    <n v="3684.5900879999999"/>
  </r>
  <r>
    <x v="6"/>
    <x v="192"/>
    <n v="3672.360107"/>
  </r>
  <r>
    <x v="6"/>
    <x v="193"/>
    <n v="3699.070068"/>
  </r>
  <r>
    <x v="6"/>
    <x v="194"/>
    <n v="3605.110107"/>
  </r>
  <r>
    <x v="6"/>
    <x v="195"/>
    <n v="3514.1599120000001"/>
  </r>
  <r>
    <x v="6"/>
    <x v="196"/>
    <n v="3511.8999020000001"/>
  </r>
  <r>
    <x v="6"/>
    <x v="197"/>
    <n v="3693.959961"/>
  </r>
  <r>
    <x v="6"/>
    <x v="198"/>
    <n v="3706.889893"/>
  </r>
  <r>
    <x v="6"/>
    <x v="199"/>
    <n v="3765.3400879999999"/>
  </r>
  <r>
    <x v="6"/>
    <x v="200"/>
    <n v="3752.7700199999999"/>
  </r>
  <r>
    <x v="6"/>
    <x v="201"/>
    <n v="3787.3701169999999"/>
  </r>
  <r>
    <x v="6"/>
    <x v="202"/>
    <n v="3880.1298830000001"/>
  </r>
  <r>
    <x v="6"/>
    <x v="203"/>
    <n v="3953.830078"/>
  </r>
  <r>
    <x v="6"/>
    <x v="204"/>
    <n v="3998.1899410000001"/>
  </r>
  <r>
    <x v="6"/>
    <x v="205"/>
    <n v="3957.98999"/>
  </r>
  <r>
    <x v="6"/>
    <x v="206"/>
    <n v="3999.209961"/>
  </r>
  <r>
    <x v="6"/>
    <x v="207"/>
    <n v="4033.98999"/>
  </r>
  <r>
    <x v="6"/>
    <x v="208"/>
    <n v="4076.6201169999999"/>
  </r>
  <r>
    <x v="6"/>
    <x v="209"/>
    <n v="4078.4099120000001"/>
  </r>
  <r>
    <x v="6"/>
    <x v="210"/>
    <n v="4137.7900390000004"/>
  </r>
  <r>
    <x v="6"/>
    <x v="211"/>
    <n v="4128.8999020000001"/>
  </r>
  <r>
    <x v="6"/>
    <x v="212"/>
    <n v="4089.5600589999999"/>
  </r>
  <r>
    <x v="6"/>
    <x v="213"/>
    <n v="4049.179932"/>
  </r>
  <r>
    <x v="6"/>
    <x v="214"/>
    <n v="3880.419922"/>
  </r>
  <r>
    <x v="6"/>
    <x v="215"/>
    <n v="3905.23999"/>
  </r>
  <r>
    <x v="6"/>
    <x v="216"/>
    <n v="3888.8798830000001"/>
  </r>
  <r>
    <x v="6"/>
    <x v="217"/>
    <n v="4005.1201169999999"/>
  </r>
  <r>
    <x v="6"/>
    <x v="218"/>
    <n v="3983.169922"/>
  </r>
  <r>
    <x v="6"/>
    <x v="219"/>
    <n v="3976.1599120000001"/>
  </r>
  <r>
    <x v="6"/>
    <x v="220"/>
    <n v="3936.820068"/>
  </r>
  <r>
    <x v="6"/>
    <x v="221"/>
    <n v="3990.429932"/>
  </r>
  <r>
    <x v="6"/>
    <x v="222"/>
    <n v="3921"/>
  </r>
  <r>
    <x v="6"/>
    <x v="223"/>
    <n v="3931.580078"/>
  </r>
  <r>
    <x v="6"/>
    <x v="224"/>
    <n v="3926.76001"/>
  </r>
  <r>
    <x v="6"/>
    <x v="225"/>
    <n v="3947.76001"/>
  </r>
  <r>
    <x v="6"/>
    <x v="226"/>
    <n v="3927.389893"/>
  </r>
  <r>
    <x v="6"/>
    <x v="227"/>
    <n v="3943.969971"/>
  </r>
  <r>
    <x v="6"/>
    <x v="228"/>
    <n v="3993.01001"/>
  </r>
  <r>
    <x v="6"/>
    <x v="229"/>
    <n v="3976.030029"/>
  </r>
  <r>
    <x v="6"/>
    <x v="230"/>
    <n v="4055.3100589999999"/>
  </r>
  <r>
    <x v="6"/>
    <x v="231"/>
    <n v="4006.459961"/>
  </r>
  <r>
    <x v="6"/>
    <x v="232"/>
    <n v="3966.3100589999999"/>
  </r>
  <r>
    <x v="6"/>
    <x v="233"/>
    <n v="3918.610107"/>
  </r>
  <r>
    <x v="6"/>
    <x v="234"/>
    <n v="3942.8798830000001"/>
  </r>
  <r>
    <x v="6"/>
    <x v="235"/>
    <n v="4031.320068"/>
  </r>
  <r>
    <x v="6"/>
    <x v="236"/>
    <n v="4056.320068"/>
  </r>
  <r>
    <x v="6"/>
    <x v="237"/>
    <n v="4062.73999"/>
  </r>
  <r>
    <x v="6"/>
    <x v="238"/>
    <n v="4058.9799800000001"/>
  </r>
  <r>
    <x v="6"/>
    <x v="239"/>
    <n v="4070.9399410000001"/>
  </r>
  <r>
    <x v="6"/>
    <x v="240"/>
    <n v="4111.1899409999996"/>
  </r>
  <r>
    <x v="6"/>
    <x v="241"/>
    <n v="4122.7099609999996"/>
  </r>
  <r>
    <x v="6"/>
    <x v="242"/>
    <n v="4141.7001950000003"/>
  </r>
  <r>
    <x v="6"/>
    <x v="243"/>
    <n v="4206.2001950000003"/>
  </r>
  <r>
    <x v="6"/>
    <x v="244"/>
    <n v="4174.7001950000003"/>
  </r>
  <r>
    <x v="6"/>
    <x v="245"/>
    <n v="4142.3398440000001"/>
  </r>
  <r>
    <x v="6"/>
    <x v="246"/>
    <n v="4122.6000979999999"/>
  </r>
  <r>
    <x v="6"/>
    <x v="247"/>
    <n v="4101.080078"/>
  </r>
  <r>
    <x v="6"/>
    <x v="248"/>
    <n v="4016.320068"/>
  </r>
  <r>
    <x v="6"/>
    <x v="249"/>
    <n v="4078.959961"/>
  </r>
  <r>
    <x v="6"/>
    <x v="250"/>
    <n v="4145.9599609999996"/>
  </r>
  <r>
    <x v="6"/>
    <x v="251"/>
    <n v="4151.0297849999997"/>
  </r>
  <r>
    <x v="6"/>
    <x v="252"/>
    <n v="4151.0600590000004"/>
  </r>
  <r>
    <x v="6"/>
    <x v="253"/>
    <n v="4137.4799800000001"/>
  </r>
  <r>
    <x v="6"/>
    <x v="254"/>
    <n v="4151.4501950000003"/>
  </r>
  <r>
    <x v="6"/>
    <x v="255"/>
    <n v="4170.6000979999999"/>
  </r>
  <r>
    <x v="6"/>
    <x v="256"/>
    <n v="4217.080078"/>
  </r>
  <r>
    <x v="6"/>
    <x v="257"/>
    <n v="4258.4799800000001"/>
  </r>
  <r>
    <x v="6"/>
    <x v="258"/>
    <n v="4247.1401370000003"/>
  </r>
  <r>
    <x v="6"/>
    <x v="259"/>
    <n v="4209.4301759999998"/>
  </r>
  <r>
    <x v="6"/>
    <x v="260"/>
    <n v="4253.5200199999999"/>
  </r>
  <r>
    <x v="6"/>
    <x v="261"/>
    <n v="4240.4599609999996"/>
  </r>
  <r>
    <x v="6"/>
    <x v="262"/>
    <n v="4255.2700199999999"/>
  </r>
  <r>
    <x v="6"/>
    <x v="263"/>
    <n v="4223.3798829999996"/>
  </r>
  <r>
    <x v="6"/>
    <x v="264"/>
    <n v="4225.9101559999999"/>
  </r>
  <r>
    <x v="6"/>
    <x v="265"/>
    <n v="4285.6098629999997"/>
  </r>
  <r>
    <x v="6"/>
    <x v="266"/>
    <n v="4302.1499020000001"/>
  </r>
  <r>
    <x v="6"/>
    <x v="267"/>
    <n v="4353.3100590000004"/>
  </r>
  <r>
    <x v="6"/>
    <x v="268"/>
    <n v="4338.8798829999996"/>
  </r>
  <r>
    <x v="6"/>
    <x v="269"/>
    <n v="4333.0297849999997"/>
  </r>
  <r>
    <x v="6"/>
    <x v="270"/>
    <n v="4308.7998049999997"/>
  </r>
  <r>
    <x v="6"/>
    <x v="271"/>
    <n v="4301.7001950000003"/>
  </r>
  <r>
    <x v="6"/>
    <x v="272"/>
    <n v="4331.5698240000002"/>
  </r>
  <r>
    <x v="6"/>
    <x v="273"/>
    <n v="4271.3598629999997"/>
  </r>
  <r>
    <x v="6"/>
    <x v="274"/>
    <n v="4263.3198240000002"/>
  </r>
  <r>
    <x v="6"/>
    <x v="275"/>
    <n v="4313.0898440000001"/>
  </r>
  <r>
    <x v="6"/>
    <x v="276"/>
    <n v="4269.2099609999996"/>
  </r>
  <r>
    <x v="6"/>
    <x v="277"/>
    <n v="4342.9301759999998"/>
  </r>
  <r>
    <x v="6"/>
    <x v="278"/>
    <n v="4326.1098629999997"/>
  </r>
  <r>
    <x v="6"/>
    <x v="279"/>
    <n v="4317.0498049999997"/>
  </r>
  <r>
    <x v="6"/>
    <x v="280"/>
    <n v="4308.5698240000002"/>
  </r>
  <r>
    <x v="6"/>
    <x v="281"/>
    <n v="4336.4301759999998"/>
  </r>
  <r>
    <x v="6"/>
    <x v="282"/>
    <n v="4397.7597660000001"/>
  </r>
  <r>
    <x v="6"/>
    <x v="283"/>
    <n v="4399.9599609999996"/>
  </r>
  <r>
    <x v="6"/>
    <x v="284"/>
    <n v="4403.6499020000001"/>
  </r>
  <r>
    <x v="6"/>
    <x v="285"/>
    <n v="4254.8500979999999"/>
  </r>
  <r>
    <x v="6"/>
    <x v="286"/>
    <n v="4301.3500979999999"/>
  </r>
  <r>
    <x v="6"/>
    <x v="287"/>
    <n v="4299.919922"/>
  </r>
  <r>
    <x v="6"/>
    <x v="288"/>
    <n v="4249.080078"/>
  </r>
  <r>
    <x v="6"/>
    <x v="289"/>
    <n v="4215.6499020000001"/>
  </r>
  <r>
    <x v="6"/>
    <x v="290"/>
    <n v="4309.080078"/>
  </r>
  <r>
    <x v="6"/>
    <x v="291"/>
    <n v="4291.6499020000001"/>
  </r>
  <r>
    <x v="6"/>
    <x v="292"/>
    <n v="4280.9702150000003"/>
  </r>
  <r>
    <x v="6"/>
    <x v="293"/>
    <n v="4320.169922"/>
  </r>
  <r>
    <x v="6"/>
    <x v="294"/>
    <n v="4317.4101559999999"/>
  </r>
  <r>
    <x v="6"/>
    <x v="295"/>
    <n v="4380.4799800000001"/>
  </r>
  <r>
    <x v="6"/>
    <x v="296"/>
    <n v="4372.2597660000001"/>
  </r>
  <r>
    <x v="6"/>
    <x v="297"/>
    <n v="4364.6601559999999"/>
  </r>
  <r>
    <x v="6"/>
    <x v="298"/>
    <n v="4379.5898440000001"/>
  </r>
  <r>
    <x v="6"/>
    <x v="299"/>
    <n v="4419.2099609999996"/>
  </r>
  <r>
    <x v="6"/>
    <x v="300"/>
    <n v="4470.0400390000004"/>
  </r>
  <r>
    <x v="6"/>
    <x v="301"/>
    <n v="4439.580078"/>
  </r>
  <r>
    <x v="6"/>
    <x v="302"/>
    <n v="4468.2299800000001"/>
  </r>
  <r>
    <x v="6"/>
    <x v="303"/>
    <n v="4403.0200199999999"/>
  </r>
  <r>
    <x v="6"/>
    <x v="304"/>
    <n v="4439.4902339999999"/>
  </r>
  <r>
    <x v="6"/>
    <x v="305"/>
    <n v="4447.5200199999999"/>
  </r>
  <r>
    <x v="6"/>
    <x v="306"/>
    <n v="4429.080078"/>
  </r>
  <r>
    <x v="6"/>
    <x v="307"/>
    <n v="4384.1098629999997"/>
  </r>
  <r>
    <x v="6"/>
    <x v="308"/>
    <n v="4366.0200199999999"/>
  </r>
  <r>
    <x v="6"/>
    <x v="309"/>
    <n v="4385.1499020000001"/>
  </r>
  <r>
    <x v="6"/>
    <x v="310"/>
    <n v="4299.8598629999997"/>
  </r>
  <r>
    <x v="6"/>
    <x v="311"/>
    <n v="4237.4301759999998"/>
  </r>
  <r>
    <x v="6"/>
    <x v="312"/>
    <n v="4113.3701170000004"/>
  </r>
  <r>
    <x v="6"/>
    <x v="313"/>
    <n v="4036.919922"/>
  </r>
  <r>
    <x v="6"/>
    <x v="314"/>
    <n v="4057"/>
  </r>
  <r>
    <x v="6"/>
    <x v="315"/>
    <n v="4105.8798829999996"/>
  </r>
  <r>
    <x v="6"/>
    <x v="316"/>
    <n v="4213.3198240000002"/>
  </r>
  <r>
    <x v="6"/>
    <x v="317"/>
    <n v="4256.0297849999997"/>
  </r>
  <r>
    <x v="6"/>
    <x v="318"/>
    <n v="4295.2700199999999"/>
  </r>
  <r>
    <x v="6"/>
    <x v="319"/>
    <n v="4281.7700199999999"/>
  </r>
  <r>
    <x v="6"/>
    <x v="320"/>
    <n v="4446"/>
  </r>
  <r>
    <x v="6"/>
    <x v="321"/>
    <n v="4503.2700199999999"/>
  </r>
  <r>
    <x v="6"/>
    <x v="322"/>
    <n v="4478.4799800000001"/>
  </r>
  <r>
    <x v="6"/>
    <x v="323"/>
    <n v="4429.1601559999999"/>
  </r>
  <r>
    <x v="6"/>
    <x v="324"/>
    <n v="4421.330078"/>
  </r>
  <r>
    <x v="6"/>
    <x v="325"/>
    <n v="4464.3100590000004"/>
  </r>
  <r>
    <x v="6"/>
    <x v="326"/>
    <n v="4470.6899409999996"/>
  </r>
  <r>
    <x v="6"/>
    <x v="327"/>
    <n v="4504.75"/>
  </r>
  <r>
    <x v="6"/>
    <x v="328"/>
    <n v="4464.4902339999999"/>
  </r>
  <r>
    <x v="6"/>
    <x v="329"/>
    <n v="4491.4501950000003"/>
  </r>
  <r>
    <x v="6"/>
    <x v="330"/>
    <n v="4506.8100590000004"/>
  </r>
  <r>
    <x v="6"/>
    <x v="331"/>
    <n v="4560.3701170000004"/>
  </r>
  <r>
    <x v="6"/>
    <x v="332"/>
    <n v="4575.080078"/>
  </r>
  <r>
    <x v="6"/>
    <x v="333"/>
    <n v="4567.6401370000003"/>
  </r>
  <r>
    <x v="6"/>
    <x v="334"/>
    <n v="4624.1098629999997"/>
  </r>
  <r>
    <x v="6"/>
    <x v="335"/>
    <n v="4564.6601559999999"/>
  </r>
  <r>
    <x v="6"/>
    <x v="336"/>
    <n v="4589.6601559999999"/>
  </r>
  <r>
    <x v="6"/>
    <x v="337"/>
    <n v="4571.9702150000003"/>
  </r>
  <r>
    <x v="6"/>
    <x v="338"/>
    <n v="4557.419922"/>
  </r>
  <r>
    <x v="6"/>
    <x v="339"/>
    <n v="4547.169922"/>
  </r>
  <r>
    <x v="6"/>
    <x v="340"/>
    <n v="4571.1201170000004"/>
  </r>
  <r>
    <x v="6"/>
    <x v="341"/>
    <n v="4607.6899409999996"/>
  </r>
  <r>
    <x v="6"/>
    <x v="342"/>
    <n v="4594.4902339999999"/>
  </r>
  <r>
    <x v="6"/>
    <x v="343"/>
    <n v="4585.3198240000002"/>
  </r>
  <r>
    <x v="6"/>
    <x v="344"/>
    <n v="4547.9501950000003"/>
  </r>
  <r>
    <x v="6"/>
    <x v="345"/>
    <n v="4553.3701170000004"/>
  </r>
  <r>
    <x v="6"/>
    <x v="346"/>
    <n v="4594.669922"/>
  </r>
  <r>
    <x v="6"/>
    <x v="347"/>
    <n v="4603.0400390000004"/>
  </r>
  <r>
    <x v="6"/>
    <x v="348"/>
    <n v="4578.9501950000003"/>
  </r>
  <r>
    <x v="6"/>
    <x v="349"/>
    <n v="4575.419922"/>
  </r>
  <r>
    <x v="6"/>
    <x v="350"/>
    <n v="4468.9399409999996"/>
  </r>
  <r>
    <x v="6"/>
    <x v="351"/>
    <n v="4500.2700199999999"/>
  </r>
  <r>
    <x v="6"/>
    <x v="352"/>
    <n v="4530.2099609999996"/>
  </r>
  <r>
    <x v="6"/>
    <x v="353"/>
    <n v="4584.0097660000001"/>
  </r>
  <r>
    <x v="6"/>
    <x v="354"/>
    <n v="4622.8398440000001"/>
  </r>
  <r>
    <x v="6"/>
    <x v="355"/>
    <m/>
  </r>
  <r>
    <x v="6"/>
    <x v="356"/>
    <n v="4611.0498049999997"/>
  </r>
  <r>
    <x v="6"/>
    <x v="357"/>
    <n v="4599.3901370000003"/>
  </r>
  <r>
    <x v="6"/>
    <x v="358"/>
    <n v="4738.2402339999999"/>
  </r>
  <r>
    <x v="6"/>
    <x v="359"/>
    <n v="4730.6298829999996"/>
  </r>
  <r>
    <x v="6"/>
    <x v="360"/>
    <n v="4689.2402339999999"/>
  </r>
  <r>
    <x v="6"/>
    <x v="361"/>
    <n v="4748.330078"/>
  </r>
  <r>
    <x v="6"/>
    <x v="362"/>
    <n v="4722.75"/>
  </r>
  <r>
    <x v="6"/>
    <x v="363"/>
    <n v="4756.0498049999997"/>
  </r>
  <r>
    <x v="6"/>
    <x v="364"/>
    <n v="4714.7998049999997"/>
  </r>
  <r>
    <x v="6"/>
    <x v="365"/>
    <n v="4739.8500979999999"/>
  </r>
  <r>
    <x v="6"/>
    <x v="366"/>
    <n v="4735.7797849999997"/>
  </r>
  <r>
    <x v="6"/>
    <x v="367"/>
    <n v="4799.6801759999998"/>
  </r>
  <r>
    <x v="6"/>
    <x v="368"/>
    <n v="4830.0498049999997"/>
  </r>
  <r>
    <x v="6"/>
    <x v="369"/>
    <n v="4794.330078"/>
  </r>
  <r>
    <x v="6"/>
    <x v="370"/>
    <n v="4803.5600590000004"/>
  </r>
  <r>
    <x v="6"/>
    <x v="371"/>
    <n v="4827.2099609999996"/>
  </r>
  <r>
    <x v="6"/>
    <x v="372"/>
    <n v="4850.2099609999996"/>
  </r>
  <r>
    <x v="6"/>
    <x v="373"/>
    <n v="4751.6098629999997"/>
  </r>
  <r>
    <x v="6"/>
    <x v="374"/>
    <n v="4735.3901370000003"/>
  </r>
  <r>
    <x v="6"/>
    <x v="375"/>
    <n v="4754.0698240000002"/>
  </r>
  <r>
    <x v="6"/>
    <x v="376"/>
    <n v="4763.7900390000004"/>
  </r>
  <r>
    <x v="6"/>
    <x v="377"/>
    <n v="4819.1201170000004"/>
  </r>
  <r>
    <x v="6"/>
    <x v="378"/>
    <n v="4845.1000979999999"/>
  </r>
  <r>
    <x v="6"/>
    <x v="379"/>
    <n v="4783.1201170000004"/>
  </r>
  <r>
    <x v="6"/>
    <x v="380"/>
    <n v="4820.1499020000001"/>
  </r>
  <r>
    <x v="6"/>
    <x v="381"/>
    <n v="4777.5297849999997"/>
  </r>
  <r>
    <x v="6"/>
    <x v="382"/>
    <n v="4789.2099609999996"/>
  </r>
  <r>
    <x v="6"/>
    <x v="383"/>
    <n v="4821.5"/>
  </r>
  <r>
    <x v="6"/>
    <x v="384"/>
    <n v="4863.3901370000003"/>
  </r>
  <r>
    <x v="6"/>
    <x v="385"/>
    <m/>
  </r>
  <r>
    <x v="6"/>
    <x v="386"/>
    <n v="4920.9799800000001"/>
  </r>
  <r>
    <x v="6"/>
    <x v="387"/>
    <n v="4874.8398440000001"/>
  </r>
  <r>
    <x v="6"/>
    <x v="388"/>
    <n v="4845.1499020000001"/>
  </r>
  <r>
    <x v="6"/>
    <x v="389"/>
    <n v="4852.8100590000004"/>
  </r>
  <r>
    <x v="6"/>
    <x v="390"/>
    <n v="4833.7001950000003"/>
  </r>
  <r>
    <x v="6"/>
    <x v="391"/>
    <n v="4807.8198240000002"/>
  </r>
  <r>
    <x v="6"/>
    <x v="392"/>
    <n v="4838.5898440000001"/>
  </r>
  <r>
    <x v="6"/>
    <x v="393"/>
    <n v="4883.0898440000001"/>
  </r>
  <r>
    <x v="6"/>
    <x v="394"/>
    <n v="4789.2700199999999"/>
  </r>
  <r>
    <x v="6"/>
    <x v="395"/>
    <n v="4850.7402339999999"/>
  </r>
  <r>
    <x v="6"/>
    <x v="396"/>
    <n v="4880.4702150000003"/>
  </r>
  <r>
    <x v="6"/>
    <x v="397"/>
    <n v="4870.1601559999999"/>
  </r>
  <r>
    <x v="6"/>
    <x v="398"/>
    <n v="4789.4501950000003"/>
  </r>
  <r>
    <x v="6"/>
    <x v="399"/>
    <n v="4765.1298829999996"/>
  </r>
  <r>
    <x v="6"/>
    <x v="400"/>
    <n v="4873.7998049999997"/>
  </r>
  <r>
    <x v="6"/>
    <x v="401"/>
    <n v="4901.0097660000001"/>
  </r>
  <r>
    <x v="6"/>
    <x v="402"/>
    <n v="4909.6098629999997"/>
  </r>
  <r>
    <x v="6"/>
    <x v="403"/>
    <n v="4961.3701170000004"/>
  </r>
  <r>
    <x v="6"/>
    <x v="404"/>
    <n v="4946.8999020000001"/>
  </r>
  <r>
    <x v="6"/>
    <x v="405"/>
    <n v="4954.8100590000004"/>
  </r>
  <r>
    <x v="6"/>
    <x v="406"/>
    <n v="4955.8598629999997"/>
  </r>
  <r>
    <x v="6"/>
    <x v="407"/>
    <n v="4910.6401370000003"/>
  </r>
  <r>
    <x v="6"/>
    <x v="408"/>
    <n v="4902.2001950000003"/>
  </r>
  <r>
    <x v="6"/>
    <x v="409"/>
    <n v="4902.1899409999996"/>
  </r>
  <r>
    <x v="6"/>
    <x v="410"/>
    <n v="4911"/>
  </r>
  <r>
    <x v="6"/>
    <x v="411"/>
    <n v="4897.6401370000003"/>
  </r>
  <r>
    <x v="6"/>
    <x v="412"/>
    <n v="4924.669922"/>
  </r>
  <r>
    <x v="6"/>
    <x v="413"/>
    <n v="4941.7700199999999"/>
  </r>
  <r>
    <x v="6"/>
    <x v="414"/>
    <n v="4983.5898440000001"/>
  </r>
  <r>
    <x v="6"/>
    <x v="415"/>
    <n v="4990.0097660000001"/>
  </r>
  <r>
    <x v="6"/>
    <x v="416"/>
    <n v="5003.7202150000003"/>
  </r>
  <r>
    <x v="6"/>
    <x v="417"/>
    <n v="4930.9702150000003"/>
  </r>
  <r>
    <x v="6"/>
    <x v="418"/>
    <n v="4966.7597660000001"/>
  </r>
  <r>
    <x v="6"/>
    <x v="419"/>
    <n v="4977.2998049999997"/>
  </r>
  <r>
    <x v="6"/>
    <x v="420"/>
    <n v="4995.1201170000004"/>
  </r>
  <r>
    <x v="6"/>
    <x v="421"/>
    <n v="5002"/>
  </r>
  <r>
    <x v="6"/>
    <x v="422"/>
    <n v="5022.169922"/>
  </r>
  <r>
    <x v="6"/>
    <x v="423"/>
    <n v="4985.6899409999996"/>
  </r>
  <r>
    <x v="6"/>
    <x v="424"/>
    <n v="5010.0600590000004"/>
  </r>
  <r>
    <x v="6"/>
    <x v="425"/>
    <n v="5003.8701170000004"/>
  </r>
  <r>
    <x v="6"/>
    <x v="426"/>
    <n v="5037.1401370000003"/>
  </r>
  <r>
    <x v="6"/>
    <x v="427"/>
    <n v="5117.2900390000004"/>
  </r>
  <r>
    <x v="6"/>
    <x v="428"/>
    <n v="5127.7299800000001"/>
  </r>
  <r>
    <x v="6"/>
    <x v="429"/>
    <n v="5049.2299800000001"/>
  </r>
  <r>
    <x v="6"/>
    <x v="430"/>
    <n v="5058.7797849999997"/>
  </r>
  <r>
    <x v="6"/>
    <x v="431"/>
    <n v="5118.9599609999996"/>
  </r>
  <r>
    <x v="6"/>
    <x v="432"/>
    <n v="5151.4101559999999"/>
  </r>
  <r>
    <x v="6"/>
    <x v="433"/>
    <n v="5183.7900390000004"/>
  </r>
  <r>
    <x v="6"/>
    <x v="434"/>
    <n v="5162.0898440000001"/>
  </r>
  <r>
    <x v="6"/>
    <x v="435"/>
    <n v="5127.2700199999999"/>
  </r>
  <r>
    <x v="6"/>
    <x v="436"/>
    <n v="5131.1801759999998"/>
  </r>
  <r>
    <x v="6"/>
    <x v="437"/>
    <n v="5119.75"/>
  </r>
  <r>
    <x v="6"/>
    <x v="438"/>
    <n v="5139.4101559999999"/>
  </r>
  <r>
    <x v="6"/>
    <x v="439"/>
    <n v="5071.9101559999999"/>
  </r>
  <r>
    <x v="6"/>
    <x v="440"/>
    <n v="5168.0898440000001"/>
  </r>
  <r>
    <x v="6"/>
    <x v="441"/>
    <n v="5153.3598629999997"/>
  </r>
  <r>
    <x v="6"/>
    <x v="442"/>
    <n v="5220.1601559999999"/>
  </r>
  <r>
    <x v="6"/>
    <x v="443"/>
    <n v="5202.3100590000004"/>
  </r>
  <r>
    <x v="6"/>
    <x v="444"/>
    <n v="5104.0698240000002"/>
  </r>
  <r>
    <x v="6"/>
    <x v="445"/>
    <n v="5103.3901370000003"/>
  </r>
  <r>
    <x v="6"/>
    <x v="446"/>
    <n v="5156.0097660000001"/>
  </r>
  <r>
    <x v="6"/>
    <x v="447"/>
    <n v="5160.7202150000003"/>
  </r>
  <r>
    <x v="6"/>
    <x v="448"/>
    <n v="5213.3198240000002"/>
  </r>
  <r>
    <x v="6"/>
    <x v="449"/>
    <n v="5139.6000979999999"/>
  </r>
  <r>
    <x v="6"/>
    <x v="450"/>
    <n v="5152.5"/>
  </r>
  <r>
    <x v="6"/>
    <x v="451"/>
    <n v="5188.5400390000004"/>
  </r>
  <r>
    <x v="6"/>
    <x v="452"/>
    <n v="5176.3500979999999"/>
  </r>
  <r>
    <x v="6"/>
    <x v="453"/>
    <n v="5176.330078"/>
  </r>
  <r>
    <x v="6"/>
    <x v="454"/>
    <n v="5157.9301759999998"/>
  </r>
  <r>
    <x v="6"/>
    <x v="455"/>
    <n v="5177.0600590000004"/>
  </r>
  <r>
    <x v="6"/>
    <x v="456"/>
    <n v="5217.2797849999997"/>
  </r>
  <r>
    <x v="6"/>
    <x v="457"/>
    <m/>
  </r>
  <r>
    <x v="6"/>
    <x v="458"/>
    <n v="5220.2402339999999"/>
  </r>
  <r>
    <x v="6"/>
    <x v="459"/>
    <n v="5281.2998049999997"/>
  </r>
  <r>
    <x v="6"/>
    <x v="460"/>
    <n v="5304.5097660000001"/>
  </r>
  <r>
    <x v="6"/>
    <x v="461"/>
    <n v="5316.1098629999997"/>
  </r>
  <r>
    <x v="6"/>
    <x v="462"/>
    <n v="5316.7299800000001"/>
  </r>
  <r>
    <x v="6"/>
    <x v="463"/>
    <n v="5326.2998049999997"/>
  </r>
  <r>
    <x v="6"/>
    <x v="464"/>
    <n v="5325.6098629999997"/>
  </r>
  <r>
    <x v="6"/>
    <x v="465"/>
    <n v="5301.9101559999999"/>
  </r>
  <r>
    <x v="6"/>
    <x v="466"/>
    <n v="5344.6601559999999"/>
  </r>
  <r>
    <x v="6"/>
    <x v="467"/>
    <n v="5375.7299800000001"/>
  </r>
  <r>
    <x v="6"/>
    <x v="468"/>
    <n v="5354.2299800000001"/>
  </r>
  <r>
    <x v="6"/>
    <x v="469"/>
    <n v="5360.1201170000004"/>
  </r>
  <r>
    <x v="6"/>
    <x v="470"/>
    <n v="5319.6499020000001"/>
  </r>
  <r>
    <x v="6"/>
    <x v="471"/>
    <n v="5274.1401370000003"/>
  </r>
  <r>
    <x v="6"/>
    <x v="472"/>
    <n v="5299.669922"/>
  </r>
  <r>
    <x v="6"/>
    <x v="473"/>
    <n v="5328.1000979999999"/>
  </r>
  <r>
    <x v="6"/>
    <x v="474"/>
    <n v="5285.4599609999996"/>
  </r>
  <r>
    <x v="6"/>
    <x v="475"/>
    <n v="5340.4501950000003"/>
  </r>
  <r>
    <x v="6"/>
    <x v="476"/>
    <n v="5352.5297849999997"/>
  </r>
  <r>
    <x v="6"/>
    <x v="477"/>
    <n v="5370.6601559999999"/>
  </r>
  <r>
    <x v="6"/>
    <x v="478"/>
    <n v="5331.7700199999999"/>
  </r>
  <r>
    <x v="6"/>
    <x v="479"/>
    <n v="5363.25"/>
  </r>
  <r>
    <x v="6"/>
    <x v="480"/>
    <n v="5388.6098629999997"/>
  </r>
  <r>
    <x v="6"/>
    <x v="481"/>
    <m/>
  </r>
  <r>
    <x v="6"/>
    <x v="482"/>
    <n v="5402.7202150000003"/>
  </r>
  <r>
    <x v="6"/>
    <x v="483"/>
    <n v="5443.7001950000003"/>
  </r>
  <r>
    <x v="6"/>
    <x v="484"/>
    <n v="5383.3198240000002"/>
  </r>
  <r>
    <x v="6"/>
    <x v="485"/>
    <n v="5443.4101559999999"/>
  </r>
  <r>
    <x v="6"/>
    <x v="486"/>
    <n v="5487.4702150000003"/>
  </r>
  <r>
    <x v="6"/>
    <x v="487"/>
    <n v="5528.0698240000002"/>
  </r>
  <r>
    <x v="6"/>
    <x v="488"/>
    <n v="5549.1098629999997"/>
  </r>
  <r>
    <x v="6"/>
    <x v="489"/>
    <n v="5515.4702150000003"/>
  </r>
  <r>
    <x v="6"/>
    <x v="490"/>
    <n v="5510.5498049999997"/>
  </r>
  <r>
    <x v="6"/>
    <x v="491"/>
    <n v="5398.1401370000003"/>
  </r>
  <r>
    <x v="6"/>
    <x v="492"/>
    <n v="5475.580078"/>
  </r>
  <r>
    <x v="6"/>
    <x v="493"/>
    <n v="5546.6401370000003"/>
  </r>
  <r>
    <x v="6"/>
    <x v="494"/>
    <n v="5583.7202150000003"/>
  </r>
  <r>
    <x v="6"/>
    <x v="495"/>
    <n v="5661.2001950000003"/>
  </r>
  <r>
    <x v="6"/>
    <x v="496"/>
    <n v="5679.2700199999999"/>
  </r>
  <r>
    <x v="6"/>
    <x v="497"/>
    <n v="5625.4902339999999"/>
  </r>
  <r>
    <x v="6"/>
    <x v="498"/>
    <n v="5610.4799800000001"/>
  </r>
  <r>
    <x v="6"/>
    <x v="499"/>
    <n v="5655.1601559999999"/>
  </r>
  <r>
    <x v="6"/>
    <x v="500"/>
    <n v="5626.2597660000001"/>
  </r>
  <r>
    <x v="7"/>
    <x v="0"/>
    <n v="27.379591000000001"/>
  </r>
  <r>
    <x v="7"/>
    <x v="1"/>
    <n v="27.423950000000001"/>
  </r>
  <r>
    <x v="7"/>
    <x v="2"/>
    <n v="27.849817000000002"/>
  </r>
  <r>
    <x v="7"/>
    <x v="3"/>
    <n v="27.911921"/>
  </r>
  <r>
    <x v="7"/>
    <x v="4"/>
    <n v="27.725607"/>
  </r>
  <r>
    <x v="7"/>
    <x v="5"/>
    <n v="28.745911"/>
  </r>
  <r>
    <x v="7"/>
    <x v="6"/>
    <n v="29.127413000000001"/>
  </r>
  <r>
    <x v="7"/>
    <x v="7"/>
    <n v="29.083051999999999"/>
  </r>
  <r>
    <x v="7"/>
    <x v="8"/>
    <n v="29.154029999999999"/>
  </r>
  <r>
    <x v="7"/>
    <x v="9"/>
    <n v="28.666059000000001"/>
  </r>
  <r>
    <x v="7"/>
    <x v="10"/>
    <n v="28.559588999999999"/>
  </r>
  <r>
    <x v="7"/>
    <x v="11"/>
    <n v="28.870121000000001"/>
  </r>
  <r>
    <x v="7"/>
    <x v="12"/>
    <n v="29.624255999999999"/>
  </r>
  <r>
    <x v="7"/>
    <x v="13"/>
    <n v="29.411324"/>
  </r>
  <r>
    <x v="7"/>
    <x v="14"/>
    <n v="29.783957000000001"/>
  </r>
  <r>
    <x v="7"/>
    <x v="15"/>
    <n v="29.633130999999999"/>
  </r>
  <r>
    <x v="7"/>
    <x v="16"/>
    <n v="30.298544"/>
  </r>
  <r>
    <x v="7"/>
    <x v="17"/>
    <n v="30.236439000000001"/>
  </r>
  <r>
    <x v="7"/>
    <x v="18"/>
    <n v="30.493728999999998"/>
  </r>
  <r>
    <x v="7"/>
    <x v="19"/>
    <n v="30.023503999999999"/>
  </r>
  <r>
    <x v="7"/>
    <x v="20"/>
    <n v="30.032374999999998"/>
  </r>
  <r>
    <x v="7"/>
    <x v="21"/>
    <n v="29.961400999999999"/>
  </r>
  <r>
    <x v="7"/>
    <x v="22"/>
    <n v="30.316284"/>
  </r>
  <r>
    <x v="7"/>
    <x v="23"/>
    <n v="29.925910999999999"/>
  </r>
  <r>
    <x v="7"/>
    <x v="24"/>
    <n v="30.307413"/>
  </r>
  <r>
    <x v="7"/>
    <x v="25"/>
    <n v="30.147715000000002"/>
  </r>
  <r>
    <x v="7"/>
    <x v="26"/>
    <n v="29.837191000000001"/>
  </r>
  <r>
    <x v="7"/>
    <x v="27"/>
    <n v="29.686361000000002"/>
  </r>
  <r>
    <x v="7"/>
    <x v="28"/>
    <n v="28.621694999999999"/>
  </r>
  <r>
    <x v="7"/>
    <x v="29"/>
    <n v="28.364405000000001"/>
  </r>
  <r>
    <x v="7"/>
    <x v="30"/>
    <n v="28.701547999999999"/>
  </r>
  <r>
    <x v="7"/>
    <x v="31"/>
    <n v="28.444254000000001"/>
  </r>
  <r>
    <x v="7"/>
    <x v="32"/>
    <n v="29.100795999999999"/>
  </r>
  <r>
    <x v="7"/>
    <x v="33"/>
    <n v="29.020945000000001"/>
  </r>
  <r>
    <x v="7"/>
    <x v="34"/>
    <n v="28.861248"/>
  </r>
  <r>
    <x v="7"/>
    <x v="35"/>
    <n v="29.189518"/>
  </r>
  <r>
    <x v="7"/>
    <x v="36"/>
    <n v="29.198391000000001"/>
  </r>
  <r>
    <x v="7"/>
    <x v="37"/>
    <n v="29.375834000000001"/>
  </r>
  <r>
    <x v="7"/>
    <x v="38"/>
    <n v="29.721851000000001"/>
  </r>
  <r>
    <x v="7"/>
    <x v="39"/>
    <n v="29.748466000000001"/>
  </r>
  <r>
    <x v="7"/>
    <x v="40"/>
    <n v="30.121099000000001"/>
  </r>
  <r>
    <x v="7"/>
    <x v="41"/>
    <n v="30.271923000000001"/>
  </r>
  <r>
    <x v="7"/>
    <x v="42"/>
    <n v="30.360648999999999"/>
  </r>
  <r>
    <x v="7"/>
    <x v="43"/>
    <n v="30.174330000000001"/>
  </r>
  <r>
    <x v="7"/>
    <x v="44"/>
    <n v="29.695236000000001"/>
  </r>
  <r>
    <x v="7"/>
    <x v="45"/>
    <n v="28.905608999999998"/>
  </r>
  <r>
    <x v="7"/>
    <x v="46"/>
    <n v="29.100795999999999"/>
  </r>
  <r>
    <x v="7"/>
    <x v="47"/>
    <n v="29.393578999999999"/>
  </r>
  <r>
    <x v="7"/>
    <x v="48"/>
    <n v="28.79027"/>
  </r>
  <r>
    <x v="7"/>
    <x v="49"/>
    <n v="28.94997"/>
  </r>
  <r>
    <x v="7"/>
    <x v="50"/>
    <n v="29.340343000000001"/>
  </r>
  <r>
    <x v="7"/>
    <x v="51"/>
    <n v="29.500043999999999"/>
  </r>
  <r>
    <x v="7"/>
    <x v="52"/>
    <n v="29.695236000000001"/>
  </r>
  <r>
    <x v="7"/>
    <x v="53"/>
    <n v="30.467113000000001"/>
  </r>
  <r>
    <x v="7"/>
    <x v="54"/>
    <n v="30.076740000000001"/>
  </r>
  <r>
    <x v="7"/>
    <x v="55"/>
    <n v="30.174330000000001"/>
  </r>
  <r>
    <x v="7"/>
    <x v="56"/>
    <n v="30.129971000000001"/>
  </r>
  <r>
    <x v="7"/>
    <x v="57"/>
    <n v="30.209820000000001"/>
  </r>
  <r>
    <x v="7"/>
    <x v="58"/>
    <n v="29.970269999999999"/>
  </r>
  <r>
    <x v="7"/>
    <x v="59"/>
    <n v="30.662307999999999"/>
  </r>
  <r>
    <x v="7"/>
    <x v="60"/>
    <n v="33.563510999999998"/>
  </r>
  <r>
    <x v="7"/>
    <x v="61"/>
    <n v="34.645916"/>
  </r>
  <r>
    <x v="7"/>
    <x v="62"/>
    <n v="35.408928000000003"/>
  </r>
  <r>
    <x v="7"/>
    <x v="63"/>
    <n v="35.879150000000003"/>
  </r>
  <r>
    <x v="7"/>
    <x v="64"/>
    <n v="36.021107000000001"/>
  </r>
  <r>
    <x v="7"/>
    <x v="65"/>
    <n v="35.258102000000001"/>
  </r>
  <r>
    <x v="7"/>
    <x v="66"/>
    <n v="35.577499000000003"/>
  </r>
  <r>
    <x v="7"/>
    <x v="67"/>
    <n v="35.666218000000001"/>
  </r>
  <r>
    <x v="7"/>
    <x v="68"/>
    <n v="35.604115"/>
  </r>
  <r>
    <x v="7"/>
    <x v="69"/>
    <n v="35.843665999999999"/>
  </r>
  <r>
    <x v="7"/>
    <x v="70"/>
    <n v="35.710579000000003"/>
  </r>
  <r>
    <x v="7"/>
    <x v="71"/>
    <n v="36.074340999999997"/>
  </r>
  <r>
    <x v="7"/>
    <x v="72"/>
    <n v="35.453288999999998"/>
  </r>
  <r>
    <x v="7"/>
    <x v="73"/>
    <n v="35.754939999999998"/>
  </r>
  <r>
    <x v="7"/>
    <x v="74"/>
    <n v="35.577499000000003"/>
  </r>
  <r>
    <x v="7"/>
    <x v="75"/>
    <n v="35.160507000000003"/>
  </r>
  <r>
    <x v="7"/>
    <x v="76"/>
    <n v="35.479903999999998"/>
  </r>
  <r>
    <x v="7"/>
    <x v="77"/>
    <n v="35.417797"/>
  </r>
  <r>
    <x v="7"/>
    <x v="78"/>
    <n v="35.293587000000002"/>
  </r>
  <r>
    <x v="7"/>
    <x v="79"/>
    <n v="35.843665999999999"/>
  </r>
  <r>
    <x v="7"/>
    <x v="80"/>
    <n v="35.187122000000002"/>
  </r>
  <r>
    <x v="7"/>
    <x v="81"/>
    <n v="35.125019000000002"/>
  </r>
  <r>
    <x v="7"/>
    <x v="82"/>
    <n v="35.302464000000001"/>
  </r>
  <r>
    <x v="7"/>
    <x v="83"/>
    <n v="35.657349000000004"/>
  </r>
  <r>
    <x v="7"/>
    <x v="84"/>
    <n v="35.293587000000002"/>
  </r>
  <r>
    <x v="7"/>
    <x v="85"/>
    <n v="34.974186000000003"/>
  </r>
  <r>
    <x v="7"/>
    <x v="86"/>
    <n v="35.045166000000002"/>
  </r>
  <r>
    <x v="7"/>
    <x v="87"/>
    <n v="35.116149999999998"/>
  </r>
  <r>
    <x v="7"/>
    <x v="88"/>
    <n v="35.675091000000002"/>
  </r>
  <r>
    <x v="7"/>
    <x v="89"/>
    <n v="35.488776999999999"/>
  </r>
  <r>
    <x v="7"/>
    <x v="90"/>
    <n v="35.142761"/>
  </r>
  <r>
    <x v="7"/>
    <x v="91"/>
    <n v="35.506523000000001"/>
  </r>
  <r>
    <x v="7"/>
    <x v="92"/>
    <n v="35.737197999999999"/>
  </r>
  <r>
    <x v="7"/>
    <x v="93"/>
    <n v="35.959003000000003"/>
  </r>
  <r>
    <x v="7"/>
    <x v="94"/>
    <n v="35.772686"/>
  </r>
  <r>
    <x v="7"/>
    <x v="95"/>
    <n v="35.045166000000002"/>
  </r>
  <r>
    <x v="7"/>
    <x v="96"/>
    <n v="34.938698000000002"/>
  </r>
  <r>
    <x v="7"/>
    <x v="97"/>
    <n v="35.187122000000002"/>
  </r>
  <r>
    <x v="7"/>
    <x v="98"/>
    <n v="35.852535000000003"/>
  </r>
  <r>
    <x v="7"/>
    <x v="99"/>
    <n v="37.316451999999998"/>
  </r>
  <r>
    <x v="7"/>
    <x v="100"/>
    <n v="37.555999999999997"/>
  </r>
  <r>
    <x v="7"/>
    <x v="101"/>
    <n v="36.970427999999998"/>
  </r>
  <r>
    <x v="7"/>
    <x v="102"/>
    <n v="37.085769999999997"/>
  </r>
  <r>
    <x v="7"/>
    <x v="103"/>
    <n v="36.615543000000002"/>
  </r>
  <r>
    <x v="7"/>
    <x v="104"/>
    <n v="37.103515999999999"/>
  </r>
  <r>
    <x v="7"/>
    <x v="105"/>
    <n v="37.059154999999997"/>
  </r>
  <r>
    <x v="7"/>
    <x v="106"/>
    <n v="36.748626999999999"/>
  </r>
  <r>
    <x v="7"/>
    <x v="107"/>
    <n v="36.651035"/>
  </r>
  <r>
    <x v="7"/>
    <x v="108"/>
    <n v="36.775246000000003"/>
  </r>
  <r>
    <x v="7"/>
    <x v="109"/>
    <n v="37.094642999999998"/>
  </r>
  <r>
    <x v="7"/>
    <x v="110"/>
    <n v="37.680210000000002"/>
  </r>
  <r>
    <x v="7"/>
    <x v="111"/>
    <n v="37.174495999999998"/>
  </r>
  <r>
    <x v="7"/>
    <x v="112"/>
    <n v="38.141562999999998"/>
  </r>
  <r>
    <x v="7"/>
    <x v="113"/>
    <n v="38.549686000000001"/>
  </r>
  <r>
    <x v="7"/>
    <x v="114"/>
    <n v="39.028782"/>
  </r>
  <r>
    <x v="7"/>
    <x v="115"/>
    <n v="39.090885"/>
  </r>
  <r>
    <x v="7"/>
    <x v="116"/>
    <n v="38.744869000000001"/>
  </r>
  <r>
    <x v="7"/>
    <x v="117"/>
    <n v="39.002167"/>
  </r>
  <r>
    <x v="7"/>
    <x v="118"/>
    <n v="38.46096"/>
  </r>
  <r>
    <x v="7"/>
    <x v="119"/>
    <n v="38.487578999999997"/>
  </r>
  <r>
    <x v="7"/>
    <x v="120"/>
    <n v="37.786673999999998"/>
  </r>
  <r>
    <x v="7"/>
    <x v="121"/>
    <n v="38.452091000000003"/>
  </r>
  <r>
    <x v="7"/>
    <x v="122"/>
    <n v="37.999606999999997"/>
  </r>
  <r>
    <x v="7"/>
    <x v="123"/>
    <n v="37.928631000000003"/>
  </r>
  <r>
    <x v="7"/>
    <x v="124"/>
    <n v="37.857650999999997"/>
  </r>
  <r>
    <x v="7"/>
    <x v="125"/>
    <n v="37.564869000000002"/>
  </r>
  <r>
    <x v="7"/>
    <x v="126"/>
    <n v="37.626975999999999"/>
  </r>
  <r>
    <x v="7"/>
    <x v="127"/>
    <n v="37.671337000000001"/>
  </r>
  <r>
    <x v="7"/>
    <x v="128"/>
    <n v="34.858851999999999"/>
  </r>
  <r>
    <x v="7"/>
    <x v="129"/>
    <n v="34.521706000000002"/>
  </r>
  <r>
    <x v="7"/>
    <x v="130"/>
    <n v="34.974186000000003"/>
  </r>
  <r>
    <x v="7"/>
    <x v="131"/>
    <n v="35.222614"/>
  </r>
  <r>
    <x v="7"/>
    <x v="132"/>
    <n v="34.424114000000003"/>
  </r>
  <r>
    <x v="7"/>
    <x v="133"/>
    <n v="34.681404000000001"/>
  </r>
  <r>
    <x v="7"/>
    <x v="134"/>
    <n v="34.761257000000001"/>
  </r>
  <r>
    <x v="7"/>
    <x v="135"/>
    <n v="34.725765000000003"/>
  </r>
  <r>
    <x v="7"/>
    <x v="136"/>
    <n v="34.228928000000003"/>
  </r>
  <r>
    <x v="7"/>
    <x v="137"/>
    <n v="34.477347999999999"/>
  </r>
  <r>
    <x v="7"/>
    <x v="138"/>
    <n v="34.113585999999998"/>
  </r>
  <r>
    <x v="7"/>
    <x v="139"/>
    <n v="34.779003000000003"/>
  </r>
  <r>
    <x v="7"/>
    <x v="140"/>
    <n v="33.811931999999999"/>
  </r>
  <r>
    <x v="7"/>
    <x v="141"/>
    <n v="32.534336000000003"/>
  </r>
  <r>
    <x v="7"/>
    <x v="142"/>
    <n v="33.004562"/>
  </r>
  <r>
    <x v="7"/>
    <x v="143"/>
    <n v="32.330272999999998"/>
  </r>
  <r>
    <x v="7"/>
    <x v="144"/>
    <n v="31.89554"/>
  </r>
  <r>
    <x v="7"/>
    <x v="145"/>
    <n v="32.072983000000001"/>
  </r>
  <r>
    <x v="7"/>
    <x v="146"/>
    <n v="32.596443000000001"/>
  </r>
  <r>
    <x v="7"/>
    <x v="147"/>
    <n v="33.492531"/>
  </r>
  <r>
    <x v="7"/>
    <x v="148"/>
    <n v="32.889225000000003"/>
  </r>
  <r>
    <x v="7"/>
    <x v="149"/>
    <n v="31.664857999999999"/>
  </r>
  <r>
    <x v="7"/>
    <x v="150"/>
    <n v="30.688918999999999"/>
  </r>
  <r>
    <x v="7"/>
    <x v="151"/>
    <n v="29.899296"/>
  </r>
  <r>
    <x v="7"/>
    <x v="152"/>
    <n v="30.369517999999999"/>
  </r>
  <r>
    <x v="7"/>
    <x v="153"/>
    <n v="29.020945000000001"/>
  </r>
  <r>
    <x v="7"/>
    <x v="154"/>
    <n v="27.938538000000001"/>
  </r>
  <r>
    <x v="7"/>
    <x v="155"/>
    <n v="27.707861000000001"/>
  </r>
  <r>
    <x v="7"/>
    <x v="156"/>
    <n v="28.843499999999999"/>
  </r>
  <r>
    <x v="7"/>
    <x v="157"/>
    <n v="27.849817000000002"/>
  </r>
  <r>
    <x v="7"/>
    <x v="158"/>
    <n v="27.947412"/>
  </r>
  <r>
    <x v="7"/>
    <x v="159"/>
    <n v="30.005759999999999"/>
  </r>
  <r>
    <x v="7"/>
    <x v="160"/>
    <n v="29.553281999999999"/>
  </r>
  <r>
    <x v="7"/>
    <x v="161"/>
    <n v="28.843499999999999"/>
  </r>
  <r>
    <x v="7"/>
    <x v="162"/>
    <n v="30.617940999999998"/>
  </r>
  <r>
    <x v="7"/>
    <x v="163"/>
    <n v="33.17794"/>
  </r>
  <r>
    <x v="7"/>
    <x v="164"/>
    <n v="32.936779000000001"/>
  </r>
  <r>
    <x v="7"/>
    <x v="165"/>
    <n v="33.910693999999999"/>
  </r>
  <r>
    <x v="7"/>
    <x v="166"/>
    <n v="34.578518000000003"/>
  </r>
  <r>
    <x v="7"/>
    <x v="167"/>
    <n v="35.190688999999999"/>
  </r>
  <r>
    <x v="7"/>
    <x v="168"/>
    <n v="34.420836999999999"/>
  </r>
  <r>
    <x v="7"/>
    <x v="169"/>
    <n v="36.192428999999997"/>
  </r>
  <r>
    <x v="7"/>
    <x v="170"/>
    <n v="35.802864"/>
  </r>
  <r>
    <x v="7"/>
    <x v="171"/>
    <n v="36.062576"/>
  </r>
  <r>
    <x v="7"/>
    <x v="172"/>
    <n v="36.693302000000003"/>
  </r>
  <r>
    <x v="7"/>
    <x v="173"/>
    <n v="37.426048000000002"/>
  </r>
  <r>
    <x v="7"/>
    <x v="174"/>
    <n v="40.403441999999998"/>
  </r>
  <r>
    <x v="7"/>
    <x v="175"/>
    <n v="39.457355"/>
  </r>
  <r>
    <x v="7"/>
    <x v="176"/>
    <n v="40.505465999999998"/>
  </r>
  <r>
    <x v="7"/>
    <x v="177"/>
    <n v="38.743153"/>
  </r>
  <r>
    <x v="7"/>
    <x v="178"/>
    <n v="39.605758999999999"/>
  </r>
  <r>
    <x v="7"/>
    <x v="179"/>
    <n v="39.809814000000003"/>
  </r>
  <r>
    <x v="7"/>
    <x v="180"/>
    <n v="40.245761999999999"/>
  </r>
  <r>
    <x v="7"/>
    <x v="181"/>
    <n v="42.091557000000002"/>
  </r>
  <r>
    <x v="7"/>
    <x v="182"/>
    <n v="43.779671"/>
  </r>
  <r>
    <x v="7"/>
    <x v="183"/>
    <n v="43.538505999999998"/>
  </r>
  <r>
    <x v="7"/>
    <x v="184"/>
    <n v="44.549522000000003"/>
  </r>
  <r>
    <x v="7"/>
    <x v="185"/>
    <n v="43.130394000000003"/>
  </r>
  <r>
    <x v="7"/>
    <x v="186"/>
    <n v="43.019092999999998"/>
  </r>
  <r>
    <x v="7"/>
    <x v="187"/>
    <n v="43.640537000000002"/>
  </r>
  <r>
    <x v="7"/>
    <x v="188"/>
    <n v="44.901989"/>
  </r>
  <r>
    <x v="7"/>
    <x v="189"/>
    <n v="45.031841"/>
  </r>
  <r>
    <x v="7"/>
    <x v="190"/>
    <n v="43.356907"/>
  </r>
  <r>
    <x v="7"/>
    <x v="191"/>
    <n v="43.385620000000003"/>
  </r>
  <r>
    <x v="7"/>
    <x v="192"/>
    <n v="45.558250000000001"/>
  </r>
  <r>
    <x v="7"/>
    <x v="193"/>
    <n v="45.778388999999997"/>
  </r>
  <r>
    <x v="7"/>
    <x v="194"/>
    <n v="45.500824000000001"/>
  </r>
  <r>
    <x v="7"/>
    <x v="195"/>
    <n v="43.222912000000001"/>
  </r>
  <r>
    <x v="7"/>
    <x v="196"/>
    <n v="43.577041999999999"/>
  </r>
  <r>
    <x v="7"/>
    <x v="197"/>
    <n v="42.447654999999997"/>
  </r>
  <r>
    <x v="7"/>
    <x v="198"/>
    <n v="42.418940999999997"/>
  </r>
  <r>
    <x v="7"/>
    <x v="199"/>
    <n v="42.505080999999997"/>
  </r>
  <r>
    <x v="7"/>
    <x v="200"/>
    <n v="42.897494999999999"/>
  </r>
  <r>
    <x v="7"/>
    <x v="201"/>
    <n v="43.701466000000003"/>
  </r>
  <r>
    <x v="7"/>
    <x v="202"/>
    <n v="45.175407"/>
  </r>
  <r>
    <x v="7"/>
    <x v="203"/>
    <n v="43.950310000000002"/>
  </r>
  <r>
    <x v="7"/>
    <x v="204"/>
    <n v="44.888278999999997"/>
  </r>
  <r>
    <x v="7"/>
    <x v="205"/>
    <n v="46.036803999999997"/>
  </r>
  <r>
    <x v="7"/>
    <x v="206"/>
    <n v="44.830849000000001"/>
  </r>
  <r>
    <x v="7"/>
    <x v="207"/>
    <n v="43.624896999999997"/>
  </r>
  <r>
    <x v="7"/>
    <x v="208"/>
    <n v="43.289909000000002"/>
  </r>
  <r>
    <x v="7"/>
    <x v="209"/>
    <n v="42.734791000000001"/>
  </r>
  <r>
    <x v="7"/>
    <x v="210"/>
    <n v="42.294517999999997"/>
  </r>
  <r>
    <x v="7"/>
    <x v="211"/>
    <n v="40.581299000000001"/>
  </r>
  <r>
    <x v="7"/>
    <x v="212"/>
    <n v="41.528835000000001"/>
  </r>
  <r>
    <x v="7"/>
    <x v="213"/>
    <n v="41.758541000000001"/>
  </r>
  <r>
    <x v="7"/>
    <x v="214"/>
    <n v="41.567120000000003"/>
  </r>
  <r>
    <x v="7"/>
    <x v="215"/>
    <n v="41.356555999999998"/>
  </r>
  <r>
    <x v="7"/>
    <x v="216"/>
    <n v="40.724865000000001"/>
  </r>
  <r>
    <x v="7"/>
    <x v="217"/>
    <n v="41.634117000000003"/>
  </r>
  <r>
    <x v="7"/>
    <x v="218"/>
    <n v="41.806395999999999"/>
  </r>
  <r>
    <x v="7"/>
    <x v="219"/>
    <n v="43.787604999999999"/>
  </r>
  <r>
    <x v="7"/>
    <x v="220"/>
    <n v="42.725216000000003"/>
  </r>
  <r>
    <x v="7"/>
    <x v="221"/>
    <n v="42.648651000000001"/>
  </r>
  <r>
    <x v="7"/>
    <x v="222"/>
    <n v="41.624546000000002"/>
  </r>
  <r>
    <x v="7"/>
    <x v="223"/>
    <n v="41.701115000000001"/>
  </r>
  <r>
    <x v="7"/>
    <x v="224"/>
    <n v="42.639076000000003"/>
  </r>
  <r>
    <x v="7"/>
    <x v="225"/>
    <n v="41.969101000000002"/>
  </r>
  <r>
    <x v="7"/>
    <x v="226"/>
    <n v="41.212989999999998"/>
  </r>
  <r>
    <x v="7"/>
    <x v="227"/>
    <n v="41.643684"/>
  </r>
  <r>
    <x v="7"/>
    <x v="228"/>
    <n v="42.351944000000003"/>
  </r>
  <r>
    <x v="7"/>
    <x v="229"/>
    <n v="42.265804000000003"/>
  </r>
  <r>
    <x v="7"/>
    <x v="230"/>
    <n v="42.418940999999997"/>
  </r>
  <r>
    <x v="7"/>
    <x v="231"/>
    <n v="41.624546000000002"/>
  </r>
  <r>
    <x v="7"/>
    <x v="232"/>
    <n v="42.074382999999997"/>
  </r>
  <r>
    <x v="7"/>
    <x v="233"/>
    <n v="43.845032000000003"/>
  </r>
  <r>
    <x v="7"/>
    <x v="234"/>
    <n v="42.811356000000004"/>
  </r>
  <r>
    <x v="7"/>
    <x v="235"/>
    <n v="44.132164000000003"/>
  </r>
  <r>
    <x v="7"/>
    <x v="236"/>
    <n v="43.069775"/>
  </r>
  <r>
    <x v="7"/>
    <x v="237"/>
    <n v="43.615326000000003"/>
  </r>
  <r>
    <x v="7"/>
    <x v="238"/>
    <n v="42.926208000000003"/>
  </r>
  <r>
    <x v="7"/>
    <x v="239"/>
    <n v="42.428516000000002"/>
  </r>
  <r>
    <x v="7"/>
    <x v="240"/>
    <n v="44.486289999999997"/>
  </r>
  <r>
    <x v="7"/>
    <x v="241"/>
    <n v="42.505080999999997"/>
  </r>
  <r>
    <x v="7"/>
    <x v="242"/>
    <n v="42.332802000000001"/>
  </r>
  <r>
    <x v="7"/>
    <x v="243"/>
    <n v="42.237094999999997"/>
  </r>
  <r>
    <x v="7"/>
    <x v="244"/>
    <n v="41.538406000000002"/>
  </r>
  <r>
    <x v="7"/>
    <x v="245"/>
    <n v="41.528835000000001"/>
  </r>
  <r>
    <x v="7"/>
    <x v="246"/>
    <n v="41.413981999999997"/>
  </r>
  <r>
    <x v="7"/>
    <x v="247"/>
    <n v="36.532738000000002"/>
  </r>
  <r>
    <x v="7"/>
    <x v="248"/>
    <n v="35.594776000000003"/>
  </r>
  <r>
    <x v="7"/>
    <x v="249"/>
    <n v="35.432068000000001"/>
  </r>
  <r>
    <x v="7"/>
    <x v="250"/>
    <n v="35.929763999999999"/>
  </r>
  <r>
    <x v="7"/>
    <x v="251"/>
    <n v="35.805340000000001"/>
  </r>
  <r>
    <x v="7"/>
    <x v="252"/>
    <n v="35.814911000000002"/>
  </r>
  <r>
    <x v="7"/>
    <x v="253"/>
    <n v="36.484881999999999"/>
  </r>
  <r>
    <x v="7"/>
    <x v="254"/>
    <n v="36.839016000000001"/>
  </r>
  <r>
    <x v="7"/>
    <x v="255"/>
    <n v="36.599739"/>
  </r>
  <r>
    <x v="7"/>
    <x v="256"/>
    <n v="37.164433000000002"/>
  </r>
  <r>
    <x v="7"/>
    <x v="257"/>
    <n v="38.159821000000001"/>
  </r>
  <r>
    <x v="7"/>
    <x v="258"/>
    <n v="37.997112000000001"/>
  </r>
  <r>
    <x v="7"/>
    <x v="259"/>
    <n v="37.432419000000003"/>
  </r>
  <r>
    <x v="7"/>
    <x v="260"/>
    <n v="38.159821000000001"/>
  </r>
  <r>
    <x v="7"/>
    <x v="261"/>
    <n v="38.332099999999997"/>
  </r>
  <r>
    <x v="7"/>
    <x v="262"/>
    <n v="38.303387000000001"/>
  </r>
  <r>
    <x v="7"/>
    <x v="263"/>
    <n v="38.226818000000002"/>
  </r>
  <r>
    <x v="7"/>
    <x v="264"/>
    <n v="37.968398999999998"/>
  </r>
  <r>
    <x v="7"/>
    <x v="265"/>
    <n v="37.786549000000001"/>
  </r>
  <r>
    <x v="7"/>
    <x v="266"/>
    <n v="37.853546000000001"/>
  </r>
  <r>
    <x v="7"/>
    <x v="267"/>
    <n v="38.092823000000003"/>
  </r>
  <r>
    <x v="7"/>
    <x v="268"/>
    <n v="37.776980999999999"/>
  </r>
  <r>
    <x v="7"/>
    <x v="269"/>
    <n v="37.662125000000003"/>
  </r>
  <r>
    <x v="7"/>
    <x v="270"/>
    <n v="37.633411000000002"/>
  </r>
  <r>
    <x v="7"/>
    <x v="271"/>
    <n v="37.327137"/>
  </r>
  <r>
    <x v="7"/>
    <x v="272"/>
    <n v="37.384566999999997"/>
  </r>
  <r>
    <x v="7"/>
    <x v="273"/>
    <n v="36.867728999999997"/>
  </r>
  <r>
    <x v="7"/>
    <x v="274"/>
    <n v="36.197754000000003"/>
  </r>
  <r>
    <x v="7"/>
    <x v="275"/>
    <n v="37.279285000000002"/>
  </r>
  <r>
    <x v="7"/>
    <x v="276"/>
    <n v="36.484881999999999"/>
  </r>
  <r>
    <x v="7"/>
    <x v="277"/>
    <n v="36.743301000000002"/>
  </r>
  <r>
    <x v="7"/>
    <x v="278"/>
    <n v="36.800731999999996"/>
  </r>
  <r>
    <x v="7"/>
    <x v="279"/>
    <n v="37.059151"/>
  </r>
  <r>
    <x v="7"/>
    <x v="280"/>
    <n v="36.848587000000002"/>
  </r>
  <r>
    <x v="7"/>
    <x v="281"/>
    <n v="37.528129999999997"/>
  </r>
  <r>
    <x v="7"/>
    <x v="282"/>
    <n v="37.212288000000001"/>
  </r>
  <r>
    <x v="7"/>
    <x v="283"/>
    <n v="37.432419000000003"/>
  </r>
  <r>
    <x v="7"/>
    <x v="284"/>
    <n v="38.178963000000003"/>
  </r>
  <r>
    <x v="7"/>
    <x v="285"/>
    <n v="37.087859999999999"/>
  </r>
  <r>
    <x v="7"/>
    <x v="286"/>
    <n v="37.403708999999999"/>
  </r>
  <r>
    <x v="7"/>
    <x v="287"/>
    <n v="37.949261"/>
  </r>
  <r>
    <x v="7"/>
    <x v="288"/>
    <n v="37.537703999999998"/>
  </r>
  <r>
    <x v="7"/>
    <x v="289"/>
    <n v="36.408318000000001"/>
  </r>
  <r>
    <x v="7"/>
    <x v="290"/>
    <n v="36.618876999999998"/>
  </r>
  <r>
    <x v="7"/>
    <x v="291"/>
    <n v="36.551879999999997"/>
  </r>
  <r>
    <x v="7"/>
    <x v="292"/>
    <n v="37.011291999999997"/>
  </r>
  <r>
    <x v="7"/>
    <x v="293"/>
    <n v="36.695450000000001"/>
  </r>
  <r>
    <x v="7"/>
    <x v="294"/>
    <n v="36.973011"/>
  </r>
  <r>
    <x v="7"/>
    <x v="295"/>
    <n v="38.006683000000002"/>
  </r>
  <r>
    <x v="7"/>
    <x v="296"/>
    <n v="37.815261999999997"/>
  </r>
  <r>
    <x v="7"/>
    <x v="297"/>
    <n v="38.035400000000003"/>
  </r>
  <r>
    <x v="7"/>
    <x v="298"/>
    <n v="37.834403999999999"/>
  </r>
  <r>
    <x v="7"/>
    <x v="299"/>
    <n v="38.896793000000002"/>
  </r>
  <r>
    <x v="7"/>
    <x v="300"/>
    <n v="39.183922000000003"/>
  </r>
  <r>
    <x v="7"/>
    <x v="301"/>
    <n v="38.791508"/>
  </r>
  <r>
    <x v="7"/>
    <x v="302"/>
    <n v="38.274673"/>
  </r>
  <r>
    <x v="7"/>
    <x v="303"/>
    <n v="37.011291999999997"/>
  </r>
  <r>
    <x v="7"/>
    <x v="304"/>
    <n v="36.877296000000001"/>
  </r>
  <r>
    <x v="7"/>
    <x v="305"/>
    <n v="36.494456999999997"/>
  </r>
  <r>
    <x v="7"/>
    <x v="306"/>
    <n v="36.465739999999997"/>
  </r>
  <r>
    <x v="7"/>
    <x v="307"/>
    <n v="34.752524999999999"/>
  </r>
  <r>
    <x v="7"/>
    <x v="308"/>
    <n v="36.446601999999999"/>
  </r>
  <r>
    <x v="7"/>
    <x v="309"/>
    <n v="36.437030999999998"/>
  </r>
  <r>
    <x v="7"/>
    <x v="310"/>
    <n v="35.929763999999999"/>
  </r>
  <r>
    <x v="7"/>
    <x v="311"/>
    <n v="36.331749000000002"/>
  </r>
  <r>
    <x v="7"/>
    <x v="312"/>
    <n v="35.518208000000001"/>
  </r>
  <r>
    <x v="7"/>
    <x v="313"/>
    <n v="35.422497"/>
  </r>
  <r>
    <x v="7"/>
    <x v="314"/>
    <n v="35.173648999999997"/>
  </r>
  <r>
    <x v="7"/>
    <x v="315"/>
    <n v="35.661774000000001"/>
  </r>
  <r>
    <x v="7"/>
    <x v="316"/>
    <n v="37.097431"/>
  </r>
  <r>
    <x v="7"/>
    <x v="317"/>
    <n v="37.910972999999998"/>
  </r>
  <r>
    <x v="7"/>
    <x v="318"/>
    <n v="37.939686000000002"/>
  </r>
  <r>
    <x v="7"/>
    <x v="319"/>
    <n v="37.796123999999999"/>
  </r>
  <r>
    <x v="7"/>
    <x v="320"/>
    <n v="37.834403999999999"/>
  </r>
  <r>
    <x v="7"/>
    <x v="321"/>
    <n v="37.298428000000001"/>
  </r>
  <r>
    <x v="7"/>
    <x v="322"/>
    <n v="37.776980999999999"/>
  </r>
  <r>
    <x v="7"/>
    <x v="323"/>
    <n v="37.480274000000001"/>
  </r>
  <r>
    <x v="7"/>
    <x v="324"/>
    <n v="38.044967999999997"/>
  </r>
  <r>
    <x v="7"/>
    <x v="325"/>
    <n v="37.461131999999999"/>
  </r>
  <r>
    <x v="7"/>
    <x v="326"/>
    <n v="37.040008999999998"/>
  </r>
  <r>
    <x v="7"/>
    <x v="327"/>
    <n v="37.279285000000002"/>
  </r>
  <r>
    <x v="7"/>
    <x v="328"/>
    <n v="37.882263000000002"/>
  </r>
  <r>
    <x v="7"/>
    <x v="329"/>
    <n v="38.188533999999997"/>
  </r>
  <r>
    <x v="7"/>
    <x v="330"/>
    <n v="37.796123999999999"/>
  </r>
  <r>
    <x v="7"/>
    <x v="331"/>
    <n v="37.623843999999998"/>
  </r>
  <r>
    <x v="7"/>
    <x v="332"/>
    <n v="37.575985000000003"/>
  </r>
  <r>
    <x v="7"/>
    <x v="333"/>
    <n v="38.140678000000001"/>
  </r>
  <r>
    <x v="7"/>
    <x v="334"/>
    <n v="38.274673"/>
  </r>
  <r>
    <x v="7"/>
    <x v="335"/>
    <n v="37.767406000000001"/>
  </r>
  <r>
    <x v="7"/>
    <x v="336"/>
    <n v="37.097431"/>
  </r>
  <r>
    <x v="7"/>
    <x v="337"/>
    <n v="37.757835"/>
  </r>
  <r>
    <x v="7"/>
    <x v="338"/>
    <n v="37.604697999999999"/>
  </r>
  <r>
    <x v="7"/>
    <x v="339"/>
    <n v="38.360813"/>
  </r>
  <r>
    <x v="7"/>
    <x v="340"/>
    <n v="37.279285000000002"/>
  </r>
  <r>
    <x v="7"/>
    <x v="341"/>
    <n v="37.556846999999998"/>
  </r>
  <r>
    <x v="7"/>
    <x v="342"/>
    <n v="37.327137"/>
  </r>
  <r>
    <x v="7"/>
    <x v="343"/>
    <n v="36.906013000000002"/>
  </r>
  <r>
    <x v="7"/>
    <x v="344"/>
    <n v="35.977618999999997"/>
  </r>
  <r>
    <x v="7"/>
    <x v="345"/>
    <n v="36.408318000000001"/>
  </r>
  <r>
    <x v="7"/>
    <x v="346"/>
    <n v="35.623488999999999"/>
  </r>
  <r>
    <x v="7"/>
    <x v="347"/>
    <n v="36.638019999999997"/>
  </r>
  <r>
    <x v="7"/>
    <x v="348"/>
    <n v="36.063758999999997"/>
  </r>
  <r>
    <x v="7"/>
    <x v="349"/>
    <n v="36.264750999999997"/>
  </r>
  <r>
    <x v="7"/>
    <x v="350"/>
    <n v="35.594776000000003"/>
  </r>
  <r>
    <x v="7"/>
    <x v="351"/>
    <n v="35.719200000000001"/>
  </r>
  <r>
    <x v="7"/>
    <x v="352"/>
    <n v="35.508636000000003"/>
  </r>
  <r>
    <x v="7"/>
    <x v="353"/>
    <n v="35.546920999999998"/>
  </r>
  <r>
    <x v="7"/>
    <x v="354"/>
    <n v="35.948906000000001"/>
  </r>
  <r>
    <x v="7"/>
    <x v="355"/>
    <n v="35.920192999999998"/>
  </r>
  <r>
    <x v="7"/>
    <x v="356"/>
    <n v="36.293461000000001"/>
  </r>
  <r>
    <x v="7"/>
    <x v="357"/>
    <n v="35.853194999999999"/>
  </r>
  <r>
    <x v="7"/>
    <x v="358"/>
    <n v="35.805340000000001"/>
  </r>
  <r>
    <x v="7"/>
    <x v="359"/>
    <n v="35.910621999999996"/>
  </r>
  <r>
    <x v="7"/>
    <x v="360"/>
    <n v="35.814911000000002"/>
  </r>
  <r>
    <x v="7"/>
    <x v="361"/>
    <n v="35.508636000000003"/>
  </r>
  <r>
    <x v="7"/>
    <x v="362"/>
    <n v="36.274323000000003"/>
  </r>
  <r>
    <x v="7"/>
    <x v="363"/>
    <n v="36.542313"/>
  </r>
  <r>
    <x v="7"/>
    <x v="364"/>
    <n v="37.470706999999997"/>
  </r>
  <r>
    <x v="7"/>
    <x v="365"/>
    <n v="37.461131999999999"/>
  </r>
  <r>
    <x v="7"/>
    <x v="366"/>
    <n v="37.585555999999997"/>
  </r>
  <r>
    <x v="7"/>
    <x v="367"/>
    <n v="37.097431"/>
  </r>
  <r>
    <x v="7"/>
    <x v="368"/>
    <n v="36.992153000000002"/>
  </r>
  <r>
    <x v="7"/>
    <x v="369"/>
    <n v="36.925156000000001"/>
  </r>
  <r>
    <x v="7"/>
    <x v="370"/>
    <n v="36.724159"/>
  </r>
  <r>
    <x v="7"/>
    <x v="371"/>
    <n v="37.049576000000002"/>
  </r>
  <r>
    <x v="7"/>
    <x v="372"/>
    <n v="36.618876999999998"/>
  </r>
  <r>
    <x v="7"/>
    <x v="373"/>
    <n v="36.848587000000002"/>
  </r>
  <r>
    <x v="7"/>
    <x v="374"/>
    <n v="36.216895999999998"/>
  </r>
  <r>
    <x v="7"/>
    <x v="375"/>
    <n v="36.331749000000002"/>
  </r>
  <r>
    <x v="7"/>
    <x v="376"/>
    <n v="36.226463000000003"/>
  </r>
  <r>
    <x v="7"/>
    <x v="377"/>
    <n v="36.063758999999997"/>
  </r>
  <r>
    <x v="7"/>
    <x v="378"/>
    <n v="36.609310000000001"/>
  </r>
  <r>
    <x v="7"/>
    <x v="379"/>
    <n v="36.925156000000001"/>
  </r>
  <r>
    <x v="7"/>
    <x v="380"/>
    <n v="37.355849999999997"/>
  </r>
  <r>
    <x v="7"/>
    <x v="381"/>
    <n v="34.082549999999998"/>
  </r>
  <r>
    <x v="7"/>
    <x v="382"/>
    <n v="34.025120000000001"/>
  </r>
  <r>
    <x v="7"/>
    <x v="383"/>
    <n v="34.092117000000002"/>
  </r>
  <r>
    <x v="7"/>
    <x v="384"/>
    <n v="34.273972000000001"/>
  </r>
  <r>
    <x v="7"/>
    <x v="385"/>
    <n v="34.599387999999998"/>
  </r>
  <r>
    <x v="7"/>
    <x v="386"/>
    <n v="34.350535999999998"/>
  </r>
  <r>
    <x v="7"/>
    <x v="387"/>
    <n v="34.388824"/>
  </r>
  <r>
    <x v="7"/>
    <x v="388"/>
    <n v="34.283538999999998"/>
  </r>
  <r>
    <x v="7"/>
    <x v="389"/>
    <n v="34.350535999999998"/>
  </r>
  <r>
    <x v="7"/>
    <x v="390"/>
    <n v="34.120834000000002"/>
  </r>
  <r>
    <x v="7"/>
    <x v="391"/>
    <n v="33.871986"/>
  </r>
  <r>
    <x v="7"/>
    <x v="392"/>
    <n v="33.613567000000003"/>
  </r>
  <r>
    <x v="7"/>
    <x v="393"/>
    <n v="33.374290000000002"/>
  </r>
  <r>
    <x v="7"/>
    <x v="394"/>
    <n v="32.512897000000002"/>
  </r>
  <r>
    <x v="7"/>
    <x v="395"/>
    <n v="32.484180000000002"/>
  </r>
  <r>
    <x v="7"/>
    <x v="396"/>
    <n v="32.225760999999999"/>
  </r>
  <r>
    <x v="7"/>
    <x v="397"/>
    <n v="32.139626"/>
  </r>
  <r>
    <x v="7"/>
    <x v="398"/>
    <n v="31.507930999999999"/>
  </r>
  <r>
    <x v="7"/>
    <x v="399"/>
    <n v="31.613213999999999"/>
  </r>
  <r>
    <x v="7"/>
    <x v="400"/>
    <n v="32.235332"/>
  </r>
  <r>
    <x v="7"/>
    <x v="401"/>
    <n v="32.474609000000001"/>
  </r>
  <r>
    <x v="7"/>
    <x v="402"/>
    <n v="32.656460000000003"/>
  </r>
  <r>
    <x v="7"/>
    <x v="403"/>
    <n v="32.445900000000002"/>
  </r>
  <r>
    <x v="7"/>
    <x v="404"/>
    <n v="32.417183000000001"/>
  </r>
  <r>
    <x v="7"/>
    <x v="405"/>
    <n v="33.029732000000003"/>
  </r>
  <r>
    <x v="7"/>
    <x v="406"/>
    <n v="33.077587000000001"/>
  </r>
  <r>
    <x v="7"/>
    <x v="407"/>
    <n v="33.001018999999999"/>
  </r>
  <r>
    <x v="7"/>
    <x v="408"/>
    <n v="33.163727000000002"/>
  </r>
  <r>
    <x v="7"/>
    <x v="409"/>
    <n v="33.249865999999997"/>
  </r>
  <r>
    <x v="7"/>
    <x v="410"/>
    <n v="33.584854"/>
  </r>
  <r>
    <x v="7"/>
    <x v="411"/>
    <n v="33.623137999999997"/>
  </r>
  <r>
    <x v="7"/>
    <x v="412"/>
    <n v="33.422142000000001"/>
  </r>
  <r>
    <x v="7"/>
    <x v="413"/>
    <n v="33.470001000000003"/>
  </r>
  <r>
    <x v="7"/>
    <x v="414"/>
    <n v="33.919998"/>
  </r>
  <r>
    <x v="7"/>
    <x v="415"/>
    <n v="34.240001999999997"/>
  </r>
  <r>
    <x v="7"/>
    <x v="416"/>
    <n v="34.049999"/>
  </r>
  <r>
    <x v="7"/>
    <x v="417"/>
    <n v="34.169998"/>
  </r>
  <r>
    <x v="7"/>
    <x v="418"/>
    <n v="34.459999000000003"/>
  </r>
  <r>
    <x v="7"/>
    <x v="419"/>
    <n v="34.520000000000003"/>
  </r>
  <r>
    <x v="7"/>
    <x v="420"/>
    <n v="34.659999999999997"/>
  </r>
  <r>
    <x v="7"/>
    <x v="421"/>
    <n v="34.810001"/>
  </r>
  <r>
    <x v="7"/>
    <x v="422"/>
    <n v="35.189999"/>
  </r>
  <r>
    <x v="7"/>
    <x v="423"/>
    <n v="34.869999"/>
  </r>
  <r>
    <x v="7"/>
    <x v="424"/>
    <n v="34.900002000000001"/>
  </r>
  <r>
    <x v="7"/>
    <x v="425"/>
    <n v="35.029998999999997"/>
  </r>
  <r>
    <x v="7"/>
    <x v="426"/>
    <n v="35.110000999999997"/>
  </r>
  <r>
    <x v="7"/>
    <x v="427"/>
    <n v="35.340000000000003"/>
  </r>
  <r>
    <x v="7"/>
    <x v="428"/>
    <n v="35.790000999999997"/>
  </r>
  <r>
    <x v="7"/>
    <x v="429"/>
    <n v="35.849997999999999"/>
  </r>
  <r>
    <x v="7"/>
    <x v="430"/>
    <n v="36.060001"/>
  </r>
  <r>
    <x v="7"/>
    <x v="431"/>
    <n v="36.419998"/>
  </r>
  <r>
    <x v="7"/>
    <x v="432"/>
    <n v="36.200001"/>
  </r>
  <r>
    <x v="7"/>
    <x v="433"/>
    <n v="36.209999000000003"/>
  </r>
  <r>
    <x v="7"/>
    <x v="434"/>
    <n v="36.130001"/>
  </r>
  <r>
    <x v="7"/>
    <x v="435"/>
    <n v="36.340000000000003"/>
  </r>
  <r>
    <x v="7"/>
    <x v="436"/>
    <n v="36.409999999999997"/>
  </r>
  <r>
    <x v="7"/>
    <x v="437"/>
    <n v="36.830002"/>
  </r>
  <r>
    <x v="7"/>
    <x v="438"/>
    <n v="36.840000000000003"/>
  </r>
  <r>
    <x v="7"/>
    <x v="439"/>
    <n v="36.009998000000003"/>
  </r>
  <r>
    <x v="7"/>
    <x v="440"/>
    <n v="36.049999"/>
  </r>
  <r>
    <x v="7"/>
    <x v="441"/>
    <n v="35.990001999999997"/>
  </r>
  <r>
    <x v="7"/>
    <x v="442"/>
    <n v="36.520000000000003"/>
  </r>
  <r>
    <x v="7"/>
    <x v="443"/>
    <n v="36.610000999999997"/>
  </r>
  <r>
    <x v="7"/>
    <x v="444"/>
    <n v="35.700001"/>
  </r>
  <r>
    <x v="7"/>
    <x v="445"/>
    <n v="35.959999000000003"/>
  </r>
  <r>
    <x v="7"/>
    <x v="446"/>
    <n v="36.639999000000003"/>
  </r>
  <r>
    <x v="7"/>
    <x v="447"/>
    <n v="36.959999000000003"/>
  </r>
  <r>
    <x v="7"/>
    <x v="448"/>
    <n v="37.029998999999997"/>
  </r>
  <r>
    <x v="7"/>
    <x v="449"/>
    <n v="36.610000999999997"/>
  </r>
  <r>
    <x v="7"/>
    <x v="450"/>
    <n v="36.729999999999997"/>
  </r>
  <r>
    <x v="7"/>
    <x v="451"/>
    <n v="36.919998"/>
  </r>
  <r>
    <x v="7"/>
    <x v="452"/>
    <n v="37.099997999999999"/>
  </r>
  <r>
    <x v="7"/>
    <x v="453"/>
    <n v="36.869999"/>
  </r>
  <r>
    <x v="7"/>
    <x v="454"/>
    <n v="36.330002"/>
  </r>
  <r>
    <x v="7"/>
    <x v="455"/>
    <n v="36.549999"/>
  </r>
  <r>
    <x v="7"/>
    <x v="456"/>
    <n v="36.229999999999997"/>
  </r>
  <r>
    <x v="7"/>
    <x v="457"/>
    <n v="35.200001"/>
  </r>
  <r>
    <x v="7"/>
    <x v="458"/>
    <n v="35.009998000000003"/>
  </r>
  <r>
    <x v="7"/>
    <x v="459"/>
    <n v="34.860000999999997"/>
  </r>
  <r>
    <x v="7"/>
    <x v="460"/>
    <n v="35.139999000000003"/>
  </r>
  <r>
    <x v="7"/>
    <x v="461"/>
    <n v="35.270000000000003"/>
  </r>
  <r>
    <x v="7"/>
    <x v="462"/>
    <n v="36.400002000000001"/>
  </r>
  <r>
    <x v="7"/>
    <x v="463"/>
    <n v="36.950001"/>
  </r>
  <r>
    <x v="7"/>
    <x v="464"/>
    <n v="37.57"/>
  </r>
  <r>
    <x v="7"/>
    <x v="465"/>
    <n v="37.919998"/>
  </r>
  <r>
    <x v="7"/>
    <x v="466"/>
    <n v="37.880001"/>
  </r>
  <r>
    <x v="7"/>
    <x v="467"/>
    <n v="37.93"/>
  </r>
  <r>
    <x v="7"/>
    <x v="468"/>
    <n v="37.889999000000003"/>
  </r>
  <r>
    <x v="7"/>
    <x v="469"/>
    <n v="37.990001999999997"/>
  </r>
  <r>
    <x v="7"/>
    <x v="470"/>
    <n v="37.759998000000003"/>
  </r>
  <r>
    <x v="7"/>
    <x v="471"/>
    <n v="37.240001999999997"/>
  </r>
  <r>
    <x v="7"/>
    <x v="472"/>
    <n v="37.110000999999997"/>
  </r>
  <r>
    <x v="7"/>
    <x v="473"/>
    <n v="37.130001"/>
  </r>
  <r>
    <x v="7"/>
    <x v="474"/>
    <n v="36.450001"/>
  </r>
  <r>
    <x v="7"/>
    <x v="475"/>
    <n v="36.630001"/>
  </r>
  <r>
    <x v="7"/>
    <x v="476"/>
    <n v="36.509998000000003"/>
  </r>
  <r>
    <x v="7"/>
    <x v="477"/>
    <n v="36.669998"/>
  </r>
  <r>
    <x v="7"/>
    <x v="478"/>
    <n v="36.25"/>
  </r>
  <r>
    <x v="7"/>
    <x v="479"/>
    <n v="36.549999"/>
  </r>
  <r>
    <x v="7"/>
    <x v="480"/>
    <n v="36.619999"/>
  </r>
  <r>
    <x v="7"/>
    <x v="481"/>
    <n v="36.82"/>
  </r>
  <r>
    <x v="7"/>
    <x v="482"/>
    <n v="37.060001"/>
  </r>
  <r>
    <x v="7"/>
    <x v="483"/>
    <n v="37.110000999999997"/>
  </r>
  <r>
    <x v="7"/>
    <x v="484"/>
    <n v="36.950001"/>
  </r>
  <r>
    <x v="7"/>
    <x v="485"/>
    <n v="37.209999000000003"/>
  </r>
  <r>
    <x v="7"/>
    <x v="486"/>
    <n v="37.299999"/>
  </r>
  <r>
    <x v="7"/>
    <x v="487"/>
    <n v="36.919998"/>
  </r>
  <r>
    <x v="7"/>
    <x v="488"/>
    <n v="36.790000999999997"/>
  </r>
  <r>
    <x v="7"/>
    <x v="489"/>
    <n v="36.529998999999997"/>
  </r>
  <r>
    <x v="7"/>
    <x v="490"/>
    <n v="36.560001"/>
  </r>
  <r>
    <x v="7"/>
    <x v="491"/>
    <n v="35.75"/>
  </r>
  <r>
    <x v="7"/>
    <x v="492"/>
    <n v="35.409999999999997"/>
  </r>
  <r>
    <x v="7"/>
    <x v="493"/>
    <n v="35.040000999999997"/>
  </r>
  <r>
    <x v="7"/>
    <x v="494"/>
    <n v="35.229999999999997"/>
  </r>
  <r>
    <x v="7"/>
    <x v="495"/>
    <n v="35.450001"/>
  </r>
  <r>
    <x v="7"/>
    <x v="496"/>
    <n v="35.439999"/>
  </r>
  <r>
    <x v="7"/>
    <x v="497"/>
    <n v="35.389999000000003"/>
  </r>
  <r>
    <x v="7"/>
    <x v="498"/>
    <n v="35.639999000000003"/>
  </r>
  <r>
    <x v="7"/>
    <x v="499"/>
    <n v="35.520000000000003"/>
  </r>
  <r>
    <x v="7"/>
    <x v="500"/>
    <n v="35.889999000000003"/>
  </r>
  <r>
    <x v="8"/>
    <x v="0"/>
    <n v="9.2555619999999994"/>
  </r>
  <r>
    <x v="8"/>
    <x v="1"/>
    <n v="8.7435130000000001"/>
  </r>
  <r>
    <x v="8"/>
    <x v="2"/>
    <n v="8.5509339999999998"/>
  </r>
  <r>
    <x v="8"/>
    <x v="3"/>
    <n v="8.4087479999999992"/>
  </r>
  <r>
    <x v="8"/>
    <x v="4"/>
    <n v="8.3853500000000007"/>
  </r>
  <r>
    <x v="8"/>
    <x v="5"/>
    <n v="8.6373239999999996"/>
  </r>
  <r>
    <x v="8"/>
    <x v="6"/>
    <n v="8.648123"/>
  </r>
  <r>
    <x v="8"/>
    <x v="7"/>
    <n v="8.5797310000000007"/>
  </r>
  <r>
    <x v="8"/>
    <x v="8"/>
    <n v="8.7453140000000005"/>
  </r>
  <r>
    <x v="8"/>
    <x v="9"/>
    <n v="8.3619529999999997"/>
  </r>
  <r>
    <x v="8"/>
    <x v="10"/>
    <n v="8.3817500000000003"/>
  </r>
  <r>
    <x v="8"/>
    <x v="11"/>
    <n v="8.6715199999999992"/>
  </r>
  <r>
    <x v="8"/>
    <x v="12"/>
    <n v="8.8731000000000009"/>
  </r>
  <r>
    <x v="8"/>
    <x v="13"/>
    <n v="8.7597120000000004"/>
  </r>
  <r>
    <x v="8"/>
    <x v="14"/>
    <n v="8.9432939999999999"/>
  </r>
  <r>
    <x v="8"/>
    <x v="15"/>
    <n v="8.988289"/>
  </r>
  <r>
    <x v="8"/>
    <x v="16"/>
    <n v="8.741714"/>
  </r>
  <r>
    <x v="8"/>
    <x v="17"/>
    <n v="8.7489139999999992"/>
  </r>
  <r>
    <x v="8"/>
    <x v="18"/>
    <n v="8.7831100000000006"/>
  </r>
  <r>
    <x v="8"/>
    <x v="19"/>
    <n v="8.7021189999999997"/>
  </r>
  <r>
    <x v="8"/>
    <x v="20"/>
    <n v="8.9666899999999998"/>
  </r>
  <r>
    <x v="8"/>
    <x v="21"/>
    <n v="9.1520720000000004"/>
  </r>
  <r>
    <x v="8"/>
    <x v="22"/>
    <n v="9.0125879999999992"/>
  </r>
  <r>
    <x v="8"/>
    <x v="23"/>
    <n v="8.9432939999999999"/>
  </r>
  <r>
    <x v="8"/>
    <x v="24"/>
    <n v="9.2420639999999992"/>
  </r>
  <r>
    <x v="8"/>
    <x v="25"/>
    <n v="9.5255340000000004"/>
  </r>
  <r>
    <x v="8"/>
    <x v="26"/>
    <n v="9.7190159999999999"/>
  </r>
  <r>
    <x v="8"/>
    <x v="27"/>
    <n v="9.8540019999999995"/>
  </r>
  <r>
    <x v="8"/>
    <x v="28"/>
    <n v="10.132973"/>
  </r>
  <r>
    <x v="8"/>
    <x v="29"/>
    <n v="10.105975000000001"/>
  </r>
  <r>
    <x v="8"/>
    <x v="30"/>
    <n v="10.218464000000001"/>
  </r>
  <r>
    <x v="8"/>
    <x v="31"/>
    <n v="10.474938999999999"/>
  </r>
  <r>
    <x v="8"/>
    <x v="32"/>
    <n v="10.46594"/>
  </r>
  <r>
    <x v="8"/>
    <x v="33"/>
    <n v="10.213965"/>
  </r>
  <r>
    <x v="8"/>
    <x v="34"/>
    <n v="10.006985999999999"/>
  </r>
  <r>
    <x v="8"/>
    <x v="35"/>
    <n v="10.033982"/>
  </r>
  <r>
    <x v="8"/>
    <x v="36"/>
    <n v="9.9124949999999998"/>
  </r>
  <r>
    <x v="8"/>
    <x v="37"/>
    <n v="9.7235150000000008"/>
  </r>
  <r>
    <x v="8"/>
    <x v="38"/>
    <n v="9.6065260000000006"/>
  </r>
  <r>
    <x v="8"/>
    <x v="39"/>
    <n v="9.6155259999999991"/>
  </r>
  <r>
    <x v="8"/>
    <x v="40"/>
    <n v="9.507536"/>
  </r>
  <r>
    <x v="8"/>
    <x v="41"/>
    <n v="9.8719999999999999"/>
  </r>
  <r>
    <x v="8"/>
    <x v="42"/>
    <n v="9.9484919999999999"/>
  </r>
  <r>
    <x v="8"/>
    <x v="43"/>
    <n v="9.9079960000000007"/>
  </r>
  <r>
    <x v="8"/>
    <x v="44"/>
    <n v="9.5435320000000008"/>
  </r>
  <r>
    <x v="8"/>
    <x v="45"/>
    <n v="9.4310430000000007"/>
  </r>
  <r>
    <x v="8"/>
    <x v="46"/>
    <n v="9.5120349999999991"/>
  </r>
  <r>
    <x v="8"/>
    <x v="47"/>
    <n v="9.7100159999999995"/>
  </r>
  <r>
    <x v="8"/>
    <x v="48"/>
    <n v="9.8180049999999994"/>
  </r>
  <r>
    <x v="8"/>
    <x v="49"/>
    <n v="9.8719999999999999"/>
  </r>
  <r>
    <x v="8"/>
    <x v="50"/>
    <n v="10.173469000000001"/>
  </r>
  <r>
    <x v="8"/>
    <x v="51"/>
    <n v="10.393946"/>
  </r>
  <r>
    <x v="8"/>
    <x v="52"/>
    <n v="10.321954"/>
  </r>
  <r>
    <x v="8"/>
    <x v="53"/>
    <n v="10.470439000000001"/>
  </r>
  <r>
    <x v="8"/>
    <x v="54"/>
    <n v="10.501935"/>
  </r>
  <r>
    <x v="8"/>
    <x v="55"/>
    <n v="10.416444"/>
  </r>
  <r>
    <x v="8"/>
    <x v="56"/>
    <n v="10.578428000000001"/>
  </r>
  <r>
    <x v="8"/>
    <x v="57"/>
    <n v="10.8439"/>
  </r>
  <r>
    <x v="8"/>
    <x v="58"/>
    <n v="10.767408"/>
  </r>
  <r>
    <x v="8"/>
    <x v="59"/>
    <n v="10.798904"/>
  </r>
  <r>
    <x v="8"/>
    <x v="60"/>
    <n v="10.897895"/>
  </r>
  <r>
    <x v="8"/>
    <x v="61"/>
    <n v="11.028382000000001"/>
  </r>
  <r>
    <x v="8"/>
    <x v="62"/>
    <n v="11.190365999999999"/>
  </r>
  <r>
    <x v="8"/>
    <x v="63"/>
    <n v="10.618924"/>
  </r>
  <r>
    <x v="8"/>
    <x v="64"/>
    <n v="10.888896000000001"/>
  </r>
  <r>
    <x v="8"/>
    <x v="65"/>
    <n v="10.46144"/>
  </r>
  <r>
    <x v="8"/>
    <x v="66"/>
    <n v="10.8484"/>
  </r>
  <r>
    <x v="8"/>
    <x v="67"/>
    <n v="11.208364"/>
  </r>
  <r>
    <x v="8"/>
    <x v="68"/>
    <n v="11.293856"/>
  </r>
  <r>
    <x v="8"/>
    <x v="69"/>
    <n v="11.073378"/>
  </r>
  <r>
    <x v="8"/>
    <x v="70"/>
    <n v="11.401845"/>
  </r>
  <r>
    <x v="8"/>
    <x v="71"/>
    <n v="11.424341"/>
  </r>
  <r>
    <x v="8"/>
    <x v="72"/>
    <n v="11.482836000000001"/>
  </r>
  <r>
    <x v="8"/>
    <x v="73"/>
    <n v="11.581825"/>
  </r>
  <r>
    <x v="8"/>
    <x v="74"/>
    <n v="11.581825"/>
  </r>
  <r>
    <x v="8"/>
    <x v="75"/>
    <n v="11.338851"/>
  </r>
  <r>
    <x v="8"/>
    <x v="76"/>
    <n v="11.527832"/>
  </r>
  <r>
    <x v="8"/>
    <x v="77"/>
    <n v="11.293856"/>
  </r>
  <r>
    <x v="8"/>
    <x v="78"/>
    <n v="11.185867"/>
  </r>
  <r>
    <x v="8"/>
    <x v="79"/>
    <n v="11.163368"/>
  </r>
  <r>
    <x v="8"/>
    <x v="80"/>
    <n v="11.014882999999999"/>
  </r>
  <r>
    <x v="8"/>
    <x v="81"/>
    <n v="10.978885999999999"/>
  </r>
  <r>
    <x v="8"/>
    <x v="82"/>
    <n v="11.068878"/>
  </r>
  <r>
    <x v="8"/>
    <x v="83"/>
    <n v="11.073378"/>
  </r>
  <r>
    <x v="8"/>
    <x v="84"/>
    <n v="11.050879999999999"/>
  </r>
  <r>
    <x v="8"/>
    <x v="85"/>
    <n v="11.068878"/>
  </r>
  <r>
    <x v="8"/>
    <x v="86"/>
    <n v="10.978885999999999"/>
  </r>
  <r>
    <x v="8"/>
    <x v="87"/>
    <n v="10.8484"/>
  </r>
  <r>
    <x v="8"/>
    <x v="88"/>
    <n v="10.717914"/>
  </r>
  <r>
    <x v="8"/>
    <x v="89"/>
    <n v="10.893395"/>
  </r>
  <r>
    <x v="8"/>
    <x v="90"/>
    <n v="10.861898"/>
  </r>
  <r>
    <x v="8"/>
    <x v="91"/>
    <n v="10.834902"/>
  </r>
  <r>
    <x v="8"/>
    <x v="92"/>
    <n v="10.789906"/>
  </r>
  <r>
    <x v="8"/>
    <x v="93"/>
    <n v="10.8484"/>
  </r>
  <r>
    <x v="8"/>
    <x v="94"/>
    <n v="10.812404000000001"/>
  </r>
  <r>
    <x v="8"/>
    <x v="95"/>
    <n v="11.055379"/>
  </r>
  <r>
    <x v="8"/>
    <x v="96"/>
    <n v="11.082376"/>
  </r>
  <r>
    <x v="8"/>
    <x v="97"/>
    <n v="11.001385000000001"/>
  </r>
  <r>
    <x v="8"/>
    <x v="98"/>
    <n v="11.158868999999999"/>
  </r>
  <r>
    <x v="8"/>
    <x v="99"/>
    <n v="11.239860999999999"/>
  </r>
  <r>
    <x v="8"/>
    <x v="100"/>
    <n v="11.419843"/>
  </r>
  <r>
    <x v="8"/>
    <x v="101"/>
    <n v="11.599824"/>
  </r>
  <r>
    <x v="8"/>
    <x v="102"/>
    <n v="11.635821"/>
  </r>
  <r>
    <x v="8"/>
    <x v="103"/>
    <n v="11.667317000000001"/>
  </r>
  <r>
    <x v="8"/>
    <x v="104"/>
    <n v="11.631320000000001"/>
  </r>
  <r>
    <x v="8"/>
    <x v="105"/>
    <n v="11.478336000000001"/>
  </r>
  <r>
    <x v="8"/>
    <x v="106"/>
    <n v="11.428842"/>
  </r>
  <r>
    <x v="8"/>
    <x v="107"/>
    <n v="11.095874999999999"/>
  </r>
  <r>
    <x v="8"/>
    <x v="108"/>
    <n v="11.059877999999999"/>
  </r>
  <r>
    <x v="8"/>
    <x v="109"/>
    <n v="11.104875"/>
  </r>
  <r>
    <x v="8"/>
    <x v="110"/>
    <n v="10.951890000000001"/>
  </r>
  <r>
    <x v="8"/>
    <x v="111"/>
    <n v="10.767408"/>
  </r>
  <r>
    <x v="8"/>
    <x v="112"/>
    <n v="10.623423000000001"/>
  </r>
  <r>
    <x v="8"/>
    <x v="113"/>
    <n v="10.740411999999999"/>
  </r>
  <r>
    <x v="8"/>
    <x v="114"/>
    <n v="10.956390000000001"/>
  </r>
  <r>
    <x v="8"/>
    <x v="115"/>
    <n v="11.127371999999999"/>
  </r>
  <r>
    <x v="8"/>
    <x v="116"/>
    <n v="10.974387"/>
  </r>
  <r>
    <x v="8"/>
    <x v="117"/>
    <n v="11.032881"/>
  </r>
  <r>
    <x v="8"/>
    <x v="118"/>
    <n v="10.672917999999999"/>
  </r>
  <r>
    <x v="8"/>
    <x v="119"/>
    <n v="10.753909999999999"/>
  </r>
  <r>
    <x v="8"/>
    <x v="120"/>
    <n v="10.245461000000001"/>
  </r>
  <r>
    <x v="8"/>
    <x v="121"/>
    <n v="10.344452"/>
  </r>
  <r>
    <x v="8"/>
    <x v="122"/>
    <n v="10.510934000000001"/>
  </r>
  <r>
    <x v="8"/>
    <x v="123"/>
    <n v="10.564928999999999"/>
  </r>
  <r>
    <x v="8"/>
    <x v="124"/>
    <n v="10.582928000000001"/>
  </r>
  <r>
    <x v="8"/>
    <x v="125"/>
    <n v="10.546931000000001"/>
  </r>
  <r>
    <x v="8"/>
    <x v="126"/>
    <n v="10.888896000000001"/>
  </r>
  <r>
    <x v="8"/>
    <x v="127"/>
    <n v="11.212863"/>
  </r>
  <r>
    <x v="8"/>
    <x v="128"/>
    <n v="11.221862"/>
  </r>
  <r>
    <x v="8"/>
    <x v="129"/>
    <n v="10.929392999999999"/>
  </r>
  <r>
    <x v="8"/>
    <x v="130"/>
    <n v="10.960889999999999"/>
  </r>
  <r>
    <x v="8"/>
    <x v="131"/>
    <n v="11.212863"/>
  </r>
  <r>
    <x v="8"/>
    <x v="132"/>
    <n v="11.221862"/>
  </r>
  <r>
    <x v="8"/>
    <x v="133"/>
    <n v="11.167868"/>
  </r>
  <r>
    <x v="8"/>
    <x v="134"/>
    <n v="11.010384"/>
  </r>
  <r>
    <x v="8"/>
    <x v="135"/>
    <n v="11.073378"/>
  </r>
  <r>
    <x v="8"/>
    <x v="136"/>
    <n v="10.668418000000001"/>
  </r>
  <r>
    <x v="8"/>
    <x v="137"/>
    <n v="10.789906"/>
  </r>
  <r>
    <x v="8"/>
    <x v="138"/>
    <n v="10.974387"/>
  </r>
  <r>
    <x v="8"/>
    <x v="139"/>
    <n v="10.879897"/>
  </r>
  <r>
    <x v="8"/>
    <x v="140"/>
    <n v="10.398447000000001"/>
  </r>
  <r>
    <x v="8"/>
    <x v="141"/>
    <n v="10.195967"/>
  </r>
  <r>
    <x v="8"/>
    <x v="142"/>
    <n v="10.366948000000001"/>
  </r>
  <r>
    <x v="8"/>
    <x v="143"/>
    <n v="9.9664909999999995"/>
  </r>
  <r>
    <x v="8"/>
    <x v="144"/>
    <n v="9.6380219999999994"/>
  </r>
  <r>
    <x v="8"/>
    <x v="145"/>
    <n v="9.6380219999999994"/>
  </r>
  <r>
    <x v="8"/>
    <x v="146"/>
    <n v="9.8000080000000001"/>
  </r>
  <r>
    <x v="8"/>
    <x v="147"/>
    <n v="9.7415120000000002"/>
  </r>
  <r>
    <x v="8"/>
    <x v="148"/>
    <n v="9.4715389999999999"/>
  </r>
  <r>
    <x v="8"/>
    <x v="149"/>
    <n v="9.2600610000000003"/>
  </r>
  <r>
    <x v="8"/>
    <x v="150"/>
    <n v="8.6589229999999997"/>
  </r>
  <r>
    <x v="8"/>
    <x v="151"/>
    <n v="8.648123"/>
  </r>
  <r>
    <x v="8"/>
    <x v="152"/>
    <n v="8.5563330000000004"/>
  </r>
  <r>
    <x v="8"/>
    <x v="153"/>
    <n v="7.69062"/>
  </r>
  <r>
    <x v="8"/>
    <x v="154"/>
    <n v="7.640225"/>
  </r>
  <r>
    <x v="8"/>
    <x v="155"/>
    <n v="7.3090590000000004"/>
  </r>
  <r>
    <x v="8"/>
    <x v="156"/>
    <n v="7.422447"/>
  </r>
  <r>
    <x v="8"/>
    <x v="157"/>
    <n v="6.7961109999999998"/>
  </r>
  <r>
    <x v="8"/>
    <x v="158"/>
    <n v="7.3054589999999999"/>
  </r>
  <r>
    <x v="8"/>
    <x v="159"/>
    <n v="7.7063110000000004"/>
  </r>
  <r>
    <x v="8"/>
    <x v="160"/>
    <n v="7.0599619999999996"/>
  </r>
  <r>
    <x v="8"/>
    <x v="161"/>
    <n v="7.9326270000000001"/>
  </r>
  <r>
    <x v="8"/>
    <x v="162"/>
    <n v="8.2164839999999995"/>
  </r>
  <r>
    <x v="8"/>
    <x v="163"/>
    <n v="8.279776"/>
  </r>
  <r>
    <x v="8"/>
    <x v="164"/>
    <n v="8.0361980000000006"/>
  </r>
  <r>
    <x v="8"/>
    <x v="165"/>
    <n v="8.4312930000000001"/>
  </r>
  <r>
    <x v="8"/>
    <x v="166"/>
    <n v="8.8666680000000007"/>
  </r>
  <r>
    <x v="8"/>
    <x v="167"/>
    <n v="8.6307600000000004"/>
  </r>
  <r>
    <x v="8"/>
    <x v="168"/>
    <n v="8.6787100000000006"/>
  </r>
  <r>
    <x v="8"/>
    <x v="169"/>
    <n v="8.8129639999999991"/>
  </r>
  <r>
    <x v="8"/>
    <x v="170"/>
    <n v="9.3576619999999995"/>
  </r>
  <r>
    <x v="8"/>
    <x v="171"/>
    <n v="9.9301689999999994"/>
  </r>
  <r>
    <x v="8"/>
    <x v="172"/>
    <n v="9.8055029999999999"/>
  </r>
  <r>
    <x v="8"/>
    <x v="173"/>
    <n v="9.8246819999999992"/>
  </r>
  <r>
    <x v="8"/>
    <x v="174"/>
    <n v="9.8678360000000005"/>
  </r>
  <r>
    <x v="8"/>
    <x v="175"/>
    <n v="9.4938350000000007"/>
  </r>
  <r>
    <x v="8"/>
    <x v="176"/>
    <n v="9.3499909999999993"/>
  </r>
  <r>
    <x v="8"/>
    <x v="177"/>
    <n v="9.7048109999999994"/>
  </r>
  <r>
    <x v="8"/>
    <x v="178"/>
    <n v="9.7239900000000006"/>
  </r>
  <r>
    <x v="8"/>
    <x v="179"/>
    <n v="9.6424769999999995"/>
  </r>
  <r>
    <x v="8"/>
    <x v="180"/>
    <n v="9.8246819999999992"/>
  </r>
  <r>
    <x v="8"/>
    <x v="181"/>
    <n v="9.9685299999999994"/>
  </r>
  <r>
    <x v="8"/>
    <x v="182"/>
    <n v="9.7815279999999998"/>
  </r>
  <r>
    <x v="8"/>
    <x v="183"/>
    <n v="10.002093"/>
  </r>
  <r>
    <x v="8"/>
    <x v="184"/>
    <n v="10.261016"/>
  </r>
  <r>
    <x v="8"/>
    <x v="185"/>
    <n v="10.539116999999999"/>
  </r>
  <r>
    <x v="8"/>
    <x v="186"/>
    <n v="10.356914"/>
  </r>
  <r>
    <x v="8"/>
    <x v="187"/>
    <n v="9.8198869999999996"/>
  </r>
  <r>
    <x v="8"/>
    <x v="188"/>
    <n v="9.8582470000000004"/>
  </r>
  <r>
    <x v="8"/>
    <x v="189"/>
    <n v="9.8678360000000005"/>
  </r>
  <r>
    <x v="8"/>
    <x v="190"/>
    <n v="9.9781180000000003"/>
  </r>
  <r>
    <x v="8"/>
    <x v="191"/>
    <n v="10.203478"/>
  </r>
  <r>
    <x v="8"/>
    <x v="192"/>
    <n v="9.9733230000000006"/>
  </r>
  <r>
    <x v="8"/>
    <x v="193"/>
    <n v="10.002093"/>
  </r>
  <r>
    <x v="8"/>
    <x v="194"/>
    <n v="9.767144"/>
  </r>
  <r>
    <x v="8"/>
    <x v="195"/>
    <n v="9.4267090000000007"/>
  </r>
  <r>
    <x v="8"/>
    <x v="196"/>
    <n v="9.4228729999999992"/>
  </r>
  <r>
    <x v="8"/>
    <x v="197"/>
    <n v="10.088400999999999"/>
  </r>
  <r>
    <x v="8"/>
    <x v="198"/>
    <n v="10.174706"/>
  </r>
  <r>
    <x v="8"/>
    <x v="199"/>
    <n v="10.433630000000001"/>
  </r>
  <r>
    <x v="8"/>
    <x v="200"/>
    <n v="10.174706"/>
  </r>
  <r>
    <x v="8"/>
    <x v="201"/>
    <n v="10.217862"/>
  </r>
  <r>
    <x v="8"/>
    <x v="202"/>
    <n v="10.452809"/>
  </r>
  <r>
    <x v="8"/>
    <x v="203"/>
    <n v="10.495964000000001"/>
  </r>
  <r>
    <x v="8"/>
    <x v="204"/>
    <n v="10.476785"/>
  </r>
  <r>
    <x v="8"/>
    <x v="205"/>
    <n v="10.572680999999999"/>
  </r>
  <r>
    <x v="8"/>
    <x v="206"/>
    <n v="10.678169"/>
  </r>
  <r>
    <x v="8"/>
    <x v="207"/>
    <n v="10.754887"/>
  </r>
  <r>
    <x v="8"/>
    <x v="208"/>
    <n v="10.975451"/>
  </r>
  <r>
    <x v="8"/>
    <x v="209"/>
    <n v="10.932295999999999"/>
  </r>
  <r>
    <x v="8"/>
    <x v="210"/>
    <n v="11.223825"/>
  </r>
  <r>
    <x v="8"/>
    <x v="211"/>
    <n v="10.859413999999999"/>
  </r>
  <r>
    <x v="8"/>
    <x v="212"/>
    <n v="10.815685"/>
  </r>
  <r>
    <x v="8"/>
    <x v="213"/>
    <n v="10.645626999999999"/>
  </r>
  <r>
    <x v="8"/>
    <x v="214"/>
    <n v="10.184041000000001"/>
  </r>
  <r>
    <x v="8"/>
    <x v="215"/>
    <n v="10.300653000000001"/>
  </r>
  <r>
    <x v="8"/>
    <x v="216"/>
    <n v="10.295794000000001"/>
  </r>
  <r>
    <x v="8"/>
    <x v="217"/>
    <n v="10.703932999999999"/>
  </r>
  <r>
    <x v="8"/>
    <x v="218"/>
    <n v="10.951733000000001"/>
  </r>
  <r>
    <x v="8"/>
    <x v="219"/>
    <n v="10.87885"/>
  </r>
  <r>
    <x v="8"/>
    <x v="220"/>
    <n v="10.825403"/>
  </r>
  <r>
    <x v="8"/>
    <x v="221"/>
    <n v="10.873991"/>
  </r>
  <r>
    <x v="8"/>
    <x v="222"/>
    <n v="10.689356999999999"/>
  </r>
  <r>
    <x v="8"/>
    <x v="223"/>
    <n v="10.426982000000001"/>
  </r>
  <r>
    <x v="8"/>
    <x v="224"/>
    <n v="10.344382"/>
  </r>
  <r>
    <x v="8"/>
    <x v="225"/>
    <n v="10.324947"/>
  </r>
  <r>
    <x v="8"/>
    <x v="226"/>
    <n v="10.329806"/>
  </r>
  <r>
    <x v="8"/>
    <x v="227"/>
    <n v="10.358957999999999"/>
  </r>
  <r>
    <x v="8"/>
    <x v="228"/>
    <n v="10.417263999999999"/>
  </r>
  <r>
    <x v="8"/>
    <x v="229"/>
    <n v="10.407546"/>
  </r>
  <r>
    <x v="8"/>
    <x v="230"/>
    <n v="10.582464"/>
  </r>
  <r>
    <x v="8"/>
    <x v="231"/>
    <n v="10.504723"/>
  </r>
  <r>
    <x v="8"/>
    <x v="232"/>
    <n v="10.436699000000001"/>
  </r>
  <r>
    <x v="8"/>
    <x v="233"/>
    <n v="10.218054"/>
  </r>
  <r>
    <x v="8"/>
    <x v="234"/>
    <n v="10.271501000000001"/>
  </r>
  <r>
    <x v="8"/>
    <x v="235"/>
    <n v="10.368676000000001"/>
  </r>
  <r>
    <x v="8"/>
    <x v="236"/>
    <n v="10.392969000000001"/>
  </r>
  <r>
    <x v="8"/>
    <x v="237"/>
    <n v="10.441558000000001"/>
  </r>
  <r>
    <x v="8"/>
    <x v="238"/>
    <n v="10.446417"/>
  </r>
  <r>
    <x v="8"/>
    <x v="239"/>
    <n v="10.640769000000001"/>
  </r>
  <r>
    <x v="8"/>
    <x v="240"/>
    <n v="10.621333999999999"/>
  </r>
  <r>
    <x v="8"/>
    <x v="241"/>
    <n v="10.932297"/>
  </r>
  <r>
    <x v="8"/>
    <x v="242"/>
    <n v="11.063484000000001"/>
  </r>
  <r>
    <x v="8"/>
    <x v="243"/>
    <n v="11.010037000000001"/>
  </r>
  <r>
    <x v="8"/>
    <x v="244"/>
    <n v="10.869133"/>
  </r>
  <r>
    <x v="8"/>
    <x v="245"/>
    <n v="10.95659"/>
  </r>
  <r>
    <x v="8"/>
    <x v="246"/>
    <n v="10.869133"/>
  </r>
  <r>
    <x v="8"/>
    <x v="247"/>
    <n v="10.805968"/>
  </r>
  <r>
    <x v="8"/>
    <x v="248"/>
    <n v="10.51444"/>
  </r>
  <r>
    <x v="8"/>
    <x v="249"/>
    <n v="10.358957999999999"/>
  </r>
  <r>
    <x v="8"/>
    <x v="250"/>
    <n v="10.597039000000001"/>
  </r>
  <r>
    <x v="8"/>
    <x v="251"/>
    <n v="10.645626999999999"/>
  </r>
  <r>
    <x v="8"/>
    <x v="252"/>
    <n v="10.883708"/>
  </r>
  <r>
    <x v="8"/>
    <x v="253"/>
    <n v="10.757379999999999"/>
  </r>
  <r>
    <x v="8"/>
    <x v="254"/>
    <n v="10.810826"/>
  </r>
  <r>
    <x v="8"/>
    <x v="255"/>
    <n v="10.791391000000001"/>
  </r>
  <r>
    <x v="8"/>
    <x v="256"/>
    <n v="10.971166999999999"/>
  </r>
  <r>
    <x v="8"/>
    <x v="257"/>
    <n v="11.131508"/>
  </r>
  <r>
    <x v="8"/>
    <x v="258"/>
    <n v="11.092637"/>
  </r>
  <r>
    <x v="8"/>
    <x v="259"/>
    <n v="11.058626"/>
  </r>
  <r>
    <x v="8"/>
    <x v="260"/>
    <n v="11.350153000000001"/>
  </r>
  <r>
    <x v="8"/>
    <x v="261"/>
    <n v="11.306424"/>
  </r>
  <r>
    <x v="8"/>
    <x v="262"/>
    <n v="11.389023999999999"/>
  </r>
  <r>
    <x v="8"/>
    <x v="263"/>
    <n v="11.252977"/>
  </r>
  <r>
    <x v="8"/>
    <x v="264"/>
    <n v="11.243259"/>
  </r>
  <r>
    <x v="8"/>
    <x v="265"/>
    <n v="11.466765000000001"/>
  </r>
  <r>
    <x v="8"/>
    <x v="266"/>
    <n v="11.563941"/>
  </r>
  <r>
    <x v="8"/>
    <x v="267"/>
    <n v="11.879763000000001"/>
  </r>
  <r>
    <x v="8"/>
    <x v="268"/>
    <n v="11.80688"/>
  </r>
  <r>
    <x v="8"/>
    <x v="269"/>
    <n v="11.772868000000001"/>
  </r>
  <r>
    <x v="8"/>
    <x v="270"/>
    <n v="11.981797"/>
  </r>
  <r>
    <x v="8"/>
    <x v="271"/>
    <n v="12.059538"/>
  </r>
  <r>
    <x v="8"/>
    <x v="272"/>
    <n v="12.312196"/>
  </r>
  <r>
    <x v="8"/>
    <x v="273"/>
    <n v="12.57943"/>
  </r>
  <r>
    <x v="8"/>
    <x v="274"/>
    <n v="12.827228"/>
  </r>
  <r>
    <x v="8"/>
    <x v="275"/>
    <n v="12.885533000000001"/>
  </r>
  <r>
    <x v="8"/>
    <x v="276"/>
    <n v="12.875816"/>
  </r>
  <r>
    <x v="8"/>
    <x v="277"/>
    <n v="12.972993000000001"/>
  </r>
  <r>
    <x v="8"/>
    <x v="278"/>
    <n v="12.880675"/>
  </r>
  <r>
    <x v="8"/>
    <x v="279"/>
    <n v="12.900109"/>
  </r>
  <r>
    <x v="8"/>
    <x v="280"/>
    <n v="12.895251"/>
  </r>
  <r>
    <x v="8"/>
    <x v="281"/>
    <n v="12.934122"/>
  </r>
  <r>
    <x v="8"/>
    <x v="282"/>
    <n v="13.454014000000001"/>
  </r>
  <r>
    <x v="8"/>
    <x v="283"/>
    <n v="13.381131999999999"/>
  </r>
  <r>
    <x v="8"/>
    <x v="284"/>
    <n v="13.653224"/>
  </r>
  <r>
    <x v="8"/>
    <x v="285"/>
    <n v="13.055592000000001"/>
  </r>
  <r>
    <x v="8"/>
    <x v="286"/>
    <n v="13.215933"/>
  </r>
  <r>
    <x v="8"/>
    <x v="287"/>
    <n v="13.254803000000001"/>
  </r>
  <r>
    <x v="8"/>
    <x v="288"/>
    <n v="13.084745"/>
  </r>
  <r>
    <x v="8"/>
    <x v="289"/>
    <n v="12.977850999999999"/>
  </r>
  <r>
    <x v="8"/>
    <x v="290"/>
    <n v="13.458872"/>
  </r>
  <r>
    <x v="8"/>
    <x v="291"/>
    <n v="13.245085"/>
  </r>
  <r>
    <x v="8"/>
    <x v="292"/>
    <n v="12.997286000000001"/>
  </r>
  <r>
    <x v="8"/>
    <x v="293"/>
    <n v="13.351978000000001"/>
  </r>
  <r>
    <x v="8"/>
    <x v="294"/>
    <n v="13.390848"/>
  </r>
  <r>
    <x v="8"/>
    <x v="295"/>
    <n v="13.624072"/>
  </r>
  <r>
    <x v="8"/>
    <x v="296"/>
    <n v="13.604635"/>
  </r>
  <r>
    <x v="8"/>
    <x v="297"/>
    <n v="13.852435"/>
  </r>
  <r>
    <x v="8"/>
    <x v="298"/>
    <n v="13.682377000000001"/>
  </r>
  <r>
    <x v="8"/>
    <x v="299"/>
    <n v="13.798987"/>
  </r>
  <r>
    <x v="8"/>
    <x v="300"/>
    <n v="14.066222"/>
  </r>
  <r>
    <x v="8"/>
    <x v="301"/>
    <n v="13.881587"/>
  </r>
  <r>
    <x v="8"/>
    <x v="302"/>
    <n v="13.94961"/>
  </r>
  <r>
    <x v="8"/>
    <x v="303"/>
    <n v="13.677517999999999"/>
  </r>
  <r>
    <x v="8"/>
    <x v="304"/>
    <n v="13.871869"/>
  </r>
  <r>
    <x v="8"/>
    <x v="305"/>
    <n v="13.818422999999999"/>
  </r>
  <r>
    <x v="8"/>
    <x v="306"/>
    <n v="13.279095999999999"/>
  </r>
  <r>
    <x v="8"/>
    <x v="307"/>
    <n v="13.099320000000001"/>
  </r>
  <r>
    <x v="8"/>
    <x v="308"/>
    <n v="12.934122"/>
  </r>
  <r>
    <x v="8"/>
    <x v="309"/>
    <n v="12.705757999999999"/>
  </r>
  <r>
    <x v="8"/>
    <x v="310"/>
    <n v="12.205302"/>
  </r>
  <r>
    <x v="8"/>
    <x v="311"/>
    <n v="12.093548999999999"/>
  </r>
  <r>
    <x v="8"/>
    <x v="312"/>
    <n v="11.933209"/>
  </r>
  <r>
    <x v="8"/>
    <x v="313"/>
    <n v="11.991515"/>
  </r>
  <r>
    <x v="8"/>
    <x v="314"/>
    <n v="12.171290000000001"/>
  </r>
  <r>
    <x v="8"/>
    <x v="315"/>
    <n v="12.190725"/>
  </r>
  <r>
    <x v="8"/>
    <x v="316"/>
    <n v="12.525983"/>
  </r>
  <r>
    <x v="8"/>
    <x v="317"/>
    <n v="12.69604"/>
  </r>
  <r>
    <x v="8"/>
    <x v="318"/>
    <n v="12.904968999999999"/>
  </r>
  <r>
    <x v="8"/>
    <x v="319"/>
    <n v="13.011863"/>
  </r>
  <r>
    <x v="8"/>
    <x v="320"/>
    <n v="13.152767000000001"/>
  </r>
  <r>
    <x v="8"/>
    <x v="321"/>
    <n v="13.497743"/>
  </r>
  <r>
    <x v="8"/>
    <x v="322"/>
    <n v="13.337402000000001"/>
  </r>
  <r>
    <x v="8"/>
    <x v="323"/>
    <n v="13.050732999999999"/>
  </r>
  <r>
    <x v="8"/>
    <x v="324"/>
    <n v="13.036156999999999"/>
  </r>
  <r>
    <x v="8"/>
    <x v="325"/>
    <n v="13.264519999999999"/>
  </r>
  <r>
    <x v="8"/>
    <x v="326"/>
    <n v="13.22565"/>
  </r>
  <r>
    <x v="8"/>
    <x v="327"/>
    <n v="13.390848"/>
  </r>
  <r>
    <x v="8"/>
    <x v="328"/>
    <n v="13.264519999999999"/>
  </r>
  <r>
    <x v="8"/>
    <x v="329"/>
    <n v="13.34226"/>
  </r>
  <r>
    <x v="8"/>
    <x v="330"/>
    <n v="13.449154"/>
  </r>
  <r>
    <x v="8"/>
    <x v="331"/>
    <n v="13.687234999999999"/>
  </r>
  <r>
    <x v="8"/>
    <x v="332"/>
    <n v="13.628928999999999"/>
  </r>
  <r>
    <x v="8"/>
    <x v="333"/>
    <n v="13.643506"/>
  </r>
  <r>
    <x v="8"/>
    <x v="334"/>
    <n v="14.095374"/>
  </r>
  <r>
    <x v="8"/>
    <x v="335"/>
    <n v="13.769835"/>
  </r>
  <r>
    <x v="8"/>
    <x v="336"/>
    <n v="14.075939"/>
  </r>
  <r>
    <x v="8"/>
    <x v="337"/>
    <n v="13.99334"/>
  </r>
  <r>
    <x v="8"/>
    <x v="338"/>
    <n v="13.696954"/>
  </r>
  <r>
    <x v="8"/>
    <x v="339"/>
    <n v="13.526896000000001"/>
  </r>
  <r>
    <x v="8"/>
    <x v="340"/>
    <n v="13.716388"/>
  </r>
  <r>
    <x v="8"/>
    <x v="341"/>
    <n v="14.046786000000001"/>
  </r>
  <r>
    <x v="8"/>
    <x v="342"/>
    <n v="14.473934"/>
  </r>
  <r>
    <x v="8"/>
    <x v="343"/>
    <n v="14.336461999999999"/>
  </r>
  <r>
    <x v="8"/>
    <x v="344"/>
    <n v="14.370831000000001"/>
  </r>
  <r>
    <x v="8"/>
    <x v="345"/>
    <n v="14.606498"/>
  </r>
  <r>
    <x v="8"/>
    <x v="346"/>
    <n v="14.935452"/>
  </r>
  <r>
    <x v="8"/>
    <x v="347"/>
    <n v="15.180939"/>
  </r>
  <r>
    <x v="8"/>
    <x v="348"/>
    <n v="15.254583999999999"/>
  </r>
  <r>
    <x v="8"/>
    <x v="349"/>
    <n v="15.396967999999999"/>
  </r>
  <r>
    <x v="8"/>
    <x v="350"/>
    <n v="14.837255000000001"/>
  </r>
  <r>
    <x v="8"/>
    <x v="351"/>
    <n v="14.920722"/>
  </r>
  <r>
    <x v="8"/>
    <x v="352"/>
    <n v="15.018917"/>
  </r>
  <r>
    <x v="8"/>
    <x v="353"/>
    <n v="15.396967999999999"/>
  </r>
  <r>
    <x v="8"/>
    <x v="354"/>
    <n v="15.460793000000001"/>
  </r>
  <r>
    <x v="8"/>
    <x v="355"/>
    <n v="15.362598999999999"/>
  </r>
  <r>
    <x v="8"/>
    <x v="356"/>
    <n v="15.382237999999999"/>
  </r>
  <r>
    <x v="8"/>
    <x v="357"/>
    <n v="15.244764999999999"/>
  </r>
  <r>
    <x v="8"/>
    <x v="358"/>
    <n v="16.128519000000001"/>
  </r>
  <r>
    <x v="8"/>
    <x v="359"/>
    <n v="16.187436999999999"/>
  </r>
  <r>
    <x v="8"/>
    <x v="360"/>
    <n v="16.045052999999999"/>
  </r>
  <r>
    <x v="8"/>
    <x v="361"/>
    <n v="15.883032"/>
  </r>
  <r>
    <x v="8"/>
    <x v="362"/>
    <n v="16.049963000000002"/>
  </r>
  <r>
    <x v="8"/>
    <x v="363"/>
    <n v="15.716100000000001"/>
  </r>
  <r>
    <x v="8"/>
    <x v="364"/>
    <n v="15.54426"/>
  </r>
  <r>
    <x v="8"/>
    <x v="365"/>
    <n v="15.868302999999999"/>
  </r>
  <r>
    <x v="8"/>
    <x v="366"/>
    <n v="15.686643"/>
  </r>
  <r>
    <x v="8"/>
    <x v="367"/>
    <n v="15.887942000000001"/>
  </r>
  <r>
    <x v="8"/>
    <x v="368"/>
    <n v="16.074511999999999"/>
  </r>
  <r>
    <x v="8"/>
    <x v="369"/>
    <n v="15.843755"/>
  </r>
  <r>
    <x v="8"/>
    <x v="370"/>
    <n v="15.387148"/>
  </r>
  <r>
    <x v="8"/>
    <x v="371"/>
    <n v="15.554079"/>
  </r>
  <r>
    <x v="8"/>
    <x v="372"/>
    <n v="15.151481"/>
  </r>
  <r>
    <x v="8"/>
    <x v="373"/>
    <n v="15.072925"/>
  </r>
  <r>
    <x v="8"/>
    <x v="374"/>
    <n v="14.729241"/>
  </r>
  <r>
    <x v="8"/>
    <x v="375"/>
    <n v="14.640866000000001"/>
  </r>
  <r>
    <x v="8"/>
    <x v="376"/>
    <n v="14.856895"/>
  </r>
  <r>
    <x v="8"/>
    <x v="377"/>
    <n v="14.96491"/>
  </r>
  <r>
    <x v="8"/>
    <x v="378"/>
    <n v="15.009097000000001"/>
  </r>
  <r>
    <x v="8"/>
    <x v="379"/>
    <n v="15.028737"/>
  </r>
  <r>
    <x v="8"/>
    <x v="380"/>
    <n v="15.328231000000001"/>
  </r>
  <r>
    <x v="8"/>
    <x v="381"/>
    <n v="15.176028000000001"/>
  </r>
  <r>
    <x v="8"/>
    <x v="382"/>
    <n v="15.54917"/>
  </r>
  <r>
    <x v="8"/>
    <x v="383"/>
    <n v="15.995957000000001"/>
  </r>
  <r>
    <x v="8"/>
    <x v="384"/>
    <n v="16.192347000000002"/>
  </r>
  <r>
    <x v="8"/>
    <x v="385"/>
    <n v="16.432924"/>
  </r>
  <r>
    <x v="8"/>
    <x v="386"/>
    <n v="16.506568999999999"/>
  </r>
  <r>
    <x v="8"/>
    <x v="387"/>
    <n v="16.148159"/>
  </r>
  <r>
    <x v="8"/>
    <x v="388"/>
    <n v="15.971406999999999"/>
  </r>
  <r>
    <x v="8"/>
    <x v="389"/>
    <n v="16.074511999999999"/>
  </r>
  <r>
    <x v="8"/>
    <x v="390"/>
    <n v="15.765199000000001"/>
  </r>
  <r>
    <x v="8"/>
    <x v="391"/>
    <n v="15.509892000000001"/>
  </r>
  <r>
    <x v="8"/>
    <x v="392"/>
    <n v="16.295449999999999"/>
  </r>
  <r>
    <x v="8"/>
    <x v="393"/>
    <n v="16.383825000000002"/>
  </r>
  <r>
    <x v="8"/>
    <x v="394"/>
    <n v="16.030325000000001"/>
  </r>
  <r>
    <x v="8"/>
    <x v="395"/>
    <n v="16.413284000000001"/>
  </r>
  <r>
    <x v="8"/>
    <x v="396"/>
    <n v="16.364189"/>
  </r>
  <r>
    <x v="8"/>
    <x v="397"/>
    <n v="16.644043"/>
  </r>
  <r>
    <x v="8"/>
    <x v="398"/>
    <n v="16.192347000000002"/>
  </r>
  <r>
    <x v="8"/>
    <x v="399"/>
    <n v="16.089241000000001"/>
  </r>
  <r>
    <x v="8"/>
    <x v="400"/>
    <n v="16.756968000000001"/>
  </r>
  <r>
    <x v="8"/>
    <x v="401"/>
    <n v="16.668592"/>
  </r>
  <r>
    <x v="8"/>
    <x v="402"/>
    <n v="16.310181"/>
  </r>
  <r>
    <x v="8"/>
    <x v="403"/>
    <n v="16.452562"/>
  </r>
  <r>
    <x v="8"/>
    <x v="404"/>
    <n v="16.33473"/>
  </r>
  <r>
    <x v="8"/>
    <x v="405"/>
    <n v="15.917399"/>
  </r>
  <r>
    <x v="8"/>
    <x v="406"/>
    <n v="15.794656"/>
  </r>
  <r>
    <x v="8"/>
    <x v="407"/>
    <n v="15.686643"/>
  </r>
  <r>
    <x v="8"/>
    <x v="408"/>
    <n v="16.408374999999999"/>
  </r>
  <r>
    <x v="8"/>
    <x v="409"/>
    <n v="16.320001999999999"/>
  </r>
  <r>
    <x v="8"/>
    <x v="410"/>
    <n v="16.245000999999998"/>
  </r>
  <r>
    <x v="8"/>
    <x v="411"/>
    <n v="16.145"/>
  </r>
  <r>
    <x v="8"/>
    <x v="412"/>
    <n v="16.110001"/>
  </r>
  <r>
    <x v="8"/>
    <x v="413"/>
    <n v="16.334999"/>
  </r>
  <r>
    <x v="8"/>
    <x v="414"/>
    <n v="16.709999"/>
  </r>
  <r>
    <x v="8"/>
    <x v="415"/>
    <n v="16.629999000000002"/>
  </r>
  <r>
    <x v="8"/>
    <x v="416"/>
    <n v="16.799999"/>
  </r>
  <r>
    <x v="8"/>
    <x v="417"/>
    <n v="15.904999999999999"/>
  </r>
  <r>
    <x v="8"/>
    <x v="418"/>
    <n v="16.135000000000002"/>
  </r>
  <r>
    <x v="8"/>
    <x v="419"/>
    <n v="16.260000000000002"/>
  </r>
  <r>
    <x v="8"/>
    <x v="420"/>
    <n v="16.329999999999998"/>
  </r>
  <r>
    <x v="8"/>
    <x v="421"/>
    <n v="16.295000000000002"/>
  </r>
  <r>
    <x v="8"/>
    <x v="422"/>
    <n v="16.549999"/>
  </r>
  <r>
    <x v="8"/>
    <x v="423"/>
    <n v="16.190000999999999"/>
  </r>
  <r>
    <x v="8"/>
    <x v="424"/>
    <n v="16.155000999999999"/>
  </r>
  <r>
    <x v="8"/>
    <x v="425"/>
    <n v="16.105"/>
  </r>
  <r>
    <x v="8"/>
    <x v="426"/>
    <n v="16.635000000000002"/>
  </r>
  <r>
    <x v="8"/>
    <x v="427"/>
    <n v="16.77"/>
  </r>
  <r>
    <x v="8"/>
    <x v="428"/>
    <n v="16.754999000000002"/>
  </r>
  <r>
    <x v="8"/>
    <x v="429"/>
    <n v="16.280000999999999"/>
  </r>
  <r>
    <x v="8"/>
    <x v="430"/>
    <n v="16.395"/>
  </r>
  <r>
    <x v="8"/>
    <x v="431"/>
    <n v="16.379999000000002"/>
  </r>
  <r>
    <x v="8"/>
    <x v="432"/>
    <n v="16.674999"/>
  </r>
  <r>
    <x v="8"/>
    <x v="433"/>
    <n v="16.764999"/>
  </r>
  <r>
    <x v="8"/>
    <x v="434"/>
    <n v="16.540001"/>
  </r>
  <r>
    <x v="8"/>
    <x v="435"/>
    <n v="16.535"/>
  </r>
  <r>
    <x v="8"/>
    <x v="436"/>
    <n v="16.254999000000002"/>
  </r>
  <r>
    <x v="8"/>
    <x v="437"/>
    <n v="15.93"/>
  </r>
  <r>
    <x v="8"/>
    <x v="438"/>
    <n v="15.975"/>
  </r>
  <r>
    <x v="8"/>
    <x v="439"/>
    <n v="15.68"/>
  </r>
  <r>
    <x v="8"/>
    <x v="440"/>
    <n v="15.925000000000001"/>
  </r>
  <r>
    <x v="8"/>
    <x v="441"/>
    <n v="16.049999"/>
  </r>
  <r>
    <x v="8"/>
    <x v="442"/>
    <n v="16.030000999999999"/>
  </r>
  <r>
    <x v="8"/>
    <x v="443"/>
    <n v="16.120000999999998"/>
  </r>
  <r>
    <x v="8"/>
    <x v="444"/>
    <n v="15.7"/>
  </r>
  <r>
    <x v="8"/>
    <x v="445"/>
    <n v="15.77"/>
  </r>
  <r>
    <x v="8"/>
    <x v="446"/>
    <n v="15.645"/>
  </r>
  <r>
    <x v="8"/>
    <x v="447"/>
    <n v="15.45"/>
  </r>
  <r>
    <x v="8"/>
    <x v="448"/>
    <n v="15.615"/>
  </r>
  <r>
    <x v="8"/>
    <x v="449"/>
    <n v="15.07"/>
  </r>
  <r>
    <x v="8"/>
    <x v="450"/>
    <n v="15.28"/>
  </r>
  <r>
    <x v="8"/>
    <x v="451"/>
    <n v="15.065"/>
  </r>
  <r>
    <x v="8"/>
    <x v="452"/>
    <n v="14.9"/>
  </r>
  <r>
    <x v="8"/>
    <x v="453"/>
    <n v="14.845000000000001"/>
  </r>
  <r>
    <x v="8"/>
    <x v="454"/>
    <n v="14.55"/>
  </r>
  <r>
    <x v="8"/>
    <x v="455"/>
    <n v="14.5"/>
  </r>
  <r>
    <x v="8"/>
    <x v="456"/>
    <n v="14.615"/>
  </r>
  <r>
    <x v="8"/>
    <x v="457"/>
    <n v="14.315"/>
  </r>
  <r>
    <x v="8"/>
    <x v="458"/>
    <n v="14.565"/>
  </r>
  <r>
    <x v="8"/>
    <x v="459"/>
    <n v="14.9"/>
  </r>
  <r>
    <x v="8"/>
    <x v="460"/>
    <n v="14.84"/>
  </r>
  <r>
    <x v="8"/>
    <x v="461"/>
    <n v="14.94"/>
  </r>
  <r>
    <x v="8"/>
    <x v="462"/>
    <n v="14.865"/>
  </r>
  <r>
    <x v="8"/>
    <x v="463"/>
    <n v="14.84"/>
  </r>
  <r>
    <x v="8"/>
    <x v="464"/>
    <n v="14.685"/>
  </r>
  <r>
    <x v="8"/>
    <x v="465"/>
    <n v="14.56"/>
  </r>
  <r>
    <x v="8"/>
    <x v="466"/>
    <n v="14.84"/>
  </r>
  <r>
    <x v="8"/>
    <x v="467"/>
    <n v="15.085000000000001"/>
  </r>
  <r>
    <x v="8"/>
    <x v="468"/>
    <n v="14.845000000000001"/>
  </r>
  <r>
    <x v="8"/>
    <x v="469"/>
    <n v="15.24"/>
  </r>
  <r>
    <x v="8"/>
    <x v="470"/>
    <n v="15.13"/>
  </r>
  <r>
    <x v="8"/>
    <x v="471"/>
    <n v="14.8"/>
  </r>
  <r>
    <x v="8"/>
    <x v="472"/>
    <n v="14.984999999999999"/>
  </r>
  <r>
    <x v="8"/>
    <x v="473"/>
    <n v="15.12"/>
  </r>
  <r>
    <x v="8"/>
    <x v="474"/>
    <n v="14.835000000000001"/>
  </r>
  <r>
    <x v="8"/>
    <x v="475"/>
    <n v="15.205"/>
  </r>
  <r>
    <x v="8"/>
    <x v="476"/>
    <n v="15.195"/>
  </r>
  <r>
    <x v="8"/>
    <x v="477"/>
    <n v="15.125"/>
  </r>
  <r>
    <x v="8"/>
    <x v="478"/>
    <n v="15.385"/>
  </r>
  <r>
    <x v="8"/>
    <x v="479"/>
    <n v="15.3"/>
  </r>
  <r>
    <x v="8"/>
    <x v="480"/>
    <n v="15.455"/>
  </r>
  <r>
    <x v="8"/>
    <x v="481"/>
    <n v="15.77"/>
  </r>
  <r>
    <x v="8"/>
    <x v="482"/>
    <n v="15.535"/>
  </r>
  <r>
    <x v="8"/>
    <x v="483"/>
    <n v="15.69"/>
  </r>
  <r>
    <x v="8"/>
    <x v="484"/>
    <n v="15.69"/>
  </r>
  <r>
    <x v="8"/>
    <x v="485"/>
    <n v="16.110001"/>
  </r>
  <r>
    <x v="8"/>
    <x v="486"/>
    <n v="16.309999000000001"/>
  </r>
  <r>
    <x v="8"/>
    <x v="487"/>
    <n v="16.219999000000001"/>
  </r>
  <r>
    <x v="8"/>
    <x v="488"/>
    <n v="16.225000000000001"/>
  </r>
  <r>
    <x v="8"/>
    <x v="489"/>
    <n v="15.9"/>
  </r>
  <r>
    <x v="8"/>
    <x v="490"/>
    <n v="15.785"/>
  </r>
  <r>
    <x v="8"/>
    <x v="491"/>
    <n v="15.445"/>
  </r>
  <r>
    <x v="8"/>
    <x v="492"/>
    <n v="15.78"/>
  </r>
  <r>
    <x v="8"/>
    <x v="493"/>
    <n v="16.040001"/>
  </r>
  <r>
    <x v="8"/>
    <x v="494"/>
    <n v="16.114999999999998"/>
  </r>
  <r>
    <x v="8"/>
    <x v="495"/>
    <n v="16.600000000000001"/>
  </r>
  <r>
    <x v="8"/>
    <x v="496"/>
    <n v="16.700001"/>
  </r>
  <r>
    <x v="8"/>
    <x v="497"/>
    <n v="16.885000000000002"/>
  </r>
  <r>
    <x v="8"/>
    <x v="498"/>
    <n v="16.760000000000002"/>
  </r>
  <r>
    <x v="8"/>
    <x v="499"/>
    <n v="16.920000000000002"/>
  </r>
  <r>
    <x v="8"/>
    <x v="500"/>
    <n v="16.684999000000001"/>
  </r>
  <r>
    <x v="9"/>
    <x v="0"/>
    <n v="0.946295"/>
  </r>
  <r>
    <x v="9"/>
    <x v="1"/>
    <n v="0.937639"/>
  </r>
  <r>
    <x v="9"/>
    <x v="2"/>
    <n v="0.90886400000000001"/>
  </r>
  <r>
    <x v="9"/>
    <x v="3"/>
    <n v="0.904887"/>
  </r>
  <r>
    <x v="9"/>
    <x v="4"/>
    <n v="0.89950699999999995"/>
  </r>
  <r>
    <x v="9"/>
    <x v="5"/>
    <n v="0.906057"/>
  </r>
  <r>
    <x v="9"/>
    <x v="6"/>
    <n v="0.90114399999999995"/>
  </r>
  <r>
    <x v="9"/>
    <x v="7"/>
    <n v="0.89763499999999996"/>
  </r>
  <r>
    <x v="9"/>
    <x v="8"/>
    <n v="0.90348399999999995"/>
  </r>
  <r>
    <x v="9"/>
    <x v="9"/>
    <n v="0.88429999999999997"/>
  </r>
  <r>
    <x v="9"/>
    <x v="10"/>
    <n v="0.88546999999999998"/>
  </r>
  <r>
    <x v="9"/>
    <x v="11"/>
    <n v="0.89833700000000005"/>
  </r>
  <r>
    <x v="9"/>
    <x v="12"/>
    <n v="0.904887"/>
  </r>
  <r>
    <x v="9"/>
    <x v="13"/>
    <n v="0.89155300000000004"/>
  </r>
  <r>
    <x v="9"/>
    <x v="14"/>
    <n v="0.90020900000000004"/>
  </r>
  <r>
    <x v="9"/>
    <x v="15"/>
    <n v="0.891787"/>
  </r>
  <r>
    <x v="9"/>
    <x v="16"/>
    <n v="0.89225500000000002"/>
  </r>
  <r>
    <x v="9"/>
    <x v="17"/>
    <n v="0.89880499999999997"/>
  </r>
  <r>
    <x v="9"/>
    <x v="18"/>
    <n v="0.90816300000000005"/>
  </r>
  <r>
    <x v="9"/>
    <x v="19"/>
    <n v="0.91424499999999997"/>
  </r>
  <r>
    <x v="9"/>
    <x v="20"/>
    <n v="0.92640999999999996"/>
  </r>
  <r>
    <x v="9"/>
    <x v="21"/>
    <n v="0.93062100000000003"/>
  </r>
  <r>
    <x v="9"/>
    <x v="22"/>
    <n v="0.93670399999999998"/>
  </r>
  <r>
    <x v="9"/>
    <x v="23"/>
    <n v="0.93506599999999995"/>
  </r>
  <r>
    <x v="9"/>
    <x v="24"/>
    <n v="0.94489199999999995"/>
  </r>
  <r>
    <x v="9"/>
    <x v="25"/>
    <n v="0.93787299999999996"/>
  </r>
  <r>
    <x v="9"/>
    <x v="26"/>
    <n v="0.944658"/>
  </r>
  <r>
    <x v="9"/>
    <x v="27"/>
    <n v="0.93319399999999997"/>
  </r>
  <r>
    <x v="9"/>
    <x v="28"/>
    <n v="0.92173099999999997"/>
  </r>
  <r>
    <x v="9"/>
    <x v="29"/>
    <n v="0.92921699999999996"/>
  </r>
  <r>
    <x v="9"/>
    <x v="30"/>
    <n v="0.94840100000000005"/>
  </r>
  <r>
    <x v="9"/>
    <x v="31"/>
    <n v="0.94068099999999999"/>
  </r>
  <r>
    <x v="9"/>
    <x v="32"/>
    <n v="0.94793300000000003"/>
  </r>
  <r>
    <x v="9"/>
    <x v="33"/>
    <n v="0.95401499999999995"/>
  </r>
  <r>
    <x v="9"/>
    <x v="34"/>
    <n v="0.96009800000000001"/>
  </r>
  <r>
    <x v="9"/>
    <x v="35"/>
    <n v="0.97015700000000005"/>
  </r>
  <r>
    <x v="9"/>
    <x v="36"/>
    <n v="0.97179499999999996"/>
  </r>
  <r>
    <x v="9"/>
    <x v="37"/>
    <n v="0.96173500000000001"/>
  </r>
  <r>
    <x v="9"/>
    <x v="38"/>
    <n v="0.96805200000000002"/>
  </r>
  <r>
    <x v="9"/>
    <x v="39"/>
    <n v="0.95869400000000005"/>
  </r>
  <r>
    <x v="9"/>
    <x v="40"/>
    <n v="0.96337300000000003"/>
  </r>
  <r>
    <x v="9"/>
    <x v="41"/>
    <n v="0.96547799999999995"/>
  </r>
  <r>
    <x v="9"/>
    <x v="42"/>
    <n v="0.96337300000000003"/>
  </r>
  <r>
    <x v="9"/>
    <x v="43"/>
    <n v="0.95401499999999995"/>
  </r>
  <r>
    <x v="9"/>
    <x v="44"/>
    <n v="0.94021299999999997"/>
  </r>
  <r>
    <x v="9"/>
    <x v="45"/>
    <n v="0.928983"/>
  </r>
  <r>
    <x v="9"/>
    <x v="46"/>
    <n v="0.93459800000000004"/>
  </r>
  <r>
    <x v="9"/>
    <x v="47"/>
    <n v="0.93693700000000002"/>
  </r>
  <r>
    <x v="9"/>
    <x v="48"/>
    <n v="0.93272699999999997"/>
  </r>
  <r>
    <x v="9"/>
    <x v="49"/>
    <n v="0.94021299999999997"/>
  </r>
  <r>
    <x v="9"/>
    <x v="50"/>
    <n v="0.95495099999999999"/>
  </r>
  <r>
    <x v="9"/>
    <x v="51"/>
    <n v="0.95705700000000005"/>
  </r>
  <r>
    <x v="9"/>
    <x v="52"/>
    <n v="0.95658900000000002"/>
  </r>
  <r>
    <x v="9"/>
    <x v="53"/>
    <n v="0.96852000000000005"/>
  </r>
  <r>
    <x v="9"/>
    <x v="54"/>
    <n v="0.96407500000000002"/>
  </r>
  <r>
    <x v="9"/>
    <x v="55"/>
    <n v="0.90348399999999995"/>
  </r>
  <r>
    <x v="9"/>
    <x v="56"/>
    <n v="0.91611699999999996"/>
  </r>
  <r>
    <x v="9"/>
    <x v="57"/>
    <n v="0.93787299999999996"/>
  </r>
  <r>
    <x v="9"/>
    <x v="58"/>
    <n v="0.95214399999999999"/>
  </r>
  <r>
    <x v="9"/>
    <x v="59"/>
    <n v="1.320811"/>
  </r>
  <r>
    <x v="9"/>
    <x v="60"/>
    <n v="1.2947839999999999"/>
  </r>
  <r>
    <x v="9"/>
    <x v="61"/>
    <n v="1.3372839999999999"/>
  </r>
  <r>
    <x v="9"/>
    <x v="62"/>
    <n v="1.3303659999999999"/>
  </r>
  <r>
    <x v="9"/>
    <x v="63"/>
    <n v="1.305985"/>
  </r>
  <r>
    <x v="9"/>
    <x v="64"/>
    <n v="1.298408"/>
  </r>
  <r>
    <x v="9"/>
    <x v="65"/>
    <n v="1.3003849999999999"/>
  </r>
  <r>
    <x v="9"/>
    <x v="66"/>
    <n v="1.304338"/>
  </r>
  <r>
    <x v="9"/>
    <x v="67"/>
    <n v="1.305985"/>
  </r>
  <r>
    <x v="9"/>
    <x v="68"/>
    <n v="1.298737"/>
  </r>
  <r>
    <x v="9"/>
    <x v="69"/>
    <n v="1.304667"/>
  </r>
  <r>
    <x v="9"/>
    <x v="70"/>
    <n v="1.308951"/>
  </r>
  <r>
    <x v="9"/>
    <x v="71"/>
    <n v="1.3063149999999999"/>
  </r>
  <r>
    <x v="9"/>
    <x v="72"/>
    <n v="1.30335"/>
  </r>
  <r>
    <x v="9"/>
    <x v="73"/>
    <n v="1.3204819999999999"/>
  </r>
  <r>
    <x v="9"/>
    <x v="74"/>
    <n v="1.3079620000000001"/>
  </r>
  <r>
    <x v="9"/>
    <x v="75"/>
    <n v="1.302691"/>
  </r>
  <r>
    <x v="9"/>
    <x v="76"/>
    <n v="1.310927"/>
  </r>
  <r>
    <x v="9"/>
    <x v="77"/>
    <n v="1.309939"/>
  </r>
  <r>
    <x v="9"/>
    <x v="78"/>
    <n v="1.299725"/>
  </r>
  <r>
    <x v="9"/>
    <x v="79"/>
    <n v="1.292807"/>
  </r>
  <r>
    <x v="9"/>
    <x v="80"/>
    <n v="1.282923"/>
  </r>
  <r>
    <x v="9"/>
    <x v="81"/>
    <n v="1.294125"/>
  </r>
  <r>
    <x v="9"/>
    <x v="82"/>
    <n v="1.2961009999999999"/>
  </r>
  <r>
    <x v="9"/>
    <x v="83"/>
    <n v="1.298737"/>
  </r>
  <r>
    <x v="9"/>
    <x v="84"/>
    <n v="1.3079620000000001"/>
  </r>
  <r>
    <x v="9"/>
    <x v="85"/>
    <n v="1.304667"/>
  </r>
  <r>
    <x v="9"/>
    <x v="86"/>
    <n v="1.2954429999999999"/>
  </r>
  <r>
    <x v="9"/>
    <x v="87"/>
    <n v="1.2657910000000001"/>
  </r>
  <r>
    <x v="9"/>
    <x v="88"/>
    <n v="1.258543"/>
  </r>
  <r>
    <x v="9"/>
    <x v="89"/>
    <n v="1.2704029999999999"/>
  </r>
  <r>
    <x v="9"/>
    <x v="90"/>
    <n v="1.2651319999999999"/>
  </r>
  <r>
    <x v="9"/>
    <x v="91"/>
    <n v="1.274357"/>
  </r>
  <r>
    <x v="9"/>
    <x v="92"/>
    <n v="1.268756"/>
  </r>
  <r>
    <x v="9"/>
    <x v="93"/>
    <n v="1.27271"/>
  </r>
  <r>
    <x v="9"/>
    <x v="94"/>
    <n v="1.2760039999999999"/>
  </r>
  <r>
    <x v="9"/>
    <x v="95"/>
    <n v="1.277981"/>
  </r>
  <r>
    <x v="9"/>
    <x v="96"/>
    <n v="1.2970900000000001"/>
  </r>
  <r>
    <x v="9"/>
    <x v="97"/>
    <n v="1.302691"/>
  </r>
  <r>
    <x v="9"/>
    <x v="98"/>
    <n v="1.2763340000000001"/>
  </r>
  <r>
    <x v="9"/>
    <x v="99"/>
    <n v="1.2822640000000001"/>
  </r>
  <r>
    <x v="9"/>
    <x v="100"/>
    <n v="1.2911600000000001"/>
  </r>
  <r>
    <x v="9"/>
    <x v="101"/>
    <n v="1.2898419999999999"/>
  </r>
  <r>
    <x v="9"/>
    <x v="102"/>
    <n v="1.289183"/>
  </r>
  <r>
    <x v="9"/>
    <x v="103"/>
    <n v="1.2704029999999999"/>
  </r>
  <r>
    <x v="9"/>
    <x v="104"/>
    <n v="1.280287"/>
  </r>
  <r>
    <x v="9"/>
    <x v="105"/>
    <n v="1.278311"/>
  </r>
  <r>
    <x v="9"/>
    <x v="106"/>
    <n v="1.2717210000000001"/>
  </r>
  <r>
    <x v="9"/>
    <x v="107"/>
    <n v="1.2657910000000001"/>
  </r>
  <r>
    <x v="9"/>
    <x v="108"/>
    <n v="1.279299"/>
  </r>
  <r>
    <x v="9"/>
    <x v="109"/>
    <n v="1.274357"/>
  </r>
  <r>
    <x v="9"/>
    <x v="110"/>
    <n v="1.268756"/>
  </r>
  <r>
    <x v="9"/>
    <x v="111"/>
    <n v="1.2667790000000001"/>
  </r>
  <r>
    <x v="9"/>
    <x v="112"/>
    <n v="1.243058"/>
  </r>
  <r>
    <x v="9"/>
    <x v="113"/>
    <n v="1.248659"/>
  </r>
  <r>
    <x v="9"/>
    <x v="114"/>
    <n v="1.264473"/>
  </r>
  <r>
    <x v="9"/>
    <x v="115"/>
    <n v="1.2766630000000001"/>
  </r>
  <r>
    <x v="9"/>
    <x v="116"/>
    <n v="1.284241"/>
  </r>
  <r>
    <x v="9"/>
    <x v="117"/>
    <n v="1.277981"/>
  </r>
  <r>
    <x v="9"/>
    <x v="118"/>
    <n v="1.272051"/>
  </r>
  <r>
    <x v="9"/>
    <x v="119"/>
    <n v="1.2911600000000001"/>
  </r>
  <r>
    <x v="9"/>
    <x v="120"/>
    <n v="1.2651319999999999"/>
  </r>
  <r>
    <x v="9"/>
    <x v="121"/>
    <n v="1.28457"/>
  </r>
  <r>
    <x v="9"/>
    <x v="122"/>
    <n v="1.304667"/>
  </r>
  <r>
    <x v="9"/>
    <x v="123"/>
    <n v="1.276993"/>
  </r>
  <r>
    <x v="9"/>
    <x v="124"/>
    <n v="1.273039"/>
  </r>
  <r>
    <x v="9"/>
    <x v="125"/>
    <n v="1.2601899999999999"/>
  </r>
  <r>
    <x v="9"/>
    <x v="126"/>
    <n v="1.2710619999999999"/>
  </r>
  <r>
    <x v="9"/>
    <x v="127"/>
    <n v="1.279299"/>
  </r>
  <r>
    <x v="9"/>
    <x v="128"/>
    <n v="1.285229"/>
  </r>
  <r>
    <x v="9"/>
    <x v="129"/>
    <n v="1.280287"/>
  </r>
  <r>
    <x v="9"/>
    <x v="130"/>
    <n v="1.2750159999999999"/>
  </r>
  <r>
    <x v="9"/>
    <x v="131"/>
    <n v="1.27864"/>
  </r>
  <r>
    <x v="9"/>
    <x v="132"/>
    <n v="1.2954429999999999"/>
  </r>
  <r>
    <x v="9"/>
    <x v="133"/>
    <n v="1.286877"/>
  </r>
  <r>
    <x v="9"/>
    <x v="134"/>
    <n v="1.2924770000000001"/>
  </r>
  <r>
    <x v="9"/>
    <x v="135"/>
    <n v="1.2924770000000001"/>
  </r>
  <r>
    <x v="9"/>
    <x v="136"/>
    <n v="1.3020320000000001"/>
  </r>
  <r>
    <x v="9"/>
    <x v="137"/>
    <n v="1.3112569999999999"/>
  </r>
  <r>
    <x v="9"/>
    <x v="138"/>
    <n v="1.313563"/>
  </r>
  <r>
    <x v="9"/>
    <x v="139"/>
    <n v="1.3082910000000001"/>
  </r>
  <r>
    <x v="9"/>
    <x v="140"/>
    <n v="1.2717210000000001"/>
  </r>
  <r>
    <x v="9"/>
    <x v="141"/>
    <n v="1.252613"/>
  </r>
  <r>
    <x v="9"/>
    <x v="142"/>
    <n v="1.246353"/>
  </r>
  <r>
    <x v="9"/>
    <x v="143"/>
    <n v="1.222302"/>
  </r>
  <r>
    <x v="9"/>
    <x v="144"/>
    <n v="1.1745300000000001"/>
  </r>
  <r>
    <x v="9"/>
    <x v="145"/>
    <n v="1.201217"/>
  </r>
  <r>
    <x v="9"/>
    <x v="146"/>
    <n v="1.213077"/>
  </r>
  <r>
    <x v="9"/>
    <x v="147"/>
    <n v="1.243717"/>
  </r>
  <r>
    <x v="9"/>
    <x v="148"/>
    <n v="1.2236199999999999"/>
  </r>
  <r>
    <x v="9"/>
    <x v="149"/>
    <n v="1.1979219999999999"/>
  </r>
  <r>
    <x v="9"/>
    <x v="150"/>
    <n v="1.1208279999999999"/>
  </r>
  <r>
    <x v="9"/>
    <x v="151"/>
    <n v="1.1050139999999999"/>
  </r>
  <r>
    <x v="9"/>
    <x v="152"/>
    <n v="1.0924940000000001"/>
  </r>
  <r>
    <x v="9"/>
    <x v="153"/>
    <n v="0.94555400000000001"/>
  </r>
  <r>
    <x v="9"/>
    <x v="154"/>
    <n v="0.96696899999999997"/>
  </r>
  <r>
    <x v="9"/>
    <x v="155"/>
    <n v="0.96762800000000004"/>
  </r>
  <r>
    <x v="9"/>
    <x v="156"/>
    <n v="1.074044"/>
  </r>
  <r>
    <x v="9"/>
    <x v="157"/>
    <n v="1.007493"/>
  </r>
  <r>
    <x v="9"/>
    <x v="158"/>
    <n v="1.058889"/>
  </r>
  <r>
    <x v="9"/>
    <x v="159"/>
    <n v="1.068773"/>
  </r>
  <r>
    <x v="9"/>
    <x v="160"/>
    <n v="1.0410980000000001"/>
  </r>
  <r>
    <x v="9"/>
    <x v="161"/>
    <n v="1.0641609999999999"/>
  </r>
  <r>
    <x v="9"/>
    <x v="162"/>
    <n v="1.0753619999999999"/>
  </r>
  <r>
    <x v="9"/>
    <x v="163"/>
    <n v="1.056254"/>
  </r>
  <r>
    <x v="9"/>
    <x v="164"/>
    <n v="1.0312140000000001"/>
  </r>
  <r>
    <x v="9"/>
    <x v="165"/>
    <n v="1.053947"/>
  </r>
  <r>
    <x v="9"/>
    <x v="166"/>
    <n v="1.074044"/>
  </r>
  <r>
    <x v="9"/>
    <x v="167"/>
    <n v="1.090517"/>
  </r>
  <r>
    <x v="9"/>
    <x v="168"/>
    <n v="1.1175330000000001"/>
  </r>
  <r>
    <x v="9"/>
    <x v="169"/>
    <n v="1.4202360000000001"/>
  </r>
  <r>
    <x v="9"/>
    <x v="170"/>
    <n v="1.4072309999999999"/>
  </r>
  <r>
    <x v="9"/>
    <x v="171"/>
    <n v="1.4588030000000001"/>
  </r>
  <r>
    <x v="9"/>
    <x v="172"/>
    <n v="1.457457"/>
  </r>
  <r>
    <x v="9"/>
    <x v="173"/>
    <n v="1.4440040000000001"/>
  </r>
  <r>
    <x v="9"/>
    <x v="174"/>
    <n v="1.465978"/>
  </r>
  <r>
    <x v="9"/>
    <x v="175"/>
    <n v="1.4368289999999999"/>
  </r>
  <r>
    <x v="9"/>
    <x v="176"/>
    <n v="1.445349"/>
  </r>
  <r>
    <x v="9"/>
    <x v="177"/>
    <n v="1.4682200000000001"/>
  </r>
  <r>
    <x v="9"/>
    <x v="178"/>
    <n v="1.4592510000000001"/>
  </r>
  <r>
    <x v="9"/>
    <x v="179"/>
    <n v="1.400056"/>
  </r>
  <r>
    <x v="9"/>
    <x v="180"/>
    <n v="1.391535"/>
  </r>
  <r>
    <x v="9"/>
    <x v="181"/>
    <n v="1.3857060000000001"/>
  </r>
  <r>
    <x v="9"/>
    <x v="182"/>
    <n v="1.397365"/>
  </r>
  <r>
    <x v="9"/>
    <x v="183"/>
    <n v="1.38167"/>
  </r>
  <r>
    <x v="9"/>
    <x v="184"/>
    <n v="1.412612"/>
  </r>
  <r>
    <x v="9"/>
    <x v="185"/>
    <n v="1.4350350000000001"/>
  </r>
  <r>
    <x v="9"/>
    <x v="186"/>
    <n v="1.430102"/>
  </r>
  <r>
    <x v="9"/>
    <x v="187"/>
    <n v="1.362835"/>
  </r>
  <r>
    <x v="9"/>
    <x v="188"/>
    <n v="1.3866019999999999"/>
  </r>
  <r>
    <x v="9"/>
    <x v="189"/>
    <n v="1.3587990000000001"/>
  </r>
  <r>
    <x v="9"/>
    <x v="190"/>
    <n v="1.3677680000000001"/>
  </r>
  <r>
    <x v="9"/>
    <x v="191"/>
    <n v="1.38436"/>
  </r>
  <r>
    <x v="9"/>
    <x v="192"/>
    <n v="1.3709070000000001"/>
  </r>
  <r>
    <x v="9"/>
    <x v="193"/>
    <n v="1.3892929999999999"/>
  </r>
  <r>
    <x v="9"/>
    <x v="194"/>
    <n v="1.345345"/>
  </r>
  <r>
    <x v="9"/>
    <x v="195"/>
    <n v="1.315299"/>
  </r>
  <r>
    <x v="9"/>
    <x v="196"/>
    <n v="1.3099179999999999"/>
  </r>
  <r>
    <x v="9"/>
    <x v="197"/>
    <n v="1.3641799999999999"/>
  </r>
  <r>
    <x v="9"/>
    <x v="198"/>
    <n v="1.3386180000000001"/>
  </r>
  <r>
    <x v="9"/>
    <x v="199"/>
    <n v="1.3368249999999999"/>
  </r>
  <r>
    <x v="9"/>
    <x v="200"/>
    <n v="1.3130569999999999"/>
  </r>
  <r>
    <x v="9"/>
    <x v="201"/>
    <n v="1.3354790000000001"/>
  </r>
  <r>
    <x v="9"/>
    <x v="202"/>
    <n v="1.3561080000000001"/>
  </r>
  <r>
    <x v="9"/>
    <x v="203"/>
    <n v="1.363283"/>
  </r>
  <r>
    <x v="9"/>
    <x v="204"/>
    <n v="1.399159"/>
  </r>
  <r>
    <x v="9"/>
    <x v="205"/>
    <n v="1.382566"/>
  </r>
  <r>
    <x v="9"/>
    <x v="206"/>
    <n v="1.406334"/>
  </r>
  <r>
    <x v="9"/>
    <x v="207"/>
    <n v="1.399159"/>
  </r>
  <r>
    <x v="9"/>
    <x v="208"/>
    <n v="1.4435549999999999"/>
  </r>
  <r>
    <x v="9"/>
    <x v="209"/>
    <n v="1.4408650000000001"/>
  </r>
  <r>
    <x v="9"/>
    <x v="210"/>
    <n v="1.4709110000000001"/>
  </r>
  <r>
    <x v="9"/>
    <x v="211"/>
    <n v="1.4552149999999999"/>
  </r>
  <r>
    <x v="9"/>
    <x v="212"/>
    <n v="1.4327920000000001"/>
  </r>
  <r>
    <x v="9"/>
    <x v="213"/>
    <n v="1.4099219999999999"/>
  </r>
  <r>
    <x v="9"/>
    <x v="214"/>
    <n v="1.350727"/>
  </r>
  <r>
    <x v="9"/>
    <x v="215"/>
    <n v="1.3471390000000001"/>
  </r>
  <r>
    <x v="9"/>
    <x v="216"/>
    <n v="1.3735980000000001"/>
  </r>
  <r>
    <x v="9"/>
    <x v="217"/>
    <n v="1.4529730000000001"/>
  </r>
  <r>
    <x v="9"/>
    <x v="218"/>
    <n v="1.4381740000000001"/>
  </r>
  <r>
    <x v="9"/>
    <x v="219"/>
    <n v="1.4413130000000001"/>
  </r>
  <r>
    <x v="9"/>
    <x v="220"/>
    <n v="1.439519"/>
  </r>
  <r>
    <x v="9"/>
    <x v="221"/>
    <n v="1.496472"/>
  </r>
  <r>
    <x v="9"/>
    <x v="222"/>
    <n v="1.4677720000000001"/>
  </r>
  <r>
    <x v="9"/>
    <x v="223"/>
    <n v="1.5067870000000001"/>
  </r>
  <r>
    <x v="9"/>
    <x v="224"/>
    <n v="1.4892970000000001"/>
  </r>
  <r>
    <x v="9"/>
    <x v="225"/>
    <n v="1.503647"/>
  </r>
  <r>
    <x v="9"/>
    <x v="226"/>
    <n v="1.4910909999999999"/>
  </r>
  <r>
    <x v="9"/>
    <x v="227"/>
    <n v="1.4969209999999999"/>
  </r>
  <r>
    <x v="9"/>
    <x v="228"/>
    <n v="1.497369"/>
  </r>
  <r>
    <x v="9"/>
    <x v="229"/>
    <n v="1.4915389999999999"/>
  </r>
  <r>
    <x v="9"/>
    <x v="230"/>
    <n v="1.50589"/>
  </r>
  <r>
    <x v="9"/>
    <x v="231"/>
    <n v="1.5014050000000001"/>
  </r>
  <r>
    <x v="9"/>
    <x v="232"/>
    <n v="1.499163"/>
  </r>
  <r>
    <x v="9"/>
    <x v="233"/>
    <n v="1.4919880000000001"/>
  </r>
  <r>
    <x v="9"/>
    <x v="234"/>
    <n v="1.4951270000000001"/>
  </r>
  <r>
    <x v="9"/>
    <x v="235"/>
    <n v="1.5130650000000001"/>
  </r>
  <r>
    <x v="9"/>
    <x v="236"/>
    <n v="1.52024"/>
  </r>
  <r>
    <x v="9"/>
    <x v="237"/>
    <n v="1.538626"/>
  </r>
  <r>
    <x v="9"/>
    <x v="238"/>
    <n v="1.5493889999999999"/>
  </r>
  <r>
    <x v="9"/>
    <x v="239"/>
    <n v="1.574951"/>
  </r>
  <r>
    <x v="9"/>
    <x v="240"/>
    <n v="1.578538"/>
  </r>
  <r>
    <x v="9"/>
    <x v="241"/>
    <n v="1.574951"/>
  </r>
  <r>
    <x v="9"/>
    <x v="242"/>
    <n v="1.569121"/>
  </r>
  <r>
    <x v="9"/>
    <x v="243"/>
    <n v="1.5655330000000001"/>
  </r>
  <r>
    <x v="9"/>
    <x v="244"/>
    <n v="1.545353"/>
  </r>
  <r>
    <x v="9"/>
    <x v="245"/>
    <n v="1.535487"/>
  </r>
  <r>
    <x v="9"/>
    <x v="246"/>
    <n v="1.526518"/>
  </r>
  <r>
    <x v="9"/>
    <x v="247"/>
    <n v="1.5314509999999999"/>
  </r>
  <r>
    <x v="9"/>
    <x v="248"/>
    <n v="1.490642"/>
  </r>
  <r>
    <x v="9"/>
    <x v="249"/>
    <n v="1.4825699999999999"/>
  </r>
  <r>
    <x v="9"/>
    <x v="250"/>
    <n v="1.501854"/>
  </r>
  <r>
    <x v="9"/>
    <x v="251"/>
    <n v="1.5103740000000001"/>
  </r>
  <r>
    <x v="9"/>
    <x v="252"/>
    <n v="1.4955750000000001"/>
  </r>
  <r>
    <x v="9"/>
    <x v="253"/>
    <n v="1.4740500000000001"/>
  </r>
  <r>
    <x v="9"/>
    <x v="254"/>
    <n v="1.474947"/>
  </r>
  <r>
    <x v="9"/>
    <x v="255"/>
    <n v="1.4910909999999999"/>
  </r>
  <r>
    <x v="9"/>
    <x v="256"/>
    <n v="1.497369"/>
  </r>
  <r>
    <x v="9"/>
    <x v="257"/>
    <n v="1.5157560000000001"/>
  </r>
  <r>
    <x v="9"/>
    <x v="258"/>
    <n v="1.5040960000000001"/>
  </r>
  <r>
    <x v="9"/>
    <x v="259"/>
    <n v="1.4861580000000001"/>
  </r>
  <r>
    <x v="9"/>
    <x v="260"/>
    <n v="1.4736009999999999"/>
  </r>
  <r>
    <x v="9"/>
    <x v="261"/>
    <n v="1.4641839999999999"/>
  </r>
  <r>
    <x v="9"/>
    <x v="262"/>
    <n v="1.4825699999999999"/>
  </r>
  <r>
    <x v="9"/>
    <x v="263"/>
    <n v="1.4637359999999999"/>
  </r>
  <r>
    <x v="9"/>
    <x v="264"/>
    <n v="1.4520759999999999"/>
  </r>
  <r>
    <x v="9"/>
    <x v="265"/>
    <n v="1.4821219999999999"/>
  </r>
  <r>
    <x v="9"/>
    <x v="266"/>
    <n v="1.4767399999999999"/>
  </r>
  <r>
    <x v="9"/>
    <x v="267"/>
    <n v="1.4731529999999999"/>
  </r>
  <r>
    <x v="9"/>
    <x v="268"/>
    <n v="1.4736009999999999"/>
  </r>
  <r>
    <x v="9"/>
    <x v="269"/>
    <n v="1.4641839999999999"/>
  </r>
  <r>
    <x v="9"/>
    <x v="270"/>
    <n v="1.4507300000000001"/>
  </r>
  <r>
    <x v="9"/>
    <x v="271"/>
    <n v="1.4507300000000001"/>
  </r>
  <r>
    <x v="9"/>
    <x v="272"/>
    <n v="1.4713590000000001"/>
  </r>
  <r>
    <x v="9"/>
    <x v="273"/>
    <n v="1.472256"/>
  </r>
  <r>
    <x v="9"/>
    <x v="274"/>
    <n v="1.478534"/>
  </r>
  <r>
    <x v="9"/>
    <x v="275"/>
    <n v="1.50589"/>
  </r>
  <r>
    <x v="9"/>
    <x v="276"/>
    <n v="1.4852609999999999"/>
  </r>
  <r>
    <x v="9"/>
    <x v="277"/>
    <n v="1.5157560000000001"/>
  </r>
  <r>
    <x v="9"/>
    <x v="278"/>
    <n v="1.503199"/>
  </r>
  <r>
    <x v="9"/>
    <x v="279"/>
    <n v="1.499611"/>
  </r>
  <r>
    <x v="9"/>
    <x v="280"/>
    <n v="1.4888490000000001"/>
  </r>
  <r>
    <x v="9"/>
    <x v="281"/>
    <n v="1.4942299999999999"/>
  </r>
  <r>
    <x v="9"/>
    <x v="282"/>
    <n v="1.521137"/>
  </r>
  <r>
    <x v="9"/>
    <x v="283"/>
    <n v="1.5287599999999999"/>
  </r>
  <r>
    <x v="9"/>
    <x v="284"/>
    <n v="1.5135130000000001"/>
  </r>
  <r>
    <x v="9"/>
    <x v="285"/>
    <n v="1.4897450000000001"/>
  </r>
  <r>
    <x v="9"/>
    <x v="286"/>
    <n v="1.5278640000000001"/>
  </r>
  <r>
    <x v="9"/>
    <x v="287"/>
    <n v="1.5314509999999999"/>
  </r>
  <r>
    <x v="9"/>
    <x v="288"/>
    <n v="1.501854"/>
  </r>
  <r>
    <x v="9"/>
    <x v="289"/>
    <n v="1.4924360000000001"/>
  </r>
  <r>
    <x v="9"/>
    <x v="290"/>
    <n v="1.535039"/>
  </r>
  <r>
    <x v="9"/>
    <x v="291"/>
    <n v="1.5493889999999999"/>
  </r>
  <r>
    <x v="9"/>
    <x v="292"/>
    <n v="1.568673"/>
  </r>
  <r>
    <x v="9"/>
    <x v="293"/>
    <n v="1.554322"/>
  </r>
  <r>
    <x v="9"/>
    <x v="294"/>
    <n v="1.5529770000000001"/>
  </r>
  <r>
    <x v="9"/>
    <x v="295"/>
    <n v="1.5821259999999999"/>
  </r>
  <r>
    <x v="9"/>
    <x v="296"/>
    <n v="1.6426670000000001"/>
  </r>
  <r>
    <x v="9"/>
    <x v="297"/>
    <n v="1.6135170000000001"/>
  </r>
  <r>
    <x v="9"/>
    <x v="298"/>
    <n v="1.638182"/>
  </r>
  <r>
    <x v="9"/>
    <x v="299"/>
    <n v="1.639527"/>
  </r>
  <r>
    <x v="9"/>
    <x v="300"/>
    <n v="1.6556709999999999"/>
  </r>
  <r>
    <x v="9"/>
    <x v="301"/>
    <n v="1.66778"/>
  </r>
  <r>
    <x v="9"/>
    <x v="302"/>
    <n v="1.671367"/>
  </r>
  <r>
    <x v="9"/>
    <x v="303"/>
    <n v="1.660604"/>
  </r>
  <r>
    <x v="9"/>
    <x v="304"/>
    <n v="1.6700219999999999"/>
  </r>
  <r>
    <x v="9"/>
    <x v="305"/>
    <n v="1.669125"/>
  </r>
  <r>
    <x v="9"/>
    <x v="306"/>
    <n v="1.6489450000000001"/>
  </r>
  <r>
    <x v="9"/>
    <x v="307"/>
    <n v="1.6153109999999999"/>
  </r>
  <r>
    <x v="9"/>
    <x v="308"/>
    <n v="2.0547089999999999"/>
  </r>
  <r>
    <x v="9"/>
    <x v="309"/>
    <n v="2.0786220000000002"/>
  </r>
  <r>
    <x v="9"/>
    <x v="310"/>
    <n v="2.05172"/>
  </r>
  <r>
    <x v="9"/>
    <x v="311"/>
    <n v="2.033785"/>
  </r>
  <r>
    <x v="9"/>
    <x v="312"/>
    <n v="1.9668300000000001"/>
  </r>
  <r>
    <x v="9"/>
    <x v="313"/>
    <n v="1.9632430000000001"/>
  </r>
  <r>
    <x v="9"/>
    <x v="314"/>
    <n v="1.9781880000000001"/>
  </r>
  <r>
    <x v="9"/>
    <x v="315"/>
    <n v="2.000308"/>
  </r>
  <r>
    <x v="9"/>
    <x v="316"/>
    <n v="1.9961230000000001"/>
  </r>
  <r>
    <x v="9"/>
    <x v="317"/>
    <n v="2.029601"/>
  </r>
  <r>
    <x v="9"/>
    <x v="318"/>
    <n v="2.0600900000000002"/>
  </r>
  <r>
    <x v="9"/>
    <x v="319"/>
    <n v="2.0218289999999999"/>
  </r>
  <r>
    <x v="9"/>
    <x v="320"/>
    <n v="2.0816110000000001"/>
  </r>
  <r>
    <x v="9"/>
    <x v="321"/>
    <n v="2.0923720000000001"/>
  </r>
  <r>
    <x v="9"/>
    <x v="322"/>
    <n v="2.1204689999999999"/>
  </r>
  <r>
    <x v="9"/>
    <x v="323"/>
    <n v="2.1264479999999999"/>
  </r>
  <r>
    <x v="9"/>
    <x v="324"/>
    <n v="2.103132"/>
  </r>
  <r>
    <x v="9"/>
    <x v="325"/>
    <n v="2.1138940000000002"/>
  </r>
  <r>
    <x v="9"/>
    <x v="326"/>
    <n v="2.1174810000000002"/>
  </r>
  <r>
    <x v="9"/>
    <x v="327"/>
    <n v="2.13123"/>
  </r>
  <r>
    <x v="9"/>
    <x v="328"/>
    <n v="2.1174810000000002"/>
  </r>
  <r>
    <x v="9"/>
    <x v="329"/>
    <n v="2.1623169999999998"/>
  </r>
  <r>
    <x v="9"/>
    <x v="330"/>
    <n v="2.149165"/>
  </r>
  <r>
    <x v="9"/>
    <x v="331"/>
    <n v="2.1509580000000001"/>
  </r>
  <r>
    <x v="9"/>
    <x v="332"/>
    <n v="2.1700889999999999"/>
  </r>
  <r>
    <x v="9"/>
    <x v="333"/>
    <n v="2.1682950000000001"/>
  </r>
  <r>
    <x v="9"/>
    <x v="334"/>
    <n v="2.1706859999999999"/>
  </r>
  <r>
    <x v="9"/>
    <x v="335"/>
    <n v="2.1258499999999998"/>
  </r>
  <r>
    <x v="9"/>
    <x v="336"/>
    <n v="2.127046"/>
  </r>
  <r>
    <x v="9"/>
    <x v="337"/>
    <n v="2.1019369999999999"/>
  </r>
  <r>
    <x v="9"/>
    <x v="338"/>
    <n v="2.528778"/>
  </r>
  <r>
    <x v="9"/>
    <x v="339"/>
    <n v="2.5082430000000002"/>
  </r>
  <r>
    <x v="9"/>
    <x v="340"/>
    <n v="2.5023759999999999"/>
  </r>
  <r>
    <x v="9"/>
    <x v="341"/>
    <n v="2.5361120000000001"/>
  </r>
  <r>
    <x v="9"/>
    <x v="342"/>
    <n v="2.5126439999999999"/>
  </r>
  <r>
    <x v="9"/>
    <x v="343"/>
    <n v="2.515577"/>
  </r>
  <r>
    <x v="9"/>
    <x v="344"/>
    <n v="2.4745059999999999"/>
  </r>
  <r>
    <x v="9"/>
    <x v="345"/>
    <n v="2.4913750000000001"/>
  </r>
  <r>
    <x v="9"/>
    <x v="346"/>
    <n v="2.465706"/>
  </r>
  <r>
    <x v="9"/>
    <x v="347"/>
    <n v="2.4649719999999999"/>
  </r>
  <r>
    <x v="9"/>
    <x v="348"/>
    <n v="2.4649719999999999"/>
  </r>
  <r>
    <x v="9"/>
    <x v="349"/>
    <n v="2.5082430000000002"/>
  </r>
  <r>
    <x v="9"/>
    <x v="350"/>
    <n v="2.4297689999999998"/>
  </r>
  <r>
    <x v="9"/>
    <x v="351"/>
    <n v="2.441503"/>
  </r>
  <r>
    <x v="9"/>
    <x v="352"/>
    <n v="2.4627720000000002"/>
  </r>
  <r>
    <x v="9"/>
    <x v="353"/>
    <n v="2.4679060000000002"/>
  </r>
  <r>
    <x v="9"/>
    <x v="354"/>
    <n v="2.4935749999999999"/>
  </r>
  <r>
    <x v="9"/>
    <x v="355"/>
    <n v="2.478907"/>
  </r>
  <r>
    <x v="9"/>
    <x v="356"/>
    <n v="2.4957750000000001"/>
  </r>
  <r>
    <x v="9"/>
    <x v="357"/>
    <n v="2.4855070000000001"/>
  </r>
  <r>
    <x v="9"/>
    <x v="358"/>
    <n v="2.5199780000000001"/>
  </r>
  <r>
    <x v="9"/>
    <x v="359"/>
    <n v="2.4957750000000001"/>
  </r>
  <r>
    <x v="9"/>
    <x v="360"/>
    <n v="2.4862410000000001"/>
  </r>
  <r>
    <x v="9"/>
    <x v="361"/>
    <n v="2.478907"/>
  </r>
  <r>
    <x v="9"/>
    <x v="362"/>
    <n v="2.4730400000000001"/>
  </r>
  <r>
    <x v="9"/>
    <x v="363"/>
    <n v="2.5214439999999998"/>
  </r>
  <r>
    <x v="9"/>
    <x v="364"/>
    <n v="2.524378"/>
  </r>
  <r>
    <x v="9"/>
    <x v="365"/>
    <n v="2.542713"/>
  </r>
  <r>
    <x v="9"/>
    <x v="366"/>
    <n v="2.5522469999999999"/>
  </r>
  <r>
    <x v="9"/>
    <x v="367"/>
    <n v="2.6615250000000001"/>
  </r>
  <r>
    <x v="9"/>
    <x v="368"/>
    <n v="2.6446559999999999"/>
  </r>
  <r>
    <x v="9"/>
    <x v="369"/>
    <n v="2.6417229999999998"/>
  </r>
  <r>
    <x v="9"/>
    <x v="370"/>
    <n v="2.6549239999999998"/>
  </r>
  <r>
    <x v="9"/>
    <x v="371"/>
    <n v="2.6629909999999999"/>
  </r>
  <r>
    <x v="9"/>
    <x v="372"/>
    <n v="2.7245970000000002"/>
  </r>
  <r>
    <x v="9"/>
    <x v="373"/>
    <n v="2.7348650000000001"/>
  </r>
  <r>
    <x v="9"/>
    <x v="374"/>
    <n v="2.6600579999999998"/>
  </r>
  <r>
    <x v="9"/>
    <x v="375"/>
    <n v="2.6285210000000001"/>
  </r>
  <r>
    <x v="9"/>
    <x v="376"/>
    <n v="2.6329220000000002"/>
  </r>
  <r>
    <x v="9"/>
    <x v="377"/>
    <n v="2.6402559999999999"/>
  </r>
  <r>
    <x v="9"/>
    <x v="378"/>
    <n v="2.6505239999999999"/>
  </r>
  <r>
    <x v="9"/>
    <x v="379"/>
    <n v="2.6285210000000001"/>
  </r>
  <r>
    <x v="9"/>
    <x v="380"/>
    <n v="2.6006520000000002"/>
  </r>
  <r>
    <x v="9"/>
    <x v="381"/>
    <n v="2.5808499999999999"/>
  </r>
  <r>
    <x v="9"/>
    <x v="382"/>
    <n v="2.5859839999999998"/>
  </r>
  <r>
    <x v="9"/>
    <x v="383"/>
    <n v="2.5786500000000001"/>
  </r>
  <r>
    <x v="9"/>
    <x v="384"/>
    <n v="2.5742500000000001"/>
  </r>
  <r>
    <x v="9"/>
    <x v="385"/>
    <n v="2.6057860000000002"/>
  </r>
  <r>
    <x v="9"/>
    <x v="386"/>
    <n v="2.5823170000000002"/>
  </r>
  <r>
    <x v="9"/>
    <x v="387"/>
    <n v="2.5705819999999999"/>
  </r>
  <r>
    <x v="9"/>
    <x v="388"/>
    <n v="2.537579"/>
  </r>
  <r>
    <x v="9"/>
    <x v="389"/>
    <n v="2.5353789999999998"/>
  </r>
  <r>
    <x v="9"/>
    <x v="390"/>
    <n v="2.5280450000000001"/>
  </r>
  <r>
    <x v="9"/>
    <x v="391"/>
    <n v="2.5038429999999998"/>
  </r>
  <r>
    <x v="9"/>
    <x v="392"/>
    <n v="2.4899079999999998"/>
  </r>
  <r>
    <x v="9"/>
    <x v="393"/>
    <n v="2.511177"/>
  </r>
  <r>
    <x v="9"/>
    <x v="394"/>
    <n v="2.4576380000000002"/>
  </r>
  <r>
    <x v="9"/>
    <x v="395"/>
    <n v="2.4979749999999998"/>
  </r>
  <r>
    <x v="9"/>
    <x v="396"/>
    <n v="2.515577"/>
  </r>
  <r>
    <x v="9"/>
    <x v="397"/>
    <n v="2.4701059999999999"/>
  </r>
  <r>
    <x v="9"/>
    <x v="398"/>
    <n v="2.4884409999999999"/>
  </r>
  <r>
    <x v="9"/>
    <x v="399"/>
    <n v="2.506043"/>
  </r>
  <r>
    <x v="9"/>
    <x v="400"/>
    <n v="2.5647150000000001"/>
  </r>
  <r>
    <x v="9"/>
    <x v="401"/>
    <n v="2.5896509999999999"/>
  </r>
  <r>
    <x v="9"/>
    <x v="402"/>
    <n v="2.629988"/>
  </r>
  <r>
    <x v="9"/>
    <x v="403"/>
    <n v="2.630722"/>
  </r>
  <r>
    <x v="9"/>
    <x v="404"/>
    <n v="2.6314549999999999"/>
  </r>
  <r>
    <x v="9"/>
    <x v="405"/>
    <n v="2.6336550000000001"/>
  </r>
  <r>
    <x v="9"/>
    <x v="406"/>
    <n v="2.6615250000000001"/>
  </r>
  <r>
    <x v="9"/>
    <x v="407"/>
    <n v="2.6959949999999999"/>
  </r>
  <r>
    <x v="9"/>
    <x v="408"/>
    <n v="2.6402559999999999"/>
  </r>
  <r>
    <x v="9"/>
    <x v="409"/>
    <n v="2.6343890000000001"/>
  </r>
  <r>
    <x v="9"/>
    <x v="410"/>
    <n v="2.6424560000000001"/>
  </r>
  <r>
    <x v="9"/>
    <x v="411"/>
    <n v="2.7003949999999999"/>
  </r>
  <r>
    <x v="9"/>
    <x v="412"/>
    <n v="2.7341319999999998"/>
  </r>
  <r>
    <x v="9"/>
    <x v="413"/>
    <n v="2.717263"/>
  </r>
  <r>
    <x v="9"/>
    <x v="414"/>
    <n v="2.7480660000000001"/>
  </r>
  <r>
    <x v="9"/>
    <x v="415"/>
    <n v="2.7062620000000002"/>
  </r>
  <r>
    <x v="9"/>
    <x v="416"/>
    <n v="2.6996609999999999"/>
  </r>
  <r>
    <x v="9"/>
    <x v="417"/>
    <n v="2.7084619999999999"/>
  </r>
  <r>
    <x v="9"/>
    <x v="418"/>
    <n v="2.717997"/>
  </r>
  <r>
    <x v="9"/>
    <x v="419"/>
    <n v="2.712129"/>
  </r>
  <r>
    <x v="9"/>
    <x v="420"/>
    <n v="2.7550340000000002"/>
  </r>
  <r>
    <x v="9"/>
    <x v="421"/>
    <n v="2.7664019999999998"/>
  </r>
  <r>
    <x v="9"/>
    <x v="422"/>
    <n v="2.7649349999999999"/>
  </r>
  <r>
    <x v="9"/>
    <x v="423"/>
    <n v="2.7509999999999999"/>
  </r>
  <r>
    <x v="9"/>
    <x v="424"/>
    <n v="3.5825"/>
  </r>
  <r>
    <x v="9"/>
    <x v="425"/>
    <n v="3.5979999999999999"/>
  </r>
  <r>
    <x v="9"/>
    <x v="426"/>
    <n v="3.585"/>
  </r>
  <r>
    <x v="9"/>
    <x v="427"/>
    <n v="3.6074999999999999"/>
  </r>
  <r>
    <x v="9"/>
    <x v="428"/>
    <n v="3.5994999999999999"/>
  </r>
  <r>
    <x v="9"/>
    <x v="429"/>
    <n v="3.5125000000000002"/>
  </r>
  <r>
    <x v="9"/>
    <x v="430"/>
    <n v="3.5245000000000002"/>
  </r>
  <r>
    <x v="9"/>
    <x v="431"/>
    <n v="3.5545"/>
  </r>
  <r>
    <x v="9"/>
    <x v="432"/>
    <n v="3.4655"/>
  </r>
  <r>
    <x v="9"/>
    <x v="433"/>
    <n v="3.4860000000000002"/>
  </r>
  <r>
    <x v="9"/>
    <x v="434"/>
    <n v="3.4780000000000002"/>
  </r>
  <r>
    <x v="9"/>
    <x v="435"/>
    <n v="3.4660000000000002"/>
  </r>
  <r>
    <x v="9"/>
    <x v="436"/>
    <n v="3.4605000000000001"/>
  </r>
  <r>
    <x v="9"/>
    <x v="437"/>
    <n v="3.46"/>
  </r>
  <r>
    <x v="9"/>
    <x v="438"/>
    <n v="3.4714999999999998"/>
  </r>
  <r>
    <x v="9"/>
    <x v="439"/>
    <n v="3.4565000000000001"/>
  </r>
  <r>
    <x v="9"/>
    <x v="440"/>
    <n v="3.5015000000000001"/>
  </r>
  <r>
    <x v="9"/>
    <x v="441"/>
    <n v="3.5514999999999999"/>
  </r>
  <r>
    <x v="9"/>
    <x v="442"/>
    <n v="3.585"/>
  </r>
  <r>
    <x v="9"/>
    <x v="443"/>
    <n v="3.5935000000000001"/>
  </r>
  <r>
    <x v="9"/>
    <x v="444"/>
    <n v="3.5445000000000002"/>
  </r>
  <r>
    <x v="9"/>
    <x v="445"/>
    <n v="3.5950000000000002"/>
  </r>
  <r>
    <x v="9"/>
    <x v="446"/>
    <n v="3.617"/>
  </r>
  <r>
    <x v="9"/>
    <x v="447"/>
    <n v="3.6379999999999999"/>
  </r>
  <r>
    <x v="9"/>
    <x v="448"/>
    <n v="3.6789999999999998"/>
  </r>
  <r>
    <x v="9"/>
    <x v="449"/>
    <n v="3.6324999999999998"/>
  </r>
  <r>
    <x v="9"/>
    <x v="450"/>
    <n v="3.6890000000000001"/>
  </r>
  <r>
    <x v="9"/>
    <x v="451"/>
    <n v="3.714"/>
  </r>
  <r>
    <x v="9"/>
    <x v="452"/>
    <n v="3.702"/>
  </r>
  <r>
    <x v="9"/>
    <x v="453"/>
    <n v="3.7115"/>
  </r>
  <r>
    <x v="9"/>
    <x v="454"/>
    <n v="3.6629999999999998"/>
  </r>
  <r>
    <x v="9"/>
    <x v="455"/>
    <n v="3.6675"/>
  </r>
  <r>
    <x v="9"/>
    <x v="456"/>
    <n v="3.6429999999999998"/>
  </r>
  <r>
    <x v="9"/>
    <x v="457"/>
    <n v="3.57"/>
  </r>
  <r>
    <x v="9"/>
    <x v="458"/>
    <n v="3.5834999999999999"/>
  </r>
  <r>
    <x v="9"/>
    <x v="459"/>
    <n v="3.62"/>
  </r>
  <r>
    <x v="9"/>
    <x v="460"/>
    <n v="3.6055000000000001"/>
  </r>
  <r>
    <x v="9"/>
    <x v="461"/>
    <n v="3.6074999999999999"/>
  </r>
  <r>
    <x v="9"/>
    <x v="462"/>
    <n v="3.6025"/>
  </r>
  <r>
    <x v="9"/>
    <x v="463"/>
    <n v="3.6044999999999998"/>
  </r>
  <r>
    <x v="9"/>
    <x v="464"/>
    <n v="3.62"/>
  </r>
  <r>
    <x v="9"/>
    <x v="465"/>
    <n v="3.6465000000000001"/>
  </r>
  <r>
    <x v="9"/>
    <x v="466"/>
    <n v="3.6255000000000002"/>
  </r>
  <r>
    <x v="9"/>
    <x v="467"/>
    <n v="3.64"/>
  </r>
  <r>
    <x v="9"/>
    <x v="468"/>
    <n v="3.661"/>
  </r>
  <r>
    <x v="9"/>
    <x v="469"/>
    <n v="3.6855000000000002"/>
  </r>
  <r>
    <x v="9"/>
    <x v="470"/>
    <n v="3.6579999999999999"/>
  </r>
  <r>
    <x v="9"/>
    <x v="471"/>
    <n v="3.613"/>
  </r>
  <r>
    <x v="9"/>
    <x v="472"/>
    <n v="3.63"/>
  </r>
  <r>
    <x v="9"/>
    <x v="473"/>
    <n v="3.65"/>
  </r>
  <r>
    <x v="9"/>
    <x v="474"/>
    <n v="3.6065"/>
  </r>
  <r>
    <x v="9"/>
    <x v="475"/>
    <n v="3.6194999999999999"/>
  </r>
  <r>
    <x v="9"/>
    <x v="476"/>
    <n v="3.6315"/>
  </r>
  <r>
    <x v="9"/>
    <x v="477"/>
    <n v="3.64"/>
  </r>
  <r>
    <x v="9"/>
    <x v="478"/>
    <n v="3.7450000000000001"/>
  </r>
  <r>
    <x v="9"/>
    <x v="479"/>
    <n v="3.7225000000000001"/>
  </r>
  <r>
    <x v="9"/>
    <x v="480"/>
    <n v="3.7309999999999999"/>
  </r>
  <r>
    <x v="9"/>
    <x v="481"/>
    <n v="3.74"/>
  </r>
  <r>
    <x v="9"/>
    <x v="482"/>
    <n v="3.7355"/>
  </r>
  <r>
    <x v="9"/>
    <x v="483"/>
    <n v="3.7549999999999999"/>
  </r>
  <r>
    <x v="9"/>
    <x v="484"/>
    <n v="3.7565"/>
  </r>
  <r>
    <x v="9"/>
    <x v="485"/>
    <n v="3.7719999999999998"/>
  </r>
  <r>
    <x v="9"/>
    <x v="486"/>
    <n v="3.8109999999999999"/>
  </r>
  <r>
    <x v="9"/>
    <x v="487"/>
    <n v="3.8054999999999999"/>
  </r>
  <r>
    <x v="9"/>
    <x v="488"/>
    <n v="3.8260000000000001"/>
  </r>
  <r>
    <x v="9"/>
    <x v="489"/>
    <n v="3.8319999999999999"/>
  </r>
  <r>
    <x v="9"/>
    <x v="490"/>
    <n v="3.883"/>
  </r>
  <r>
    <x v="9"/>
    <x v="491"/>
    <n v="3.82"/>
  </r>
  <r>
    <x v="9"/>
    <x v="492"/>
    <n v="3.8515000000000001"/>
  </r>
  <r>
    <x v="9"/>
    <x v="493"/>
    <n v="3.7094999999999998"/>
  </r>
  <r>
    <x v="9"/>
    <x v="494"/>
    <n v="3.7835000000000001"/>
  </r>
  <r>
    <x v="9"/>
    <x v="495"/>
    <n v="3.8075000000000001"/>
  </r>
  <r>
    <x v="9"/>
    <x v="496"/>
    <n v="3.8"/>
  </r>
  <r>
    <x v="9"/>
    <x v="497"/>
    <n v="3.7675000000000001"/>
  </r>
  <r>
    <x v="9"/>
    <x v="498"/>
    <n v="3.7395"/>
  </r>
  <r>
    <x v="9"/>
    <x v="499"/>
    <n v="3.7195"/>
  </r>
  <r>
    <x v="9"/>
    <x v="500"/>
    <n v="3.7025000000000001"/>
  </r>
  <r>
    <x v="10"/>
    <x v="0"/>
    <n v="15.560097000000001"/>
  </r>
  <r>
    <x v="10"/>
    <x v="1"/>
    <n v="15.435686"/>
  </r>
  <r>
    <x v="10"/>
    <x v="2"/>
    <n v="15.053572000000001"/>
  </r>
  <r>
    <x v="10"/>
    <x v="3"/>
    <n v="14.813639"/>
  </r>
  <r>
    <x v="10"/>
    <x v="4"/>
    <n v="14.529273999999999"/>
  </r>
  <r>
    <x v="10"/>
    <x v="5"/>
    <n v="14.573705"/>
  </r>
  <r>
    <x v="10"/>
    <x v="6"/>
    <n v="14.502613999999999"/>
  </r>
  <r>
    <x v="10"/>
    <x v="7"/>
    <n v="14.307115"/>
  </r>
  <r>
    <x v="10"/>
    <x v="8"/>
    <n v="14.564818000000001"/>
  </r>
  <r>
    <x v="10"/>
    <x v="9"/>
    <n v="14.16493"/>
  </r>
  <r>
    <x v="10"/>
    <x v="10"/>
    <n v="13.969431"/>
  </r>
  <r>
    <x v="10"/>
    <x v="11"/>
    <n v="14.333772"/>
  </r>
  <r>
    <x v="10"/>
    <x v="12"/>
    <n v="14.458182000000001"/>
  </r>
  <r>
    <x v="10"/>
    <x v="13"/>
    <n v="14.058293000000001"/>
  </r>
  <r>
    <x v="10"/>
    <x v="14"/>
    <n v="14.5115"/>
  </r>
  <r>
    <x v="10"/>
    <x v="15"/>
    <n v="14.715888"/>
  </r>
  <r>
    <x v="10"/>
    <x v="16"/>
    <n v="14.262681000000001"/>
  </r>
  <r>
    <x v="10"/>
    <x v="17"/>
    <n v="14.271566999999999"/>
  </r>
  <r>
    <x v="10"/>
    <x v="18"/>
    <n v="14.573705"/>
  </r>
  <r>
    <x v="10"/>
    <x v="19"/>
    <n v="14.182703"/>
  </r>
  <r>
    <x v="10"/>
    <x v="20"/>
    <n v="14.395977999999999"/>
  </r>
  <r>
    <x v="10"/>
    <x v="21"/>
    <n v="14.627022999999999"/>
  </r>
  <r>
    <x v="10"/>
    <x v="22"/>
    <n v="15.053572000000001"/>
  </r>
  <r>
    <x v="10"/>
    <x v="23"/>
    <n v="14.911389"/>
  </r>
  <r>
    <x v="10"/>
    <x v="24"/>
    <n v="15.106889000000001"/>
  </r>
  <r>
    <x v="10"/>
    <x v="25"/>
    <n v="15.400141"/>
  </r>
  <r>
    <x v="10"/>
    <x v="26"/>
    <n v="15.462346"/>
  </r>
  <r>
    <x v="10"/>
    <x v="27"/>
    <n v="15.764483"/>
  </r>
  <r>
    <x v="10"/>
    <x v="28"/>
    <n v="15.746712"/>
  </r>
  <r>
    <x v="10"/>
    <x v="29"/>
    <n v="15.897779"/>
  </r>
  <r>
    <x v="10"/>
    <x v="30"/>
    <n v="16.217690999999999"/>
  </r>
  <r>
    <x v="10"/>
    <x v="31"/>
    <n v="16.510940999999999"/>
  </r>
  <r>
    <x v="10"/>
    <x v="32"/>
    <n v="16.61758"/>
  </r>
  <r>
    <x v="10"/>
    <x v="33"/>
    <n v="16.182141999999999"/>
  </r>
  <r>
    <x v="10"/>
    <x v="34"/>
    <n v="16.191030999999999"/>
  </r>
  <r>
    <x v="10"/>
    <x v="35"/>
    <n v="16.093281000000001"/>
  </r>
  <r>
    <x v="10"/>
    <x v="36"/>
    <n v="15.835575"/>
  </r>
  <r>
    <x v="10"/>
    <x v="37"/>
    <n v="15.515663999999999"/>
  </r>
  <r>
    <x v="10"/>
    <x v="38"/>
    <n v="15.364595"/>
  </r>
  <r>
    <x v="10"/>
    <x v="39"/>
    <n v="15.142436"/>
  </r>
  <r>
    <x v="10"/>
    <x v="40"/>
    <n v="15.35571"/>
  </r>
  <r>
    <x v="10"/>
    <x v="41"/>
    <n v="15.471232000000001"/>
  </r>
  <r>
    <x v="10"/>
    <x v="42"/>
    <n v="15.826687"/>
  </r>
  <r>
    <x v="10"/>
    <x v="43"/>
    <n v="15.177982"/>
  </r>
  <r>
    <x v="10"/>
    <x v="44"/>
    <n v="14.715888"/>
  </r>
  <r>
    <x v="10"/>
    <x v="45"/>
    <n v="14.644795999999999"/>
  </r>
  <r>
    <x v="10"/>
    <x v="46"/>
    <n v="14.955821"/>
  </r>
  <r>
    <x v="10"/>
    <x v="47"/>
    <n v="14.884729999999999"/>
  </r>
  <r>
    <x v="10"/>
    <x v="48"/>
    <n v="14.804751"/>
  </r>
  <r>
    <x v="10"/>
    <x v="49"/>
    <n v="15.195753"/>
  </r>
  <r>
    <x v="10"/>
    <x v="50"/>
    <n v="15.453459000000001"/>
  </r>
  <r>
    <x v="10"/>
    <x v="51"/>
    <n v="15.791143999999999"/>
  </r>
  <r>
    <x v="10"/>
    <x v="52"/>
    <n v="15.640074"/>
  </r>
  <r>
    <x v="10"/>
    <x v="53"/>
    <n v="15.844461000000001"/>
  </r>
  <r>
    <x v="10"/>
    <x v="54"/>
    <n v="15.880008"/>
  </r>
  <r>
    <x v="10"/>
    <x v="55"/>
    <n v="15.844461000000001"/>
  </r>
  <r>
    <x v="10"/>
    <x v="56"/>
    <n v="15.764483"/>
  </r>
  <r>
    <x v="10"/>
    <x v="57"/>
    <n v="16.102167000000001"/>
  </r>
  <r>
    <x v="10"/>
    <x v="58"/>
    <n v="16.128826"/>
  </r>
  <r>
    <x v="10"/>
    <x v="59"/>
    <n v="16.128826"/>
  </r>
  <r>
    <x v="10"/>
    <x v="60"/>
    <n v="17.808358999999999"/>
  </r>
  <r>
    <x v="10"/>
    <x v="61"/>
    <n v="17.897223"/>
  </r>
  <r>
    <x v="10"/>
    <x v="62"/>
    <n v="18.394859"/>
  </r>
  <r>
    <x v="10"/>
    <x v="63"/>
    <n v="18.483725"/>
  </r>
  <r>
    <x v="10"/>
    <x v="64"/>
    <n v="18.803633000000001"/>
  </r>
  <r>
    <x v="10"/>
    <x v="65"/>
    <n v="17.808358999999999"/>
  </r>
  <r>
    <x v="10"/>
    <x v="66"/>
    <n v="18.128267000000001"/>
  </r>
  <r>
    <x v="10"/>
    <x v="67"/>
    <n v="18.803633000000001"/>
  </r>
  <r>
    <x v="10"/>
    <x v="68"/>
    <n v="18.839182000000001"/>
  </r>
  <r>
    <x v="10"/>
    <x v="69"/>
    <n v="18.750316999999999"/>
  </r>
  <r>
    <x v="10"/>
    <x v="70"/>
    <n v="18.981363000000002"/>
  </r>
  <r>
    <x v="10"/>
    <x v="71"/>
    <n v="18.999134000000002"/>
  </r>
  <r>
    <x v="10"/>
    <x v="72"/>
    <n v="18.768090999999998"/>
  </r>
  <r>
    <x v="10"/>
    <x v="73"/>
    <n v="18.714770999999999"/>
  </r>
  <r>
    <x v="10"/>
    <x v="74"/>
    <n v="18.394859"/>
  </r>
  <r>
    <x v="10"/>
    <x v="75"/>
    <n v="18.181584999999998"/>
  </r>
  <r>
    <x v="10"/>
    <x v="76"/>
    <n v="18.341540999999999"/>
  </r>
  <r>
    <x v="10"/>
    <x v="77"/>
    <n v="18.092724"/>
  </r>
  <r>
    <x v="10"/>
    <x v="78"/>
    <n v="18.092724"/>
  </r>
  <r>
    <x v="10"/>
    <x v="79"/>
    <n v="17.968312999999998"/>
  </r>
  <r>
    <x v="10"/>
    <x v="80"/>
    <n v="17.843900999999999"/>
  </r>
  <r>
    <x v="10"/>
    <x v="81"/>
    <n v="17.986084000000002"/>
  </r>
  <r>
    <x v="10"/>
    <x v="82"/>
    <n v="18.323768999999999"/>
  </r>
  <r>
    <x v="10"/>
    <x v="83"/>
    <n v="18.039404000000001"/>
  </r>
  <r>
    <x v="10"/>
    <x v="84"/>
    <n v="17.701720999999999"/>
  </r>
  <r>
    <x v="10"/>
    <x v="85"/>
    <n v="17.861675000000002"/>
  </r>
  <r>
    <x v="10"/>
    <x v="86"/>
    <n v="18.057176999999999"/>
  </r>
  <r>
    <x v="10"/>
    <x v="87"/>
    <n v="17.772811999999998"/>
  </r>
  <r>
    <x v="10"/>
    <x v="88"/>
    <n v="17.60397"/>
  </r>
  <r>
    <x v="10"/>
    <x v="89"/>
    <n v="17.763926000000001"/>
  </r>
  <r>
    <x v="10"/>
    <x v="90"/>
    <n v="17.675059999999998"/>
  </r>
  <r>
    <x v="10"/>
    <x v="91"/>
    <n v="17.914991000000001"/>
  </r>
  <r>
    <x v="10"/>
    <x v="92"/>
    <n v="17.986084000000002"/>
  </r>
  <r>
    <x v="10"/>
    <x v="93"/>
    <n v="17.968312999999998"/>
  </r>
  <r>
    <x v="10"/>
    <x v="94"/>
    <n v="18.163815"/>
  </r>
  <r>
    <x v="10"/>
    <x v="95"/>
    <n v="18.572590000000002"/>
  </r>
  <r>
    <x v="10"/>
    <x v="96"/>
    <n v="18.572590000000002"/>
  </r>
  <r>
    <x v="10"/>
    <x v="97"/>
    <n v="19.070225000000001"/>
  </r>
  <r>
    <x v="10"/>
    <x v="98"/>
    <n v="18.803633000000001"/>
  </r>
  <r>
    <x v="10"/>
    <x v="99"/>
    <n v="18.750316999999999"/>
  </r>
  <r>
    <x v="10"/>
    <x v="100"/>
    <n v="19.016908999999998"/>
  </r>
  <r>
    <x v="10"/>
    <x v="101"/>
    <n v="19.052455999999999"/>
  </r>
  <r>
    <x v="10"/>
    <x v="102"/>
    <n v="19.052455999999999"/>
  </r>
  <r>
    <x v="10"/>
    <x v="103"/>
    <n v="18.981363000000002"/>
  </r>
  <r>
    <x v="10"/>
    <x v="104"/>
    <n v="19.283501000000001"/>
  </r>
  <r>
    <x v="10"/>
    <x v="105"/>
    <n v="19.123545"/>
  </r>
  <r>
    <x v="10"/>
    <x v="106"/>
    <n v="18.78586"/>
  </r>
  <r>
    <x v="10"/>
    <x v="107"/>
    <n v="18.78586"/>
  </r>
  <r>
    <x v="10"/>
    <x v="108"/>
    <n v="19.016908999999998"/>
  </r>
  <r>
    <x v="10"/>
    <x v="109"/>
    <n v="19.265726000000001"/>
  </r>
  <r>
    <x v="10"/>
    <x v="110"/>
    <n v="19.336818999999998"/>
  </r>
  <r>
    <x v="10"/>
    <x v="111"/>
    <n v="19.301272999999998"/>
  </r>
  <r>
    <x v="10"/>
    <x v="112"/>
    <n v="19.407909"/>
  </r>
  <r>
    <x v="10"/>
    <x v="113"/>
    <n v="19.692274000000001"/>
  </r>
  <r>
    <x v="10"/>
    <x v="114"/>
    <n v="19.621182999999998"/>
  </r>
  <r>
    <x v="10"/>
    <x v="115"/>
    <n v="19.603411000000001"/>
  </r>
  <r>
    <x v="10"/>
    <x v="116"/>
    <n v="19.301272999999998"/>
  </r>
  <r>
    <x v="10"/>
    <x v="117"/>
    <n v="19.016908999999998"/>
  </r>
  <r>
    <x v="10"/>
    <x v="118"/>
    <n v="18.856953000000001"/>
  </r>
  <r>
    <x v="10"/>
    <x v="119"/>
    <n v="18.412631999999999"/>
  </r>
  <r>
    <x v="10"/>
    <x v="120"/>
    <n v="17.648401"/>
  </r>
  <r>
    <x v="10"/>
    <x v="121"/>
    <n v="17.763926000000001"/>
  </r>
  <r>
    <x v="10"/>
    <x v="122"/>
    <n v="17.932766000000001"/>
  </r>
  <r>
    <x v="10"/>
    <x v="123"/>
    <n v="17.559538"/>
  </r>
  <r>
    <x v="10"/>
    <x v="124"/>
    <n v="17.408470000000001"/>
  </r>
  <r>
    <x v="10"/>
    <x v="125"/>
    <n v="17.843900999999999"/>
  </r>
  <r>
    <x v="10"/>
    <x v="126"/>
    <n v="18.572590000000002"/>
  </r>
  <r>
    <x v="10"/>
    <x v="127"/>
    <n v="21.274056999999999"/>
  </r>
  <r>
    <x v="10"/>
    <x v="128"/>
    <n v="21.682829000000002"/>
  </r>
  <r>
    <x v="10"/>
    <x v="129"/>
    <n v="21.469557000000002"/>
  </r>
  <r>
    <x v="10"/>
    <x v="130"/>
    <n v="21.238507999999999"/>
  </r>
  <r>
    <x v="10"/>
    <x v="131"/>
    <n v="21.593966000000002"/>
  </r>
  <r>
    <x v="10"/>
    <x v="132"/>
    <n v="21.736149000000001"/>
  </r>
  <r>
    <x v="10"/>
    <x v="133"/>
    <n v="21.309601000000001"/>
  </r>
  <r>
    <x v="10"/>
    <x v="134"/>
    <n v="21.469557000000002"/>
  </r>
  <r>
    <x v="10"/>
    <x v="135"/>
    <n v="21.327373999999999"/>
  </r>
  <r>
    <x v="10"/>
    <x v="136"/>
    <n v="21.043009000000001"/>
  </r>
  <r>
    <x v="10"/>
    <x v="137"/>
    <n v="21.380693000000001"/>
  </r>
  <r>
    <x v="10"/>
    <x v="138"/>
    <n v="20.847507"/>
  </r>
  <r>
    <x v="10"/>
    <x v="139"/>
    <n v="20.189914999999999"/>
  </r>
  <r>
    <x v="10"/>
    <x v="140"/>
    <n v="19.816685"/>
  </r>
  <r>
    <x v="10"/>
    <x v="141"/>
    <n v="19.319046"/>
  </r>
  <r>
    <x v="10"/>
    <x v="142"/>
    <n v="19.976641000000001"/>
  </r>
  <r>
    <x v="10"/>
    <x v="143"/>
    <n v="19.514547"/>
  </r>
  <r>
    <x v="10"/>
    <x v="144"/>
    <n v="18.981363000000002"/>
  </r>
  <r>
    <x v="10"/>
    <x v="145"/>
    <n v="18.519268"/>
  </r>
  <r>
    <x v="10"/>
    <x v="146"/>
    <n v="18.856953000000001"/>
  </r>
  <r>
    <x v="10"/>
    <x v="147"/>
    <n v="19.123545"/>
  </r>
  <r>
    <x v="10"/>
    <x v="148"/>
    <n v="17.861675000000002"/>
  </r>
  <r>
    <x v="10"/>
    <x v="149"/>
    <n v="17.710608000000001"/>
  </r>
  <r>
    <x v="10"/>
    <x v="150"/>
    <n v="16.102167000000001"/>
  </r>
  <r>
    <x v="10"/>
    <x v="151"/>
    <n v="16.608694"/>
  </r>
  <r>
    <x v="10"/>
    <x v="152"/>
    <n v="16.626465"/>
  </r>
  <r>
    <x v="10"/>
    <x v="153"/>
    <n v="15.115777"/>
  </r>
  <r>
    <x v="10"/>
    <x v="154"/>
    <n v="14.778091999999999"/>
  </r>
  <r>
    <x v="10"/>
    <x v="155"/>
    <n v="13.445131"/>
  </r>
  <r>
    <x v="10"/>
    <x v="156"/>
    <n v="12.592036999999999"/>
  </r>
  <r>
    <x v="10"/>
    <x v="157"/>
    <n v="12.467627"/>
  </r>
  <r>
    <x v="10"/>
    <x v="158"/>
    <n v="13.329609"/>
  </r>
  <r>
    <x v="10"/>
    <x v="159"/>
    <n v="14.765826000000001"/>
  </r>
  <r>
    <x v="10"/>
    <x v="160"/>
    <n v="13.414092"/>
  </r>
  <r>
    <x v="10"/>
    <x v="161"/>
    <n v="15.216405"/>
  </r>
  <r>
    <x v="10"/>
    <x v="162"/>
    <n v="15.300888"/>
  </r>
  <r>
    <x v="10"/>
    <x v="163"/>
    <n v="15.498017000000001"/>
  </r>
  <r>
    <x v="10"/>
    <x v="164"/>
    <n v="15.413534"/>
  </r>
  <r>
    <x v="10"/>
    <x v="165"/>
    <n v="15.713919000000001"/>
  </r>
  <r>
    <x v="10"/>
    <x v="166"/>
    <n v="16.774656"/>
  </r>
  <r>
    <x v="10"/>
    <x v="167"/>
    <n v="16.718332"/>
  </r>
  <r>
    <x v="10"/>
    <x v="168"/>
    <n v="17.164217000000001"/>
  </r>
  <r>
    <x v="10"/>
    <x v="169"/>
    <n v="17.201767"/>
  </r>
  <r>
    <x v="10"/>
    <x v="170"/>
    <n v="18.074760000000001"/>
  </r>
  <r>
    <x v="10"/>
    <x v="171"/>
    <n v="17.896408000000001"/>
  </r>
  <r>
    <x v="10"/>
    <x v="172"/>
    <n v="17.760296"/>
  </r>
  <r>
    <x v="10"/>
    <x v="173"/>
    <n v="17.445827000000001"/>
  </r>
  <r>
    <x v="10"/>
    <x v="174"/>
    <n v="17.783764000000001"/>
  </r>
  <r>
    <x v="10"/>
    <x v="175"/>
    <n v="17.117284999999999"/>
  </r>
  <r>
    <x v="10"/>
    <x v="176"/>
    <n v="16.417947999999999"/>
  </r>
  <r>
    <x v="10"/>
    <x v="177"/>
    <n v="17.351959000000001"/>
  </r>
  <r>
    <x v="10"/>
    <x v="178"/>
    <n v="17.370730999999999"/>
  </r>
  <r>
    <x v="10"/>
    <x v="179"/>
    <n v="16.718332"/>
  </r>
  <r>
    <x v="10"/>
    <x v="180"/>
    <n v="16.971782999999999"/>
  </r>
  <r>
    <x v="10"/>
    <x v="181"/>
    <n v="17.652343999999999"/>
  </r>
  <r>
    <x v="10"/>
    <x v="182"/>
    <n v="18.356373000000001"/>
  </r>
  <r>
    <x v="10"/>
    <x v="183"/>
    <n v="18.497177000000001"/>
  </r>
  <r>
    <x v="10"/>
    <x v="184"/>
    <n v="19.046322"/>
  </r>
  <r>
    <x v="10"/>
    <x v="185"/>
    <n v="19.909929000000002"/>
  </r>
  <r>
    <x v="10"/>
    <x v="186"/>
    <n v="19.618931"/>
  </r>
  <r>
    <x v="10"/>
    <x v="187"/>
    <n v="18.614516999999999"/>
  </r>
  <r>
    <x v="10"/>
    <x v="188"/>
    <n v="19.534448999999999"/>
  </r>
  <r>
    <x v="10"/>
    <x v="189"/>
    <n v="19.609542999999999"/>
  </r>
  <r>
    <x v="10"/>
    <x v="190"/>
    <n v="20.013186999999999"/>
  </r>
  <r>
    <x v="10"/>
    <x v="191"/>
    <n v="20.276026000000002"/>
  </r>
  <r>
    <x v="10"/>
    <x v="192"/>
    <n v="20.229088000000001"/>
  </r>
  <r>
    <x v="10"/>
    <x v="193"/>
    <n v="19.956865000000001"/>
  </r>
  <r>
    <x v="10"/>
    <x v="194"/>
    <n v="19.318546000000001"/>
  </r>
  <r>
    <x v="10"/>
    <x v="195"/>
    <n v="18.764709"/>
  </r>
  <r>
    <x v="10"/>
    <x v="196"/>
    <n v="19.008772"/>
  </r>
  <r>
    <x v="10"/>
    <x v="197"/>
    <n v="20.13522"/>
  </r>
  <r>
    <x v="10"/>
    <x v="198"/>
    <n v="20.341733999999999"/>
  </r>
  <r>
    <x v="10"/>
    <x v="199"/>
    <n v="20.829861000000001"/>
  </r>
  <r>
    <x v="10"/>
    <x v="200"/>
    <n v="20.876797"/>
  </r>
  <r>
    <x v="10"/>
    <x v="201"/>
    <n v="21.149021000000001"/>
  </r>
  <r>
    <x v="10"/>
    <x v="202"/>
    <n v="21.477568000000002"/>
  </r>
  <r>
    <x v="10"/>
    <x v="203"/>
    <n v="21.731016"/>
  </r>
  <r>
    <x v="10"/>
    <x v="204"/>
    <n v="22.162821000000001"/>
  </r>
  <r>
    <x v="10"/>
    <x v="205"/>
    <n v="21.946918"/>
  </r>
  <r>
    <x v="10"/>
    <x v="206"/>
    <n v="22.115884999999999"/>
  </r>
  <r>
    <x v="10"/>
    <x v="207"/>
    <n v="22.359949"/>
  </r>
  <r>
    <x v="10"/>
    <x v="208"/>
    <n v="22.876238000000001"/>
  </r>
  <r>
    <x v="10"/>
    <x v="209"/>
    <n v="22.585238"/>
  </r>
  <r>
    <x v="10"/>
    <x v="210"/>
    <n v="22.838688000000001"/>
  </r>
  <r>
    <x v="10"/>
    <x v="211"/>
    <n v="23.195395999999999"/>
  </r>
  <r>
    <x v="10"/>
    <x v="212"/>
    <n v="22.998267999999999"/>
  </r>
  <r>
    <x v="10"/>
    <x v="213"/>
    <n v="22.763591999999999"/>
  </r>
  <r>
    <x v="10"/>
    <x v="214"/>
    <n v="21.909369999999999"/>
  </r>
  <r>
    <x v="10"/>
    <x v="215"/>
    <n v="21.768566"/>
  </r>
  <r>
    <x v="10"/>
    <x v="216"/>
    <n v="22.040790999999999"/>
  </r>
  <r>
    <x v="10"/>
    <x v="217"/>
    <n v="22.988882"/>
  </r>
  <r>
    <x v="10"/>
    <x v="218"/>
    <n v="22.387229999999999"/>
  </r>
  <r>
    <x v="10"/>
    <x v="219"/>
    <n v="21.931141"/>
  </r>
  <r>
    <x v="10"/>
    <x v="220"/>
    <n v="21.853508000000001"/>
  </r>
  <r>
    <x v="10"/>
    <x v="221"/>
    <n v="22.426048000000002"/>
  </r>
  <r>
    <x v="10"/>
    <x v="222"/>
    <n v="21.78558"/>
  </r>
  <r>
    <x v="10"/>
    <x v="223"/>
    <n v="22.377524999999999"/>
  </r>
  <r>
    <x v="10"/>
    <x v="224"/>
    <n v="22.115518999999999"/>
  </r>
  <r>
    <x v="10"/>
    <x v="225"/>
    <n v="22.493974999999999"/>
  </r>
  <r>
    <x v="10"/>
    <x v="226"/>
    <n v="22.542496"/>
  </r>
  <r>
    <x v="10"/>
    <x v="227"/>
    <n v="22.445454000000002"/>
  </r>
  <r>
    <x v="10"/>
    <x v="228"/>
    <n v="22.717168999999998"/>
  </r>
  <r>
    <x v="10"/>
    <x v="229"/>
    <n v="22.736575999999999"/>
  </r>
  <r>
    <x v="10"/>
    <x v="230"/>
    <n v="23.435265999999999"/>
  </r>
  <r>
    <x v="10"/>
    <x v="231"/>
    <n v="23.231483000000001"/>
  </r>
  <r>
    <x v="10"/>
    <x v="232"/>
    <n v="22.726870999999999"/>
  </r>
  <r>
    <x v="10"/>
    <x v="233"/>
    <n v="22.649239999999999"/>
  </r>
  <r>
    <x v="10"/>
    <x v="234"/>
    <n v="22.513383999999999"/>
  </r>
  <r>
    <x v="10"/>
    <x v="235"/>
    <n v="23.231483000000001"/>
  </r>
  <r>
    <x v="10"/>
    <x v="236"/>
    <n v="23.105329999999999"/>
  </r>
  <r>
    <x v="10"/>
    <x v="237"/>
    <n v="21.834101"/>
  </r>
  <r>
    <x v="10"/>
    <x v="238"/>
    <n v="21.853508000000001"/>
  </r>
  <r>
    <x v="10"/>
    <x v="239"/>
    <n v="21.989364999999999"/>
  </r>
  <r>
    <x v="10"/>
    <x v="240"/>
    <n v="21.911732000000001"/>
  </r>
  <r>
    <x v="10"/>
    <x v="241"/>
    <n v="22.202852"/>
  </r>
  <r>
    <x v="10"/>
    <x v="242"/>
    <n v="22.600721"/>
  </r>
  <r>
    <x v="10"/>
    <x v="243"/>
    <n v="21.979659999999999"/>
  </r>
  <r>
    <x v="10"/>
    <x v="244"/>
    <n v="23.289707"/>
  </r>
  <r>
    <x v="10"/>
    <x v="245"/>
    <n v="23.774908"/>
  </r>
  <r>
    <x v="10"/>
    <x v="246"/>
    <n v="23.386747"/>
  </r>
  <r>
    <x v="10"/>
    <x v="247"/>
    <n v="23.503195000000002"/>
  </r>
  <r>
    <x v="10"/>
    <x v="248"/>
    <n v="22.930655999999999"/>
  </r>
  <r>
    <x v="10"/>
    <x v="249"/>
    <n v="23.008289000000001"/>
  </r>
  <r>
    <x v="10"/>
    <x v="250"/>
    <n v="23.580828"/>
  </r>
  <r>
    <x v="10"/>
    <x v="251"/>
    <n v="22.853024000000001"/>
  </r>
  <r>
    <x v="10"/>
    <x v="252"/>
    <n v="23.289707"/>
  </r>
  <r>
    <x v="10"/>
    <x v="253"/>
    <n v="23.017992"/>
  </r>
  <r>
    <x v="10"/>
    <x v="254"/>
    <n v="23.144145999999999"/>
  </r>
  <r>
    <x v="10"/>
    <x v="255"/>
    <n v="22.998587000000001"/>
  </r>
  <r>
    <x v="10"/>
    <x v="256"/>
    <n v="23.464379999999998"/>
  </r>
  <r>
    <x v="10"/>
    <x v="257"/>
    <n v="23.609940000000002"/>
  </r>
  <r>
    <x v="10"/>
    <x v="258"/>
    <n v="22.950066"/>
  </r>
  <r>
    <x v="10"/>
    <x v="259"/>
    <n v="22.435751"/>
  </r>
  <r>
    <x v="10"/>
    <x v="260"/>
    <n v="22.377524999999999"/>
  </r>
  <r>
    <x v="10"/>
    <x v="261"/>
    <n v="22.319302"/>
  </r>
  <r>
    <x v="10"/>
    <x v="262"/>
    <n v="22.688054999999999"/>
  </r>
  <r>
    <x v="10"/>
    <x v="263"/>
    <n v="22.348414999999999"/>
  </r>
  <r>
    <x v="10"/>
    <x v="264"/>
    <n v="22.222261"/>
  </r>
  <r>
    <x v="10"/>
    <x v="265"/>
    <n v="22.658944999999999"/>
  </r>
  <r>
    <x v="10"/>
    <x v="266"/>
    <n v="22.668648000000001"/>
  </r>
  <r>
    <x v="10"/>
    <x v="267"/>
    <n v="23.105329999999999"/>
  </r>
  <r>
    <x v="10"/>
    <x v="268"/>
    <n v="22.765688000000001"/>
  </r>
  <r>
    <x v="10"/>
    <x v="269"/>
    <n v="22.125221"/>
  </r>
  <r>
    <x v="10"/>
    <x v="270"/>
    <n v="22.241671"/>
  </r>
  <r>
    <x v="10"/>
    <x v="271"/>
    <n v="21.931141"/>
  </r>
  <r>
    <x v="10"/>
    <x v="272"/>
    <n v="21.630316000000001"/>
  </r>
  <r>
    <x v="10"/>
    <x v="273"/>
    <n v="21.300379"/>
  </r>
  <r>
    <x v="10"/>
    <x v="274"/>
    <n v="21.882619999999999"/>
  </r>
  <r>
    <x v="10"/>
    <x v="275"/>
    <n v="22.251374999999999"/>
  </r>
  <r>
    <x v="10"/>
    <x v="276"/>
    <n v="21.921436"/>
  </r>
  <r>
    <x v="10"/>
    <x v="277"/>
    <n v="22.843321"/>
  </r>
  <r>
    <x v="10"/>
    <x v="278"/>
    <n v="22.600721"/>
  </r>
  <r>
    <x v="10"/>
    <x v="279"/>
    <n v="22.416343999999999"/>
  </r>
  <r>
    <x v="10"/>
    <x v="280"/>
    <n v="22.076699999999999"/>
  </r>
  <r>
    <x v="10"/>
    <x v="281"/>
    <n v="22.493974999999999"/>
  </r>
  <r>
    <x v="10"/>
    <x v="282"/>
    <n v="22.610422"/>
  </r>
  <r>
    <x v="10"/>
    <x v="283"/>
    <n v="22.658944999999999"/>
  </r>
  <r>
    <x v="10"/>
    <x v="284"/>
    <n v="22.668648000000001"/>
  </r>
  <r>
    <x v="10"/>
    <x v="285"/>
    <n v="21.659427999999998"/>
  </r>
  <r>
    <x v="10"/>
    <x v="286"/>
    <n v="22.076699999999999"/>
  </r>
  <r>
    <x v="10"/>
    <x v="287"/>
    <n v="21.756468000000002"/>
  </r>
  <r>
    <x v="10"/>
    <x v="288"/>
    <n v="21.591498999999999"/>
  </r>
  <r>
    <x v="10"/>
    <x v="289"/>
    <n v="21.678834999999999"/>
  </r>
  <r>
    <x v="10"/>
    <x v="290"/>
    <n v="22.066998000000002"/>
  </r>
  <r>
    <x v="10"/>
    <x v="291"/>
    <n v="20.989847000000001"/>
  </r>
  <r>
    <x v="10"/>
    <x v="292"/>
    <n v="20.504643999999999"/>
  </r>
  <r>
    <x v="10"/>
    <x v="293"/>
    <n v="20.524054"/>
  </r>
  <r>
    <x v="10"/>
    <x v="294"/>
    <n v="20.165005000000001"/>
  </r>
  <r>
    <x v="10"/>
    <x v="295"/>
    <n v="20.310566000000001"/>
  </r>
  <r>
    <x v="10"/>
    <x v="296"/>
    <n v="20.271747999999999"/>
  </r>
  <r>
    <x v="10"/>
    <x v="297"/>
    <n v="20.184411999999998"/>
  </r>
  <r>
    <x v="10"/>
    <x v="298"/>
    <n v="20.786064"/>
  </r>
  <r>
    <x v="10"/>
    <x v="299"/>
    <n v="20.689022000000001"/>
  </r>
  <r>
    <x v="10"/>
    <x v="300"/>
    <n v="20.630797999999999"/>
  </r>
  <r>
    <x v="10"/>
    <x v="301"/>
    <n v="20.436717999999999"/>
  </r>
  <r>
    <x v="10"/>
    <x v="302"/>
    <n v="20.533757999999999"/>
  </r>
  <r>
    <x v="10"/>
    <x v="303"/>
    <n v="19.922402999999999"/>
  </r>
  <r>
    <x v="10"/>
    <x v="304"/>
    <n v="20.165005000000001"/>
  </r>
  <r>
    <x v="10"/>
    <x v="305"/>
    <n v="20.126187999999999"/>
  </r>
  <r>
    <x v="10"/>
    <x v="306"/>
    <n v="19.805954"/>
  </r>
  <r>
    <x v="10"/>
    <x v="307"/>
    <n v="19.476016999999999"/>
  </r>
  <r>
    <x v="10"/>
    <x v="308"/>
    <n v="19.679801999999999"/>
  </r>
  <r>
    <x v="10"/>
    <x v="309"/>
    <n v="19.815659"/>
  </r>
  <r>
    <x v="10"/>
    <x v="310"/>
    <n v="19.893291000000001"/>
  </r>
  <r>
    <x v="10"/>
    <x v="311"/>
    <n v="19.650690000000001"/>
  </r>
  <r>
    <x v="10"/>
    <x v="312"/>
    <n v="19.524538"/>
  </r>
  <r>
    <x v="10"/>
    <x v="313"/>
    <n v="19.340160000000001"/>
  </r>
  <r>
    <x v="10"/>
    <x v="314"/>
    <n v="19.873881999999998"/>
  </r>
  <r>
    <x v="10"/>
    <x v="315"/>
    <n v="19.922402999999999"/>
  </r>
  <r>
    <x v="10"/>
    <x v="316"/>
    <n v="20.213524"/>
  </r>
  <r>
    <x v="10"/>
    <x v="317"/>
    <n v="20.368790000000001"/>
  </r>
  <r>
    <x v="10"/>
    <x v="318"/>
    <n v="20.630797999999999"/>
  </r>
  <r>
    <x v="10"/>
    <x v="319"/>
    <n v="20.543462999999999"/>
  </r>
  <r>
    <x v="10"/>
    <x v="320"/>
    <n v="21.465347000000001"/>
  </r>
  <r>
    <x v="10"/>
    <x v="321"/>
    <n v="21.834101"/>
  </r>
  <r>
    <x v="10"/>
    <x v="322"/>
    <n v="21.16452"/>
  </r>
  <r>
    <x v="10"/>
    <x v="323"/>
    <n v="20.815176000000001"/>
  </r>
  <r>
    <x v="10"/>
    <x v="324"/>
    <n v="21.028663999999999"/>
  </r>
  <r>
    <x v="10"/>
    <x v="325"/>
    <n v="21.775877000000001"/>
  </r>
  <r>
    <x v="10"/>
    <x v="326"/>
    <n v="21.562386"/>
  </r>
  <r>
    <x v="10"/>
    <x v="327"/>
    <n v="21.358602999999999"/>
  </r>
  <r>
    <x v="10"/>
    <x v="328"/>
    <n v="20.659911999999998"/>
  </r>
  <r>
    <x v="10"/>
    <x v="329"/>
    <n v="20.582277000000001"/>
  </r>
  <r>
    <x v="10"/>
    <x v="330"/>
    <n v="20.572575000000001"/>
  </r>
  <r>
    <x v="10"/>
    <x v="331"/>
    <n v="20.669615"/>
  </r>
  <r>
    <x v="10"/>
    <x v="332"/>
    <n v="20.844287999999999"/>
  </r>
  <r>
    <x v="10"/>
    <x v="333"/>
    <n v="20.960737000000002"/>
  </r>
  <r>
    <x v="10"/>
    <x v="334"/>
    <n v="20.815176000000001"/>
  </r>
  <r>
    <x v="10"/>
    <x v="335"/>
    <n v="20.582277000000001"/>
  </r>
  <r>
    <x v="10"/>
    <x v="336"/>
    <n v="21.13541"/>
  </r>
  <r>
    <x v="10"/>
    <x v="337"/>
    <n v="21.077185"/>
  </r>
  <r>
    <x v="10"/>
    <x v="338"/>
    <n v="21.018961000000001"/>
  </r>
  <r>
    <x v="10"/>
    <x v="339"/>
    <n v="20.951032999999999"/>
  </r>
  <r>
    <x v="10"/>
    <x v="340"/>
    <n v="20.892809"/>
  </r>
  <r>
    <x v="10"/>
    <x v="341"/>
    <n v="21.077185"/>
  </r>
  <r>
    <x v="10"/>
    <x v="342"/>
    <n v="21.523571"/>
  </r>
  <r>
    <x v="10"/>
    <x v="343"/>
    <n v="21.863212999999998"/>
  </r>
  <r>
    <x v="10"/>
    <x v="344"/>
    <n v="21.348897999999998"/>
  </r>
  <r>
    <x v="10"/>
    <x v="345"/>
    <n v="21.368307000000001"/>
  </r>
  <r>
    <x v="10"/>
    <x v="346"/>
    <n v="21.513866"/>
  </r>
  <r>
    <x v="10"/>
    <x v="347"/>
    <n v="22.212557"/>
  </r>
  <r>
    <x v="10"/>
    <x v="348"/>
    <n v="21.756468000000002"/>
  </r>
  <r>
    <x v="10"/>
    <x v="349"/>
    <n v="22.047588000000001"/>
  </r>
  <r>
    <x v="10"/>
    <x v="350"/>
    <n v="21.213041"/>
  </r>
  <r>
    <x v="10"/>
    <x v="351"/>
    <n v="21.872917000000001"/>
  </r>
  <r>
    <x v="10"/>
    <x v="352"/>
    <n v="21.902027"/>
  </r>
  <r>
    <x v="10"/>
    <x v="353"/>
    <n v="22.290189999999999"/>
  </r>
  <r>
    <x v="10"/>
    <x v="354"/>
    <n v="22.600721"/>
  </r>
  <r>
    <x v="10"/>
    <x v="355"/>
    <n v="22.668648000000001"/>
  </r>
  <r>
    <x v="10"/>
    <x v="356"/>
    <n v="22.979177"/>
  </r>
  <r>
    <x v="10"/>
    <x v="357"/>
    <n v="22.435751"/>
  </r>
  <r>
    <x v="10"/>
    <x v="358"/>
    <n v="22.755984999999999"/>
  </r>
  <r>
    <x v="10"/>
    <x v="359"/>
    <n v="23.163554999999999"/>
  </r>
  <r>
    <x v="10"/>
    <x v="360"/>
    <n v="22.930655999999999"/>
  </r>
  <r>
    <x v="10"/>
    <x v="361"/>
    <n v="23.464379999999998"/>
  </r>
  <r>
    <x v="10"/>
    <x v="362"/>
    <n v="23.415859000000001"/>
  </r>
  <r>
    <x v="10"/>
    <x v="363"/>
    <n v="24.066029"/>
  </r>
  <r>
    <x v="10"/>
    <x v="364"/>
    <n v="23.978693"/>
  </r>
  <r>
    <x v="10"/>
    <x v="365"/>
    <n v="24.463895999999998"/>
  </r>
  <r>
    <x v="10"/>
    <x v="366"/>
    <n v="25.075251000000002"/>
  </r>
  <r>
    <x v="10"/>
    <x v="367"/>
    <n v="25.541043999999999"/>
  </r>
  <r>
    <x v="10"/>
    <x v="368"/>
    <n v="25.764236"/>
  </r>
  <r>
    <x v="10"/>
    <x v="369"/>
    <n v="25.618677000000002"/>
  </r>
  <r>
    <x v="10"/>
    <x v="370"/>
    <n v="25.599267999999999"/>
  </r>
  <r>
    <x v="10"/>
    <x v="371"/>
    <n v="25.560452999999999"/>
  </r>
  <r>
    <x v="10"/>
    <x v="372"/>
    <n v="26.375592999999999"/>
  </r>
  <r>
    <x v="10"/>
    <x v="373"/>
    <n v="26.220329"/>
  </r>
  <r>
    <x v="10"/>
    <x v="374"/>
    <n v="25.667197999999999"/>
  </r>
  <r>
    <x v="10"/>
    <x v="375"/>
    <n v="25.647789"/>
  </r>
  <r>
    <x v="10"/>
    <x v="376"/>
    <n v="25.851573999999999"/>
  </r>
  <r>
    <x v="10"/>
    <x v="377"/>
    <n v="26.045656000000001"/>
  </r>
  <r>
    <x v="10"/>
    <x v="378"/>
    <n v="27.190733000000002"/>
  </r>
  <r>
    <x v="10"/>
    <x v="379"/>
    <n v="26.540562000000001"/>
  </r>
  <r>
    <x v="10"/>
    <x v="380"/>
    <n v="26.443521"/>
  </r>
  <r>
    <x v="10"/>
    <x v="381"/>
    <n v="26.045656000000001"/>
  </r>
  <r>
    <x v="10"/>
    <x v="382"/>
    <n v="26.249438999999999"/>
  </r>
  <r>
    <x v="10"/>
    <x v="383"/>
    <n v="26.889906"/>
  </r>
  <r>
    <x v="10"/>
    <x v="384"/>
    <n v="26.909314999999999"/>
  </r>
  <r>
    <x v="10"/>
    <x v="385"/>
    <n v="26.686122999999998"/>
  </r>
  <r>
    <x v="10"/>
    <x v="386"/>
    <n v="27.151917000000001"/>
  </r>
  <r>
    <x v="10"/>
    <x v="387"/>
    <n v="26.666713999999999"/>
  </r>
  <r>
    <x v="10"/>
    <x v="388"/>
    <n v="26.579377999999998"/>
  </r>
  <r>
    <x v="10"/>
    <x v="389"/>
    <n v="26.773458000000002"/>
  </r>
  <r>
    <x v="10"/>
    <x v="390"/>
    <n v="26.724938999999999"/>
  </r>
  <r>
    <x v="10"/>
    <x v="391"/>
    <n v="26.375592999999999"/>
  </r>
  <r>
    <x v="10"/>
    <x v="392"/>
    <n v="27.151917000000001"/>
  </r>
  <r>
    <x v="10"/>
    <x v="393"/>
    <n v="27.753567"/>
  </r>
  <r>
    <x v="10"/>
    <x v="394"/>
    <n v="26.996651"/>
  </r>
  <r>
    <x v="10"/>
    <x v="395"/>
    <n v="27.753567"/>
  </r>
  <r>
    <x v="10"/>
    <x v="396"/>
    <n v="27.821494999999999"/>
  </r>
  <r>
    <x v="10"/>
    <x v="397"/>
    <n v="28.335809999999999"/>
  </r>
  <r>
    <x v="10"/>
    <x v="398"/>
    <n v="27.200437999999998"/>
  </r>
  <r>
    <x v="10"/>
    <x v="399"/>
    <n v="27.045173999999999"/>
  </r>
  <r>
    <x v="10"/>
    <x v="400"/>
    <n v="27.753567"/>
  </r>
  <r>
    <x v="10"/>
    <x v="401"/>
    <n v="27.627414999999999"/>
  </r>
  <r>
    <x v="10"/>
    <x v="402"/>
    <n v="27.753567"/>
  </r>
  <r>
    <x v="10"/>
    <x v="403"/>
    <n v="29.180060999999998"/>
  </r>
  <r>
    <x v="10"/>
    <x v="404"/>
    <n v="29.189765999999999"/>
  </r>
  <r>
    <x v="10"/>
    <x v="405"/>
    <n v="29.306215000000002"/>
  </r>
  <r>
    <x v="10"/>
    <x v="406"/>
    <n v="29.509998"/>
  </r>
  <r>
    <x v="10"/>
    <x v="407"/>
    <n v="29.277101999999999"/>
  </r>
  <r>
    <x v="10"/>
    <x v="408"/>
    <n v="29.878754000000001"/>
  </r>
  <r>
    <x v="10"/>
    <x v="409"/>
    <n v="29.907865999999999"/>
  </r>
  <r>
    <x v="10"/>
    <x v="410"/>
    <n v="29.917567999999999"/>
  </r>
  <r>
    <x v="10"/>
    <x v="411"/>
    <n v="29.509998"/>
  </r>
  <r>
    <x v="10"/>
    <x v="412"/>
    <n v="29.450001"/>
  </r>
  <r>
    <x v="10"/>
    <x v="413"/>
    <n v="29.67"/>
  </r>
  <r>
    <x v="10"/>
    <x v="414"/>
    <n v="30.07"/>
  </r>
  <r>
    <x v="10"/>
    <x v="415"/>
    <n v="30.07"/>
  </r>
  <r>
    <x v="10"/>
    <x v="416"/>
    <n v="30.92"/>
  </r>
  <r>
    <x v="10"/>
    <x v="417"/>
    <n v="31.01"/>
  </r>
  <r>
    <x v="10"/>
    <x v="418"/>
    <n v="31.360001"/>
  </r>
  <r>
    <x v="10"/>
    <x v="419"/>
    <n v="31.68"/>
  </r>
  <r>
    <x v="10"/>
    <x v="420"/>
    <n v="31.559999000000001"/>
  </r>
  <r>
    <x v="10"/>
    <x v="421"/>
    <n v="32.279998999999997"/>
  </r>
  <r>
    <x v="10"/>
    <x v="422"/>
    <n v="32.5"/>
  </r>
  <r>
    <x v="10"/>
    <x v="423"/>
    <n v="32.130001"/>
  </r>
  <r>
    <x v="10"/>
    <x v="424"/>
    <n v="33.130001"/>
  </r>
  <r>
    <x v="10"/>
    <x v="425"/>
    <n v="32.459999000000003"/>
  </r>
  <r>
    <x v="10"/>
    <x v="426"/>
    <n v="32.869999"/>
  </r>
  <r>
    <x v="10"/>
    <x v="427"/>
    <n v="33.970001000000003"/>
  </r>
  <r>
    <x v="10"/>
    <x v="428"/>
    <n v="34.400002000000001"/>
  </r>
  <r>
    <x v="10"/>
    <x v="429"/>
    <n v="33.639999000000003"/>
  </r>
  <r>
    <x v="10"/>
    <x v="430"/>
    <n v="33.450001"/>
  </r>
  <r>
    <x v="10"/>
    <x v="431"/>
    <n v="34.450001"/>
  </r>
  <r>
    <x v="10"/>
    <x v="432"/>
    <n v="35.959999000000003"/>
  </r>
  <r>
    <x v="10"/>
    <x v="433"/>
    <n v="36.200001"/>
  </r>
  <r>
    <x v="10"/>
    <x v="434"/>
    <n v="36.759998000000003"/>
  </r>
  <r>
    <x v="10"/>
    <x v="435"/>
    <n v="35.630001"/>
  </r>
  <r>
    <x v="10"/>
    <x v="436"/>
    <n v="34.849997999999999"/>
  </r>
  <r>
    <x v="10"/>
    <x v="437"/>
    <n v="34.759998000000003"/>
  </r>
  <r>
    <x v="10"/>
    <x v="438"/>
    <n v="34.729999999999997"/>
  </r>
  <r>
    <x v="10"/>
    <x v="439"/>
    <n v="34.080002"/>
  </r>
  <r>
    <x v="10"/>
    <x v="440"/>
    <n v="35.029998999999997"/>
  </r>
  <r>
    <x v="10"/>
    <x v="441"/>
    <n v="34.419998"/>
  </r>
  <r>
    <x v="10"/>
    <x v="442"/>
    <n v="34.520000000000003"/>
  </r>
  <r>
    <x v="10"/>
    <x v="443"/>
    <n v="34.790000999999997"/>
  </r>
  <r>
    <x v="10"/>
    <x v="444"/>
    <n v="34.18"/>
  </r>
  <r>
    <x v="10"/>
    <x v="445"/>
    <n v="34.060001"/>
  </r>
  <r>
    <x v="10"/>
    <x v="446"/>
    <n v="34.5"/>
  </r>
  <r>
    <x v="10"/>
    <x v="447"/>
    <n v="34.810001"/>
  </r>
  <r>
    <x v="10"/>
    <x v="448"/>
    <n v="35.130001"/>
  </r>
  <r>
    <x v="10"/>
    <x v="449"/>
    <n v="34.689999"/>
  </r>
  <r>
    <x v="10"/>
    <x v="450"/>
    <n v="34.669998"/>
  </r>
  <r>
    <x v="10"/>
    <x v="451"/>
    <n v="34.990001999999997"/>
  </r>
  <r>
    <x v="10"/>
    <x v="452"/>
    <n v="34.849997999999999"/>
  </r>
  <r>
    <x v="10"/>
    <x v="453"/>
    <n v="35.07"/>
  </r>
  <r>
    <x v="10"/>
    <x v="454"/>
    <n v="34.82"/>
  </r>
  <r>
    <x v="10"/>
    <x v="455"/>
    <n v="35.330002"/>
  </r>
  <r>
    <x v="10"/>
    <x v="456"/>
    <n v="35.57"/>
  </r>
  <r>
    <x v="10"/>
    <x v="457"/>
    <n v="35.220001000000003"/>
  </r>
  <r>
    <x v="10"/>
    <x v="458"/>
    <n v="35.740001999999997"/>
  </r>
  <r>
    <x v="10"/>
    <x v="459"/>
    <n v="35.849997999999999"/>
  </r>
  <r>
    <x v="10"/>
    <x v="460"/>
    <n v="35.700001"/>
  </r>
  <r>
    <x v="10"/>
    <x v="461"/>
    <n v="35.68"/>
  </r>
  <r>
    <x v="10"/>
    <x v="462"/>
    <n v="35.169998"/>
  </r>
  <r>
    <x v="10"/>
    <x v="463"/>
    <n v="35.119999"/>
  </r>
  <r>
    <x v="10"/>
    <x v="464"/>
    <n v="35.279998999999997"/>
  </r>
  <r>
    <x v="10"/>
    <x v="465"/>
    <n v="34.450001"/>
  </r>
  <r>
    <x v="10"/>
    <x v="466"/>
    <n v="35"/>
  </r>
  <r>
    <x v="10"/>
    <x v="467"/>
    <n v="34.900002000000001"/>
  </r>
  <r>
    <x v="10"/>
    <x v="468"/>
    <n v="34.310001"/>
  </r>
  <r>
    <x v="10"/>
    <x v="469"/>
    <n v="34.909999999999997"/>
  </r>
  <r>
    <x v="10"/>
    <x v="470"/>
    <n v="34.419998"/>
  </r>
  <r>
    <x v="10"/>
    <x v="471"/>
    <n v="35.840000000000003"/>
  </r>
  <r>
    <x v="10"/>
    <x v="472"/>
    <n v="35.950001"/>
  </r>
  <r>
    <x v="10"/>
    <x v="473"/>
    <n v="36.700001"/>
  </r>
  <r>
    <x v="10"/>
    <x v="474"/>
    <n v="36.169998"/>
  </r>
  <r>
    <x v="10"/>
    <x v="475"/>
    <n v="36.549999"/>
  </r>
  <r>
    <x v="10"/>
    <x v="476"/>
    <n v="36.68"/>
  </r>
  <r>
    <x v="10"/>
    <x v="477"/>
    <n v="37.200001"/>
  </r>
  <r>
    <x v="10"/>
    <x v="478"/>
    <n v="36.779998999999997"/>
  </r>
  <r>
    <x v="10"/>
    <x v="479"/>
    <n v="37.290000999999997"/>
  </r>
  <r>
    <x v="10"/>
    <x v="480"/>
    <n v="35.020000000000003"/>
  </r>
  <r>
    <x v="10"/>
    <x v="481"/>
    <n v="36.279998999999997"/>
  </r>
  <r>
    <x v="10"/>
    <x v="482"/>
    <n v="36.299999"/>
  </r>
  <r>
    <x v="10"/>
    <x v="483"/>
    <n v="36.020000000000003"/>
  </r>
  <r>
    <x v="10"/>
    <x v="484"/>
    <n v="35.599997999999999"/>
  </r>
  <r>
    <x v="10"/>
    <x v="485"/>
    <n v="35.93"/>
  </r>
  <r>
    <x v="10"/>
    <x v="486"/>
    <n v="36.479999999999997"/>
  </r>
  <r>
    <x v="10"/>
    <x v="487"/>
    <n v="36.599997999999999"/>
  </r>
  <r>
    <x v="10"/>
    <x v="488"/>
    <n v="37.099997999999999"/>
  </r>
  <r>
    <x v="10"/>
    <x v="489"/>
    <n v="37.68"/>
  </r>
  <r>
    <x v="10"/>
    <x v="490"/>
    <n v="37.590000000000003"/>
  </r>
  <r>
    <x v="10"/>
    <x v="491"/>
    <n v="36.5"/>
  </r>
  <r>
    <x v="10"/>
    <x v="492"/>
    <n v="37.099997999999999"/>
  </r>
  <r>
    <x v="10"/>
    <x v="493"/>
    <n v="36.959999000000003"/>
  </r>
  <r>
    <x v="10"/>
    <x v="494"/>
    <n v="36.689999"/>
  </r>
  <r>
    <x v="10"/>
    <x v="495"/>
    <n v="36.68"/>
  </r>
  <r>
    <x v="10"/>
    <x v="496"/>
    <n v="36.060001"/>
  </r>
  <r>
    <x v="10"/>
    <x v="497"/>
    <n v="35.990001999999997"/>
  </r>
  <r>
    <x v="10"/>
    <x v="498"/>
    <n v="36.049999"/>
  </r>
  <r>
    <x v="10"/>
    <x v="499"/>
    <n v="35.720001000000003"/>
  </r>
  <r>
    <x v="10"/>
    <x v="500"/>
    <n v="35.130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6C9515-46E7-4A6A-9AAB-78E7870FD4BE}" name="Pivot-taulukko1" cacheId="0" applyNumberFormats="0" applyBorderFormats="0" applyFontFormats="0" applyPatternFormats="0" applyAlignmentFormats="0" applyWidthHeightFormats="1" dataCaption="Arvot" updatedVersion="7" minRefreshableVersion="3" useAutoFormatting="1" rowGrandTotals="0" colGrandTotals="0" itemPrintTitles="1" createdVersion="7" indent="0" compact="0" compactData="0" multipleFieldFilters="0">
  <location ref="A3:L506" firstHeaderRow="1" firstDataRow="2" firstDataCol="1"/>
  <pivotFields count="3">
    <pivotField axis="axisCol" compact="0" outline="0" showAll="0">
      <items count="12">
        <item x="0"/>
        <item x="1"/>
        <item x="2"/>
        <item x="3"/>
        <item x="4"/>
        <item x="5"/>
        <item x="6"/>
        <item x="7"/>
        <item x="8"/>
        <item x="9"/>
        <item x="10"/>
        <item t="default"/>
      </items>
    </pivotField>
    <pivotField axis="axisRow" compact="0" outline="0" showAll="0" sortType="descending">
      <items count="503">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50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dataField="1" compact="0" outline="0" showAll="0"/>
  </pivotFields>
  <rowFields count="1">
    <field x="1"/>
  </rowFields>
  <rowItems count="5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rowItems>
  <colFields count="1">
    <field x="0"/>
  </colFields>
  <colItems count="11">
    <i>
      <x/>
    </i>
    <i>
      <x v="1"/>
    </i>
    <i>
      <x v="2"/>
    </i>
    <i>
      <x v="3"/>
    </i>
    <i>
      <x v="4"/>
    </i>
    <i>
      <x v="5"/>
    </i>
    <i>
      <x v="6"/>
    </i>
    <i>
      <x v="7"/>
    </i>
    <i>
      <x v="8"/>
    </i>
    <i>
      <x v="9"/>
    </i>
    <i>
      <x v="10"/>
    </i>
  </colItems>
  <dataFields count="1">
    <dataField name="Summa  / Adj Close" fld="2" baseField="1" baseItem="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UlkoisetTiedot_1" connectionId="1" xr16:uid="{96530B20-77F0-41B6-A2F6-EF08782B9C7A}" autoFormatId="16" applyNumberFormats="0" applyBorderFormats="0" applyFontFormats="0" applyPatternFormats="0" applyAlignmentFormats="0" applyWidthHeightFormats="0">
  <queryTableRefresh nextId="4">
    <queryTableFields count="3">
      <queryTableField id="1" name="Name" tableColumnId="1"/>
      <queryTableField id="2" name="Date" tableColumnId="2"/>
      <queryTableField id="3" name="Adj Close"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BA01479-D80E-4082-9607-94500DA40BEB}" name="Taulukko3" displayName="Taulukko3" ref="M4:W505" totalsRowShown="0">
  <autoFilter ref="M4:W505" xr:uid="{8BA01479-D80E-4082-9607-94500DA40BEB}"/>
  <tableColumns count="11">
    <tableColumn id="1" xr3:uid="{2D069301-4E91-4850-BD9F-F90BE91E7B6A}" name="Fortum.csv">
      <calculatedColumnFormula>+B5/B6-1</calculatedColumnFormula>
    </tableColumn>
    <tableColumn id="2" xr3:uid="{6828435D-7F7C-4833-AA65-03B62F608301}" name="Kemira.csv">
      <calculatedColumnFormula>+C5/C6-1</calculatedColumnFormula>
    </tableColumn>
    <tableColumn id="3" xr3:uid="{EB0E018B-00D0-4793-9E6A-601BBE94BE54}" name="Kojamo.csv">
      <calculatedColumnFormula>+D5/D6-1</calculatedColumnFormula>
    </tableColumn>
    <tableColumn id="4" xr3:uid="{9F5C4D18-B541-457E-99DD-B0052284CE1E}" name="Konecranes.csv">
      <calculatedColumnFormula>+E5/E6-1</calculatedColumnFormula>
    </tableColumn>
    <tableColumn id="5" xr3:uid="{4C2FF3B7-2DCB-48F7-9C0B-FA19752A01BB}" name="Neles.csv">
      <calculatedColumnFormula>+F5/F6-1</calculatedColumnFormula>
    </tableColumn>
    <tableColumn id="6" xr3:uid="{9D5B2344-312D-44A8-B16C-39BDA142E433}" name="Nordea.csv">
      <calculatedColumnFormula>+G5/G6-1</calculatedColumnFormula>
    </tableColumn>
    <tableColumn id="8" xr3:uid="{33EA220D-A36E-44BC-8CF9-377C5977AE65}" name="Orion.csv">
      <calculatedColumnFormula>+I5/I6-1</calculatedColumnFormula>
    </tableColumn>
    <tableColumn id="9" xr3:uid="{512ECC8B-BAB4-48D8-9C0F-72B71E1A996A}" name="StoraEnso.csv">
      <calculatedColumnFormula>+J5/J6-1</calculatedColumnFormula>
    </tableColumn>
    <tableColumn id="10" xr3:uid="{4B0B6DFA-E96E-45E8-A896-C24DF19E3EBB}" name="Telia.csv">
      <calculatedColumnFormula>+K5/K6-1</calculatedColumnFormula>
    </tableColumn>
    <tableColumn id="11" xr3:uid="{708F5661-10F9-41DB-98A8-AE8DF4870608}" name="Valmet.csv">
      <calculatedColumnFormula>+L5/L6-1</calculatedColumnFormula>
    </tableColumn>
    <tableColumn id="12" xr3:uid="{F8754429-0D3A-4382-A224-72487D3CBFA9}" name="OMXH25.csv">
      <calculatedColumnFormula>+H5/H6-1</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8F5952-9F1B-4992-AF02-17DFE66D9279}" name="_2_Portfolio_optimization" displayName="_2_Portfolio_optimization" ref="A1:C5512" tableType="queryTable" totalsRowShown="0">
  <autoFilter ref="A1:C5512" xr:uid="{448F5952-9F1B-4992-AF02-17DFE66D9279}"/>
  <tableColumns count="3">
    <tableColumn id="1" xr3:uid="{22B38954-96A0-4A93-8391-E8C44E88B440}" uniqueName="1" name="Name" queryTableFieldId="1" dataDxfId="1"/>
    <tableColumn id="2" xr3:uid="{9A795C3C-5A46-438F-92E6-A9EC558BBE82}" uniqueName="2" name="Date" queryTableFieldId="2"/>
    <tableColumn id="3" xr3:uid="{79691B8C-6B72-472A-A4D0-E5BB1A076A56}" uniqueName="3" name="Adj Close" queryTableFieldId="3" dataDxfId="0"/>
  </tableColumns>
  <tableStyleInfo name="TableStyleMedium7" showFirstColumn="0" showLastColumn="0" showRowStripes="1" showColumnStripes="0"/>
</table>
</file>

<file path=xl/theme/theme1.xml><?xml version="1.0" encoding="utf-8"?>
<a:theme xmlns:a="http://schemas.openxmlformats.org/drawingml/2006/main" name="Office-te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25E42-2DA8-4F4E-82DD-9240C6EEA78A}">
  <sheetPr codeName="Taul1"/>
  <dimension ref="A2:AJ506"/>
  <sheetViews>
    <sheetView tabSelected="1" topLeftCell="T1" workbookViewId="0">
      <selection activeCell="AC47" sqref="AC47"/>
    </sheetView>
  </sheetViews>
  <sheetFormatPr defaultRowHeight="14.4" x14ac:dyDescent="0.3"/>
  <cols>
    <col min="1" max="1" width="17.6640625" bestFit="1" customWidth="1"/>
    <col min="2" max="2" width="10.33203125" bestFit="1" customWidth="1"/>
    <col min="3" max="3" width="10.109375" bestFit="1" customWidth="1"/>
    <col min="4" max="4" width="10.77734375" bestFit="1" customWidth="1"/>
    <col min="5" max="5" width="14.109375" bestFit="1" customWidth="1"/>
    <col min="6" max="6" width="10" bestFit="1" customWidth="1"/>
    <col min="7" max="7" width="10.44140625" bestFit="1" customWidth="1"/>
    <col min="8" max="8" width="12" bestFit="1" customWidth="1"/>
    <col min="9" max="9" width="10" bestFit="1" customWidth="1"/>
    <col min="10" max="10" width="12.6640625" bestFit="1" customWidth="1"/>
    <col min="11" max="11" width="9" bestFit="1" customWidth="1"/>
    <col min="12" max="12" width="10.21875" bestFit="1" customWidth="1"/>
    <col min="13" max="13" width="14.21875" bestFit="1" customWidth="1"/>
    <col min="14" max="14" width="12" customWidth="1"/>
    <col min="15" max="15" width="12.6640625" customWidth="1"/>
    <col min="16" max="16" width="15.88671875" customWidth="1"/>
    <col min="17" max="17" width="10.6640625" customWidth="1"/>
    <col min="18" max="18" width="12.33203125" customWidth="1"/>
    <col min="19" max="19" width="10.77734375" customWidth="1"/>
    <col min="20" max="20" width="14.5546875" customWidth="1"/>
    <col min="21" max="21" width="10" customWidth="1"/>
    <col min="22" max="22" width="12.109375" customWidth="1"/>
    <col min="23" max="23" width="13.5546875" customWidth="1"/>
    <col min="24" max="24" width="6.6640625" customWidth="1"/>
    <col min="25" max="25" width="15" customWidth="1"/>
    <col min="26" max="35" width="9.77734375" customWidth="1"/>
  </cols>
  <sheetData>
    <row r="2" spans="1:31" x14ac:dyDescent="0.3">
      <c r="M2">
        <f>+AVERAGE(M5:M505)</f>
        <v>8.3641005377728156E-4</v>
      </c>
      <c r="N2">
        <f>AVERAGE(N5:N505)</f>
        <v>6.0957743736197892E-4</v>
      </c>
      <c r="O2">
        <f t="shared" ref="O2:V2" si="0">+AVERAGE(O5:O505)</f>
        <v>1.0907167019520848E-3</v>
      </c>
      <c r="P2">
        <f t="shared" si="0"/>
        <v>1.1267535950111934E-3</v>
      </c>
      <c r="Q2">
        <f t="shared" si="0"/>
        <v>7.2010588420200921E-4</v>
      </c>
      <c r="R2">
        <f t="shared" si="0"/>
        <v>1.3977027290790762E-3</v>
      </c>
      <c r="S2">
        <f t="shared" si="0"/>
        <v>7.0215151895669883E-4</v>
      </c>
      <c r="T2">
        <f t="shared" si="0"/>
        <v>1.4905908374372632E-3</v>
      </c>
      <c r="U2">
        <f t="shared" si="0"/>
        <v>3.3674498315409067E-3</v>
      </c>
      <c r="V2">
        <f t="shared" si="0"/>
        <v>1.8764438052857116E-3</v>
      </c>
      <c r="W2">
        <f>+AVERAGE(W5:W505)</f>
        <v>8.3076741947697133E-4</v>
      </c>
    </row>
    <row r="3" spans="1:31" x14ac:dyDescent="0.3">
      <c r="A3" s="2" t="s">
        <v>516</v>
      </c>
      <c r="B3" s="2" t="s">
        <v>0</v>
      </c>
      <c r="AC3" t="s">
        <v>510</v>
      </c>
      <c r="AD3" s="5">
        <f>+SLOPE(W5:W505,$W$5:$W$505)</f>
        <v>1</v>
      </c>
      <c r="AE3" s="9">
        <f>+W2*252</f>
        <v>0.20935338970819678</v>
      </c>
    </row>
    <row r="4" spans="1:31" ht="15" thickBot="1" x14ac:dyDescent="0.35">
      <c r="A4" s="2" t="s">
        <v>1</v>
      </c>
      <c r="B4" t="s">
        <v>3</v>
      </c>
      <c r="C4" t="s">
        <v>505</v>
      </c>
      <c r="D4" t="s">
        <v>506</v>
      </c>
      <c r="E4" t="s">
        <v>507</v>
      </c>
      <c r="F4" t="s">
        <v>508</v>
      </c>
      <c r="G4" t="s">
        <v>509</v>
      </c>
      <c r="H4" t="s">
        <v>510</v>
      </c>
      <c r="I4" t="s">
        <v>512</v>
      </c>
      <c r="J4" t="s">
        <v>513</v>
      </c>
      <c r="K4" t="s">
        <v>514</v>
      </c>
      <c r="L4" t="s">
        <v>515</v>
      </c>
      <c r="M4" t="s">
        <v>3</v>
      </c>
      <c r="N4" t="s">
        <v>505</v>
      </c>
      <c r="O4" t="s">
        <v>506</v>
      </c>
      <c r="P4" t="s">
        <v>507</v>
      </c>
      <c r="Q4" t="s">
        <v>508</v>
      </c>
      <c r="R4" t="s">
        <v>509</v>
      </c>
      <c r="S4" t="s">
        <v>512</v>
      </c>
      <c r="T4" t="s">
        <v>513</v>
      </c>
      <c r="U4" t="s">
        <v>514</v>
      </c>
      <c r="V4" t="s">
        <v>515</v>
      </c>
      <c r="W4" t="s">
        <v>510</v>
      </c>
    </row>
    <row r="5" spans="1:31" x14ac:dyDescent="0.3">
      <c r="A5" t="s">
        <v>504</v>
      </c>
      <c r="B5" s="1">
        <v>23.24</v>
      </c>
      <c r="C5" s="1">
        <v>14.2</v>
      </c>
      <c r="D5" s="1">
        <v>20.76</v>
      </c>
      <c r="E5" s="1">
        <v>36.240001999999997</v>
      </c>
      <c r="F5" s="1">
        <v>13.04</v>
      </c>
      <c r="G5" s="1">
        <v>9.9</v>
      </c>
      <c r="H5" s="1">
        <v>5626.2597660000001</v>
      </c>
      <c r="I5" s="1">
        <v>35.889999000000003</v>
      </c>
      <c r="J5" s="1">
        <v>16.684999000000001</v>
      </c>
      <c r="K5" s="1">
        <v>3.7025000000000001</v>
      </c>
      <c r="L5" s="1">
        <v>35.130001</v>
      </c>
      <c r="M5">
        <f>+B5/B6-1</f>
        <v>-2.3529370736528277E-2</v>
      </c>
      <c r="N5">
        <f t="shared" ref="N5:R20" si="1">+C5/C6-1</f>
        <v>-7.686932215234199E-3</v>
      </c>
      <c r="O5">
        <f t="shared" si="1"/>
        <v>1.2682926829268304E-2</v>
      </c>
      <c r="P5">
        <f t="shared" si="1"/>
        <v>-8.4814503004501107E-3</v>
      </c>
      <c r="Q5">
        <f t="shared" si="1"/>
        <v>-1.6591251885369585E-2</v>
      </c>
      <c r="R5">
        <f t="shared" si="1"/>
        <v>-9.009009009009028E-3</v>
      </c>
      <c r="S5">
        <f>+I5/I6-1</f>
        <v>1.0416638513513599E-2</v>
      </c>
      <c r="T5">
        <f>+J5/J6-1</f>
        <v>-1.3888947990543743E-2</v>
      </c>
      <c r="U5">
        <f>+K5/K6-1</f>
        <v>-4.5705067885468686E-3</v>
      </c>
      <c r="V5">
        <f>+L5/L6-1</f>
        <v>-1.6517356760432422E-2</v>
      </c>
      <c r="W5">
        <f>+H5/H6-1</f>
        <v>-5.1104458941515496E-3</v>
      </c>
      <c r="Y5" s="3"/>
      <c r="Z5" s="3" t="s">
        <v>517</v>
      </c>
      <c r="AA5" s="3" t="s">
        <v>518</v>
      </c>
    </row>
    <row r="6" spans="1:31" x14ac:dyDescent="0.3">
      <c r="A6" t="s">
        <v>503</v>
      </c>
      <c r="B6" s="1">
        <v>23.799999</v>
      </c>
      <c r="C6" s="1">
        <v>14.31</v>
      </c>
      <c r="D6" s="1">
        <v>20.5</v>
      </c>
      <c r="E6" s="1">
        <v>36.549999</v>
      </c>
      <c r="F6" s="1">
        <v>13.26</v>
      </c>
      <c r="G6" s="1">
        <v>9.99</v>
      </c>
      <c r="H6" s="1">
        <v>5655.1601559999999</v>
      </c>
      <c r="I6" s="1">
        <v>35.520000000000003</v>
      </c>
      <c r="J6" s="1">
        <v>16.920000000000002</v>
      </c>
      <c r="K6" s="1">
        <v>3.7195</v>
      </c>
      <c r="L6" s="1">
        <v>35.720001000000003</v>
      </c>
      <c r="M6">
        <f t="shared" ref="M6:Q69" si="2">+B6/B7-1</f>
        <v>1.2765914893617003E-2</v>
      </c>
      <c r="N6">
        <f t="shared" si="1"/>
        <v>7.0372976776917895E-3</v>
      </c>
      <c r="O6">
        <f t="shared" si="1"/>
        <v>-7.7444336882865894E-3</v>
      </c>
      <c r="P6">
        <f t="shared" si="1"/>
        <v>1.3698356164384418E-3</v>
      </c>
      <c r="Q6">
        <f t="shared" si="1"/>
        <v>-8.9686098654708779E-3</v>
      </c>
      <c r="R6">
        <f t="shared" si="1"/>
        <v>3.1127623255347014E-3</v>
      </c>
      <c r="S6">
        <f t="shared" ref="S6:S69" si="3">+I6/I7-1</f>
        <v>-3.3669754031138144E-3</v>
      </c>
      <c r="T6">
        <f t="shared" ref="T6:T69" si="4">+J6/J7-1</f>
        <v>9.5465393794749165E-3</v>
      </c>
      <c r="U6">
        <f t="shared" ref="U6:U69" si="5">+K6/K7-1</f>
        <v>-5.3483085974060929E-3</v>
      </c>
      <c r="V6">
        <f t="shared" ref="V6:V69" si="6">+L6/L7-1</f>
        <v>-9.1538976186933407E-3</v>
      </c>
      <c r="W6">
        <f t="shared" ref="W6:W69" si="7">+H6/H7-1</f>
        <v>7.9636993910099374E-3</v>
      </c>
      <c r="Y6" t="s">
        <v>3</v>
      </c>
      <c r="Z6" s="5">
        <f>+SLOPE(M5:M505,$W$5:$W$505)</f>
        <v>0.9926989552615777</v>
      </c>
      <c r="AA6" s="9">
        <f>+M2*252</f>
        <v>0.21077533355187494</v>
      </c>
    </row>
    <row r="7" spans="1:31" x14ac:dyDescent="0.3">
      <c r="A7" t="s">
        <v>502</v>
      </c>
      <c r="B7" s="1">
        <v>23.5</v>
      </c>
      <c r="C7" s="1">
        <v>14.21</v>
      </c>
      <c r="D7" s="1">
        <v>20.66</v>
      </c>
      <c r="E7" s="1">
        <v>36.5</v>
      </c>
      <c r="F7" s="1">
        <v>13.38</v>
      </c>
      <c r="G7" s="1">
        <v>9.9589999999999996</v>
      </c>
      <c r="H7" s="1">
        <v>5610.4799800000001</v>
      </c>
      <c r="I7" s="1">
        <v>35.639999000000003</v>
      </c>
      <c r="J7" s="1">
        <v>16.760000000000002</v>
      </c>
      <c r="K7" s="1">
        <v>3.7395</v>
      </c>
      <c r="L7" s="1">
        <v>36.049999</v>
      </c>
      <c r="M7">
        <f t="shared" si="2"/>
        <v>8.5178875638836082E-4</v>
      </c>
      <c r="N7">
        <f t="shared" si="1"/>
        <v>7.0422535211278614E-4</v>
      </c>
      <c r="O7">
        <f t="shared" si="1"/>
        <v>-1.9324153655838616E-3</v>
      </c>
      <c r="P7">
        <f t="shared" si="1"/>
        <v>-7.0063694267515908E-2</v>
      </c>
      <c r="Q7">
        <f t="shared" si="1"/>
        <v>7.9096045197739606E-3</v>
      </c>
      <c r="R7">
        <f t="shared" si="1"/>
        <v>1.0042177143998465E-4</v>
      </c>
      <c r="S7">
        <f t="shared" si="3"/>
        <v>7.0641426127195928E-3</v>
      </c>
      <c r="T7">
        <f t="shared" si="4"/>
        <v>-7.4030204323364268E-3</v>
      </c>
      <c r="U7">
        <f t="shared" si="5"/>
        <v>-7.4319840743198862E-3</v>
      </c>
      <c r="V7">
        <f t="shared" si="6"/>
        <v>1.667046309138831E-3</v>
      </c>
      <c r="W7">
        <f t="shared" si="7"/>
        <v>-2.6682570541637363E-3</v>
      </c>
      <c r="Y7" t="s">
        <v>505</v>
      </c>
      <c r="Z7" s="5">
        <f>+SLOPE(N5:N505,$W$5:$W$505)</f>
        <v>0.89835702167590226</v>
      </c>
      <c r="AA7" s="9">
        <f>+N2*252</f>
        <v>0.15361351421521868</v>
      </c>
    </row>
    <row r="8" spans="1:31" x14ac:dyDescent="0.3">
      <c r="A8" t="s">
        <v>501</v>
      </c>
      <c r="B8" s="1">
        <v>23.48</v>
      </c>
      <c r="C8" s="1">
        <v>14.2</v>
      </c>
      <c r="D8" s="1">
        <v>20.700001</v>
      </c>
      <c r="E8" s="1">
        <v>39.25</v>
      </c>
      <c r="F8" s="1">
        <v>13.275</v>
      </c>
      <c r="G8" s="1">
        <v>9.9580000000000002</v>
      </c>
      <c r="H8" s="1">
        <v>5625.4902339999999</v>
      </c>
      <c r="I8" s="1">
        <v>35.389999000000003</v>
      </c>
      <c r="J8" s="1">
        <v>16.885000000000002</v>
      </c>
      <c r="K8" s="1">
        <v>3.7675000000000001</v>
      </c>
      <c r="L8" s="1">
        <v>35.990001999999997</v>
      </c>
      <c r="M8">
        <f t="shared" si="2"/>
        <v>3.4188034188034067E-3</v>
      </c>
      <c r="N8">
        <f t="shared" si="1"/>
        <v>0</v>
      </c>
      <c r="O8">
        <f t="shared" si="1"/>
        <v>2.9070737842575856E-3</v>
      </c>
      <c r="P8">
        <f t="shared" si="1"/>
        <v>-1.0180961817739531E-3</v>
      </c>
      <c r="Q8">
        <f t="shared" si="1"/>
        <v>-4.872563718140932E-3</v>
      </c>
      <c r="R8">
        <f t="shared" si="1"/>
        <v>-4.1004100410041433E-3</v>
      </c>
      <c r="S8">
        <f t="shared" si="3"/>
        <v>-1.4108352542560043E-3</v>
      </c>
      <c r="T8">
        <f t="shared" si="4"/>
        <v>1.1077783767797555E-2</v>
      </c>
      <c r="U8">
        <f t="shared" si="5"/>
        <v>-8.5526315789472562E-3</v>
      </c>
      <c r="V8">
        <f t="shared" si="6"/>
        <v>-1.9411813105607578E-3</v>
      </c>
      <c r="W8">
        <f t="shared" si="7"/>
        <v>-9.4694891791744507E-3</v>
      </c>
      <c r="Y8" t="s">
        <v>506</v>
      </c>
      <c r="Z8" s="5">
        <f>+SLOPE(O5:O505,$W$5:$W$505)</f>
        <v>0.44239274905836062</v>
      </c>
      <c r="AA8" s="9">
        <f>+O2*252</f>
        <v>0.27486060889192537</v>
      </c>
    </row>
    <row r="9" spans="1:31" x14ac:dyDescent="0.3">
      <c r="A9" t="s">
        <v>500</v>
      </c>
      <c r="B9" s="1">
        <v>23.4</v>
      </c>
      <c r="C9" s="1">
        <v>14.2</v>
      </c>
      <c r="D9" s="1">
        <v>20.639999</v>
      </c>
      <c r="E9" s="1">
        <v>39.290000999999997</v>
      </c>
      <c r="F9" s="1">
        <v>13.34</v>
      </c>
      <c r="G9" s="1">
        <v>9.9990000000000006</v>
      </c>
      <c r="H9" s="1">
        <v>5679.2700199999999</v>
      </c>
      <c r="I9" s="1">
        <v>35.439999</v>
      </c>
      <c r="J9" s="1">
        <v>16.700001</v>
      </c>
      <c r="K9" s="1">
        <v>3.8</v>
      </c>
      <c r="L9" s="1">
        <v>36.060001</v>
      </c>
      <c r="M9">
        <f t="shared" si="2"/>
        <v>4.7230139663798631E-3</v>
      </c>
      <c r="N9">
        <f t="shared" si="1"/>
        <v>7.0472163495427509E-4</v>
      </c>
      <c r="O9">
        <f t="shared" si="1"/>
        <v>-1.6205958055290792E-2</v>
      </c>
      <c r="P9">
        <f t="shared" si="1"/>
        <v>1.4983260526562958E-2</v>
      </c>
      <c r="Q9">
        <f t="shared" si="1"/>
        <v>-2.1276595744680882E-2</v>
      </c>
      <c r="R9">
        <f t="shared" si="1"/>
        <v>2.2079116835326706E-2</v>
      </c>
      <c r="S9">
        <f t="shared" si="3"/>
        <v>-2.8214385663904995E-4</v>
      </c>
      <c r="T9">
        <f t="shared" si="4"/>
        <v>6.0241566265060165E-3</v>
      </c>
      <c r="U9">
        <f t="shared" si="5"/>
        <v>-1.969796454366457E-3</v>
      </c>
      <c r="V9">
        <f t="shared" si="6"/>
        <v>-1.6902917121046857E-2</v>
      </c>
      <c r="W9">
        <f t="shared" si="7"/>
        <v>3.1918717546781661E-3</v>
      </c>
      <c r="Y9" t="s">
        <v>507</v>
      </c>
      <c r="Z9" s="5">
        <f>+SLOPE(P5:P505,$W$5:$W$505)</f>
        <v>1.2772663651479337</v>
      </c>
      <c r="AA9" s="9">
        <f>+P2*252</f>
        <v>0.28394190594282076</v>
      </c>
    </row>
    <row r="10" spans="1:31" x14ac:dyDescent="0.3">
      <c r="A10" t="s">
        <v>499</v>
      </c>
      <c r="B10" s="1">
        <v>23.290001</v>
      </c>
      <c r="C10" s="1">
        <v>14.19</v>
      </c>
      <c r="D10" s="1">
        <v>20.98</v>
      </c>
      <c r="E10" s="1">
        <v>38.709999000000003</v>
      </c>
      <c r="F10" s="1">
        <v>13.63</v>
      </c>
      <c r="G10" s="1">
        <v>9.7829999999999995</v>
      </c>
      <c r="H10" s="1">
        <v>5661.2001950000003</v>
      </c>
      <c r="I10" s="1">
        <v>35.450001</v>
      </c>
      <c r="J10" s="1">
        <v>16.600000000000001</v>
      </c>
      <c r="K10" s="1">
        <v>3.8075000000000001</v>
      </c>
      <c r="L10" s="1">
        <v>36.68</v>
      </c>
      <c r="M10">
        <f t="shared" si="2"/>
        <v>3.4468764949107111E-3</v>
      </c>
      <c r="N10">
        <f t="shared" si="1"/>
        <v>3.0501089324618702E-2</v>
      </c>
      <c r="O10">
        <f t="shared" si="1"/>
        <v>1.4506769825918697E-2</v>
      </c>
      <c r="P10">
        <f t="shared" si="1"/>
        <v>3.4750040096231061E-2</v>
      </c>
      <c r="Q10">
        <f t="shared" si="1"/>
        <v>-3.6670333700028479E-4</v>
      </c>
      <c r="R10">
        <f t="shared" si="1"/>
        <v>1.1476426799007289E-2</v>
      </c>
      <c r="S10">
        <f t="shared" si="3"/>
        <v>6.2447062162931388E-3</v>
      </c>
      <c r="T10">
        <f t="shared" si="4"/>
        <v>3.0096183679801713E-2</v>
      </c>
      <c r="U10">
        <f t="shared" si="5"/>
        <v>6.3433328928241828E-3</v>
      </c>
      <c r="V10">
        <f t="shared" si="6"/>
        <v>-2.7252658142618014E-4</v>
      </c>
      <c r="W10">
        <f t="shared" si="7"/>
        <v>1.3876049840724436E-2</v>
      </c>
      <c r="Y10" t="s">
        <v>508</v>
      </c>
      <c r="Z10" s="5">
        <f>+SLOPE(Q5:Q505,$W$5:$W$505)</f>
        <v>1.0950282192978678</v>
      </c>
      <c r="AA10" s="9">
        <f>+Q2*252</f>
        <v>0.18146668281890632</v>
      </c>
    </row>
    <row r="11" spans="1:31" x14ac:dyDescent="0.3">
      <c r="A11" t="s">
        <v>498</v>
      </c>
      <c r="B11" s="1">
        <v>23.209999</v>
      </c>
      <c r="C11" s="1">
        <v>13.77</v>
      </c>
      <c r="D11" s="1">
        <v>20.68</v>
      </c>
      <c r="E11" s="1">
        <v>37.409999999999997</v>
      </c>
      <c r="F11" s="1">
        <v>13.635</v>
      </c>
      <c r="G11" s="1">
        <v>9.6720000000000006</v>
      </c>
      <c r="H11" s="1">
        <v>5583.7202150000003</v>
      </c>
      <c r="I11" s="1">
        <v>35.229999999999997</v>
      </c>
      <c r="J11" s="1">
        <v>16.114999999999998</v>
      </c>
      <c r="K11" s="1">
        <v>3.7835000000000001</v>
      </c>
      <c r="L11" s="1">
        <v>36.689999</v>
      </c>
      <c r="M11">
        <f t="shared" si="2"/>
        <v>1.4423077553456176E-2</v>
      </c>
      <c r="N11">
        <f t="shared" si="1"/>
        <v>2.1834061135370675E-3</v>
      </c>
      <c r="O11">
        <f t="shared" si="1"/>
        <v>-6.7243035542747798E-3</v>
      </c>
      <c r="P11">
        <f t="shared" si="1"/>
        <v>2.142994795446107E-3</v>
      </c>
      <c r="Q11">
        <f t="shared" si="1"/>
        <v>-1.3029315960912058E-2</v>
      </c>
      <c r="R11">
        <f t="shared" si="1"/>
        <v>2.1759403170655833E-3</v>
      </c>
      <c r="S11">
        <f t="shared" si="3"/>
        <v>5.4223457356636917E-3</v>
      </c>
      <c r="T11">
        <f t="shared" si="4"/>
        <v>4.6757478381702633E-3</v>
      </c>
      <c r="U11">
        <f t="shared" si="5"/>
        <v>1.9948780159051216E-2</v>
      </c>
      <c r="V11">
        <f t="shared" si="6"/>
        <v>-7.3051950028463208E-3</v>
      </c>
      <c r="W11">
        <f t="shared" si="7"/>
        <v>6.6851421913329823E-3</v>
      </c>
      <c r="Y11" t="s">
        <v>509</v>
      </c>
      <c r="Z11" s="5">
        <f>+SLOPE(R5:R505,$W$5:$W$505)</f>
        <v>1.2996578989476553</v>
      </c>
      <c r="AA11" s="9">
        <f>+R2*252</f>
        <v>0.35222108772792721</v>
      </c>
    </row>
    <row r="12" spans="1:31" x14ac:dyDescent="0.3">
      <c r="A12" t="s">
        <v>497</v>
      </c>
      <c r="B12" s="1">
        <v>22.879999000000002</v>
      </c>
      <c r="C12" s="1">
        <v>13.74</v>
      </c>
      <c r="D12" s="1">
        <v>20.82</v>
      </c>
      <c r="E12" s="1">
        <v>37.330002</v>
      </c>
      <c r="F12" s="1">
        <v>13.815</v>
      </c>
      <c r="G12" s="1">
        <v>9.6509999999999998</v>
      </c>
      <c r="H12" s="1">
        <v>5546.6401370000003</v>
      </c>
      <c r="I12" s="1">
        <v>35.040000999999997</v>
      </c>
      <c r="J12" s="1">
        <v>16.040001</v>
      </c>
      <c r="K12" s="1">
        <v>3.7094999999999998</v>
      </c>
      <c r="L12" s="1">
        <v>36.959999000000003</v>
      </c>
      <c r="M12">
        <f t="shared" si="2"/>
        <v>1.7793549822064048E-2</v>
      </c>
      <c r="N12">
        <f t="shared" si="1"/>
        <v>-3.6258158085568093E-3</v>
      </c>
      <c r="O12">
        <f t="shared" si="1"/>
        <v>5.7970528600457261E-3</v>
      </c>
      <c r="P12">
        <f t="shared" si="1"/>
        <v>1.467792838603077E-2</v>
      </c>
      <c r="Q12">
        <f t="shared" si="1"/>
        <v>4.7272727272726911E-3</v>
      </c>
      <c r="R12">
        <f t="shared" si="1"/>
        <v>3.740728797162185E-2</v>
      </c>
      <c r="S12">
        <f t="shared" si="3"/>
        <v>-1.0448997458345155E-2</v>
      </c>
      <c r="T12">
        <f t="shared" si="4"/>
        <v>1.647661596958172E-2</v>
      </c>
      <c r="U12">
        <f t="shared" si="5"/>
        <v>-3.6868752434116692E-2</v>
      </c>
      <c r="V12">
        <f t="shared" si="6"/>
        <v>-3.7735581549086517E-3</v>
      </c>
      <c r="W12">
        <f t="shared" si="7"/>
        <v>1.2977631225869146E-2</v>
      </c>
      <c r="Y12" t="s">
        <v>512</v>
      </c>
      <c r="Z12" s="5">
        <f>+SLOPE(S5:S505,$W$5:$W$505)</f>
        <v>0.39065485873950767</v>
      </c>
      <c r="AA12" s="9">
        <f>+S2*252</f>
        <v>0.17694218277708809</v>
      </c>
    </row>
    <row r="13" spans="1:31" x14ac:dyDescent="0.3">
      <c r="A13" t="s">
        <v>496</v>
      </c>
      <c r="B13" s="1">
        <v>22.48</v>
      </c>
      <c r="C13" s="1">
        <v>13.79</v>
      </c>
      <c r="D13" s="1">
        <v>20.700001</v>
      </c>
      <c r="E13" s="1">
        <v>36.790000999999997</v>
      </c>
      <c r="F13" s="1">
        <v>13.75</v>
      </c>
      <c r="G13" s="1">
        <v>9.3030000000000008</v>
      </c>
      <c r="H13" s="1">
        <v>5475.580078</v>
      </c>
      <c r="I13" s="1">
        <v>35.409999999999997</v>
      </c>
      <c r="J13" s="1">
        <v>15.78</v>
      </c>
      <c r="K13" s="1">
        <v>3.8515000000000001</v>
      </c>
      <c r="L13" s="1">
        <v>37.099997999999999</v>
      </c>
      <c r="M13">
        <f t="shared" si="2"/>
        <v>5.3666813342270192E-3</v>
      </c>
      <c r="N13">
        <f t="shared" si="1"/>
        <v>5.8351568198393711E-3</v>
      </c>
      <c r="O13">
        <f t="shared" si="1"/>
        <v>4.8544174757281233E-3</v>
      </c>
      <c r="P13">
        <f t="shared" si="1"/>
        <v>2.1377040533037128E-2</v>
      </c>
      <c r="Q13">
        <f t="shared" si="1"/>
        <v>1.1029411764705843E-2</v>
      </c>
      <c r="R13">
        <f t="shared" si="1"/>
        <v>9.5496473141618576E-3</v>
      </c>
      <c r="S13">
        <f t="shared" si="3"/>
        <v>-9.5104895104896059E-3</v>
      </c>
      <c r="T13">
        <f t="shared" si="4"/>
        <v>2.1689867270961338E-2</v>
      </c>
      <c r="U13">
        <f t="shared" si="5"/>
        <v>8.2460732984293017E-3</v>
      </c>
      <c r="V13">
        <f t="shared" si="6"/>
        <v>1.6438301369863018E-2</v>
      </c>
      <c r="W13">
        <f t="shared" si="7"/>
        <v>1.4345670737447191E-2</v>
      </c>
      <c r="Y13" t="s">
        <v>513</v>
      </c>
      <c r="Z13" s="5">
        <f>+SLOPE(T5:T505,$W$5:$W$505)</f>
        <v>1.180622726129388</v>
      </c>
      <c r="AA13" s="9">
        <f>+T2*252</f>
        <v>0.37562889103419034</v>
      </c>
    </row>
    <row r="14" spans="1:31" x14ac:dyDescent="0.3">
      <c r="A14" t="s">
        <v>495</v>
      </c>
      <c r="B14" s="1">
        <v>22.360001</v>
      </c>
      <c r="C14" s="1">
        <v>13.71</v>
      </c>
      <c r="D14" s="1">
        <v>20.6</v>
      </c>
      <c r="E14" s="1">
        <v>36.020000000000003</v>
      </c>
      <c r="F14" s="1">
        <v>13.6</v>
      </c>
      <c r="G14" s="1">
        <v>9.2149999999999999</v>
      </c>
      <c r="H14" s="1">
        <v>5398.1401370000003</v>
      </c>
      <c r="I14" s="1">
        <v>35.75</v>
      </c>
      <c r="J14" s="1">
        <v>15.445</v>
      </c>
      <c r="K14" s="1">
        <v>3.82</v>
      </c>
      <c r="L14" s="1">
        <v>36.5</v>
      </c>
      <c r="M14">
        <f t="shared" si="2"/>
        <v>-2.2299955299520891E-2</v>
      </c>
      <c r="N14">
        <f t="shared" si="1"/>
        <v>-3.0410183875530405E-2</v>
      </c>
      <c r="O14">
        <f t="shared" si="1"/>
        <v>-1.056676272814594E-2</v>
      </c>
      <c r="P14">
        <f t="shared" si="1"/>
        <v>-3.4575206792409219E-2</v>
      </c>
      <c r="Q14">
        <f t="shared" si="1"/>
        <v>-2.2286125089863495E-2</v>
      </c>
      <c r="R14">
        <f t="shared" si="1"/>
        <v>-3.3560566334556952E-2</v>
      </c>
      <c r="S14">
        <f t="shared" si="3"/>
        <v>-2.215538779662507E-2</v>
      </c>
      <c r="T14">
        <f t="shared" si="4"/>
        <v>-2.153943617358256E-2</v>
      </c>
      <c r="U14">
        <f t="shared" si="5"/>
        <v>-1.6224568632500658E-2</v>
      </c>
      <c r="V14">
        <f t="shared" si="6"/>
        <v>-2.8997073689811192E-2</v>
      </c>
      <c r="W14">
        <f t="shared" si="7"/>
        <v>-2.0398993199917115E-2</v>
      </c>
      <c r="Y14" t="s">
        <v>514</v>
      </c>
      <c r="Z14" s="5">
        <f>+SLOPE(U5:U505,$W$5:$W$505)</f>
        <v>0.70495411447281187</v>
      </c>
      <c r="AA14" s="9">
        <f>+U2*252</f>
        <v>0.84859735754830845</v>
      </c>
    </row>
    <row r="15" spans="1:31" ht="15" thickBot="1" x14ac:dyDescent="0.35">
      <c r="A15" t="s">
        <v>494</v>
      </c>
      <c r="B15" s="1">
        <v>22.870000999999998</v>
      </c>
      <c r="C15" s="1">
        <v>14.14</v>
      </c>
      <c r="D15" s="1">
        <v>20.82</v>
      </c>
      <c r="E15" s="1">
        <v>37.310001</v>
      </c>
      <c r="F15" s="1">
        <v>13.91</v>
      </c>
      <c r="G15" s="1">
        <v>9.5350000000000001</v>
      </c>
      <c r="H15" s="1">
        <v>5510.5498049999997</v>
      </c>
      <c r="I15" s="1">
        <v>36.560001</v>
      </c>
      <c r="J15" s="1">
        <v>15.785</v>
      </c>
      <c r="K15" s="1">
        <v>3.883</v>
      </c>
      <c r="L15" s="1">
        <v>37.590000000000003</v>
      </c>
      <c r="M15">
        <f t="shared" si="2"/>
        <v>-2.6166157871784224E-3</v>
      </c>
      <c r="N15">
        <f t="shared" si="1"/>
        <v>5.1301115241635831E-2</v>
      </c>
      <c r="O15">
        <f t="shared" si="1"/>
        <v>1.3631888333403674E-2</v>
      </c>
      <c r="P15">
        <f t="shared" si="1"/>
        <v>-6.9203886079318711E-3</v>
      </c>
      <c r="Q15">
        <f t="shared" si="1"/>
        <v>-3.5816618911175269E-3</v>
      </c>
      <c r="R15">
        <f t="shared" si="1"/>
        <v>1.0498687664042272E-3</v>
      </c>
      <c r="S15">
        <f t="shared" si="3"/>
        <v>8.2129758612925485E-4</v>
      </c>
      <c r="T15">
        <f t="shared" si="4"/>
        <v>-7.2327044025157772E-3</v>
      </c>
      <c r="U15">
        <f t="shared" si="5"/>
        <v>1.330897703549061E-2</v>
      </c>
      <c r="V15">
        <f t="shared" si="6"/>
        <v>-2.3885350318469944E-3</v>
      </c>
      <c r="W15">
        <f t="shared" si="7"/>
        <v>-8.9211070102757084E-4</v>
      </c>
      <c r="Y15" s="4" t="s">
        <v>515</v>
      </c>
      <c r="Z15" s="6">
        <f>+SLOPE(V5:V505,$W$5:$W$505)</f>
        <v>1.1251367876718115</v>
      </c>
      <c r="AA15" s="10">
        <f>+V2*252</f>
        <v>0.47286383893199935</v>
      </c>
    </row>
    <row r="16" spans="1:31" x14ac:dyDescent="0.3">
      <c r="A16" t="s">
        <v>493</v>
      </c>
      <c r="B16" s="1">
        <v>22.93</v>
      </c>
      <c r="C16" s="1">
        <v>13.45</v>
      </c>
      <c r="D16" s="1">
        <v>20.540001</v>
      </c>
      <c r="E16" s="1">
        <v>37.57</v>
      </c>
      <c r="F16" s="1">
        <v>13.96</v>
      </c>
      <c r="G16" s="1">
        <v>9.5250000000000004</v>
      </c>
      <c r="H16" s="1">
        <v>5515.4702150000003</v>
      </c>
      <c r="I16" s="1">
        <v>36.529998999999997</v>
      </c>
      <c r="J16" s="1">
        <v>15.9</v>
      </c>
      <c r="K16" s="1">
        <v>3.8319999999999999</v>
      </c>
      <c r="L16" s="1">
        <v>37.68</v>
      </c>
      <c r="M16">
        <f t="shared" si="2"/>
        <v>-7.3593073593074543E-3</v>
      </c>
      <c r="N16">
        <f t="shared" si="1"/>
        <v>-7.4294205052016782E-4</v>
      </c>
      <c r="O16">
        <f t="shared" si="1"/>
        <v>-5.8082768635043802E-3</v>
      </c>
      <c r="P16">
        <f t="shared" si="1"/>
        <v>2.064653570642383E-2</v>
      </c>
      <c r="Q16">
        <f t="shared" si="1"/>
        <v>1.1960855382384894E-2</v>
      </c>
      <c r="R16">
        <f t="shared" si="1"/>
        <v>4.8528325772763115E-3</v>
      </c>
      <c r="S16">
        <f t="shared" si="3"/>
        <v>-7.0671919796903016E-3</v>
      </c>
      <c r="T16">
        <f t="shared" si="4"/>
        <v>-2.003081664098616E-2</v>
      </c>
      <c r="U16">
        <f t="shared" si="5"/>
        <v>1.568217459487764E-3</v>
      </c>
      <c r="V16">
        <f t="shared" si="6"/>
        <v>1.5633477931723982E-2</v>
      </c>
      <c r="W16">
        <f t="shared" si="7"/>
        <v>-6.0621701192653532E-3</v>
      </c>
    </row>
    <row r="17" spans="1:36" x14ac:dyDescent="0.3">
      <c r="A17" t="s">
        <v>492</v>
      </c>
      <c r="B17" s="1">
        <v>23.1</v>
      </c>
      <c r="C17" s="1">
        <v>13.46</v>
      </c>
      <c r="D17" s="1">
        <v>20.66</v>
      </c>
      <c r="E17" s="1">
        <v>36.810001</v>
      </c>
      <c r="F17" s="1">
        <v>13.795</v>
      </c>
      <c r="G17" s="1">
        <v>9.4789999999999992</v>
      </c>
      <c r="H17" s="1">
        <v>5549.1098629999997</v>
      </c>
      <c r="I17" s="1">
        <v>36.790000999999997</v>
      </c>
      <c r="J17" s="1">
        <v>16.225000000000001</v>
      </c>
      <c r="K17" s="1">
        <v>3.8260000000000001</v>
      </c>
      <c r="L17" s="1">
        <v>37.099997999999999</v>
      </c>
      <c r="M17">
        <f t="shared" si="2"/>
        <v>3.4752389226759828E-3</v>
      </c>
      <c r="N17">
        <f t="shared" si="1"/>
        <v>-6.6420664206642277E-3</v>
      </c>
      <c r="O17">
        <f t="shared" si="1"/>
        <v>0</v>
      </c>
      <c r="P17">
        <f t="shared" si="1"/>
        <v>-2.9793338558685711E-3</v>
      </c>
      <c r="Q17">
        <f t="shared" si="1"/>
        <v>1.3592946362968483E-2</v>
      </c>
      <c r="R17">
        <f t="shared" si="1"/>
        <v>8.5115437812532946E-3</v>
      </c>
      <c r="S17">
        <f t="shared" si="3"/>
        <v>-3.5210456945312663E-3</v>
      </c>
      <c r="T17">
        <f t="shared" si="4"/>
        <v>3.0832307696204708E-4</v>
      </c>
      <c r="U17">
        <f t="shared" si="5"/>
        <v>5.3869399553279074E-3</v>
      </c>
      <c r="V17">
        <f t="shared" si="6"/>
        <v>1.3661202932306216E-2</v>
      </c>
      <c r="W17">
        <f t="shared" si="7"/>
        <v>3.8060371286654515E-3</v>
      </c>
    </row>
    <row r="18" spans="1:36" ht="15" thickBot="1" x14ac:dyDescent="0.35">
      <c r="A18" t="s">
        <v>491</v>
      </c>
      <c r="B18" s="1">
        <v>23.02</v>
      </c>
      <c r="C18" s="1">
        <v>13.55</v>
      </c>
      <c r="D18" s="1">
        <v>20.66</v>
      </c>
      <c r="E18" s="1">
        <v>36.919998</v>
      </c>
      <c r="F18" s="1">
        <v>13.61</v>
      </c>
      <c r="G18" s="1">
        <v>9.3989999999999991</v>
      </c>
      <c r="H18" s="1">
        <v>5528.0698240000002</v>
      </c>
      <c r="I18" s="1">
        <v>36.919998</v>
      </c>
      <c r="J18" s="1">
        <v>16.219999000000001</v>
      </c>
      <c r="K18" s="1">
        <v>3.8054999999999999</v>
      </c>
      <c r="L18" s="1">
        <v>36.599997999999999</v>
      </c>
      <c r="M18">
        <f t="shared" si="2"/>
        <v>-4.3425964245502602E-4</v>
      </c>
      <c r="N18">
        <f t="shared" si="1"/>
        <v>-3.67647058823517E-3</v>
      </c>
      <c r="O18">
        <f t="shared" si="1"/>
        <v>-1.2428298279158811E-2</v>
      </c>
      <c r="P18">
        <f t="shared" si="1"/>
        <v>4.0793581724229977E-3</v>
      </c>
      <c r="Q18">
        <f t="shared" si="1"/>
        <v>-3.2954961552544848E-3</v>
      </c>
      <c r="R18">
        <f t="shared" si="1"/>
        <v>-5.3968253968253999E-3</v>
      </c>
      <c r="S18">
        <f t="shared" si="3"/>
        <v>-1.0187694643101763E-2</v>
      </c>
      <c r="T18">
        <f t="shared" si="4"/>
        <v>-5.5180874014768566E-3</v>
      </c>
      <c r="U18">
        <f t="shared" si="5"/>
        <v>-1.4431907635791275E-3</v>
      </c>
      <c r="V18">
        <f t="shared" si="6"/>
        <v>3.2894188596492846E-3</v>
      </c>
      <c r="W18">
        <f t="shared" si="7"/>
        <v>7.3986021626177845E-3</v>
      </c>
    </row>
    <row r="19" spans="1:36" x14ac:dyDescent="0.3">
      <c r="A19" t="s">
        <v>490</v>
      </c>
      <c r="B19" s="1">
        <v>23.030000999999999</v>
      </c>
      <c r="C19" s="1">
        <v>13.6</v>
      </c>
      <c r="D19" s="1">
        <v>20.92</v>
      </c>
      <c r="E19" s="1">
        <v>36.770000000000003</v>
      </c>
      <c r="F19" s="1">
        <v>13.654999999999999</v>
      </c>
      <c r="G19" s="1">
        <v>9.4499999999999993</v>
      </c>
      <c r="H19" s="1">
        <v>5487.4702150000003</v>
      </c>
      <c r="I19" s="1">
        <v>37.299999</v>
      </c>
      <c r="J19" s="1">
        <v>16.309999000000001</v>
      </c>
      <c r="K19" s="1">
        <v>3.8109999999999999</v>
      </c>
      <c r="L19" s="1">
        <v>36.479999999999997</v>
      </c>
      <c r="M19">
        <f t="shared" si="2"/>
        <v>-1.3008673591010655E-3</v>
      </c>
      <c r="N19">
        <f t="shared" si="1"/>
        <v>2.2107590272659738E-3</v>
      </c>
      <c r="O19">
        <f t="shared" si="1"/>
        <v>1.8500437268722747E-2</v>
      </c>
      <c r="P19">
        <f t="shared" si="1"/>
        <v>1.7713783069089883E-2</v>
      </c>
      <c r="Q19">
        <f t="shared" si="1"/>
        <v>1.2231282431430568E-2</v>
      </c>
      <c r="R19">
        <f t="shared" si="1"/>
        <v>7.5701034225397201E-3</v>
      </c>
      <c r="S19">
        <f t="shared" si="3"/>
        <v>2.4187047142891771E-3</v>
      </c>
      <c r="T19">
        <f t="shared" si="4"/>
        <v>1.2414524369054991E-2</v>
      </c>
      <c r="U19">
        <f t="shared" si="5"/>
        <v>1.033934252386004E-2</v>
      </c>
      <c r="V19">
        <f t="shared" si="6"/>
        <v>1.530754244364041E-2</v>
      </c>
      <c r="W19">
        <f t="shared" si="7"/>
        <v>8.0942015643328258E-3</v>
      </c>
      <c r="Y19" s="13"/>
      <c r="Z19" s="13" t="s">
        <v>3</v>
      </c>
      <c r="AA19" s="13" t="s">
        <v>505</v>
      </c>
      <c r="AB19" s="13" t="s">
        <v>506</v>
      </c>
      <c r="AC19" s="13" t="s">
        <v>507</v>
      </c>
      <c r="AD19" s="13" t="s">
        <v>508</v>
      </c>
      <c r="AE19" s="13" t="s">
        <v>509</v>
      </c>
      <c r="AF19" s="13" t="s">
        <v>512</v>
      </c>
      <c r="AG19" s="13" t="s">
        <v>513</v>
      </c>
      <c r="AH19" s="13" t="s">
        <v>514</v>
      </c>
      <c r="AI19" s="13" t="s">
        <v>515</v>
      </c>
    </row>
    <row r="20" spans="1:36" x14ac:dyDescent="0.3">
      <c r="A20" t="s">
        <v>489</v>
      </c>
      <c r="B20" s="1">
        <v>23.059999000000001</v>
      </c>
      <c r="C20" s="1">
        <v>13.57</v>
      </c>
      <c r="D20" s="1">
        <v>20.540001</v>
      </c>
      <c r="E20" s="1">
        <v>36.130001</v>
      </c>
      <c r="F20" s="1">
        <v>13.49</v>
      </c>
      <c r="G20" s="1">
        <v>9.3789999999999996</v>
      </c>
      <c r="H20" s="1">
        <v>5443.4101559999999</v>
      </c>
      <c r="I20" s="1">
        <v>37.209999000000003</v>
      </c>
      <c r="J20" s="1">
        <v>16.110001</v>
      </c>
      <c r="K20" s="1">
        <v>3.7719999999999998</v>
      </c>
      <c r="L20" s="1">
        <v>35.93</v>
      </c>
      <c r="M20">
        <f t="shared" si="2"/>
        <v>1.1847213170372406E-2</v>
      </c>
      <c r="N20">
        <f t="shared" si="1"/>
        <v>1.6479400749063622E-2</v>
      </c>
      <c r="O20">
        <f t="shared" si="1"/>
        <v>1.6831682335065157E-2</v>
      </c>
      <c r="P20">
        <f t="shared" si="1"/>
        <v>-9.8657434987259318E-3</v>
      </c>
      <c r="Q20">
        <f t="shared" si="1"/>
        <v>4.8417132216014291E-3</v>
      </c>
      <c r="R20">
        <f t="shared" si="1"/>
        <v>1.4384598745403432E-2</v>
      </c>
      <c r="S20">
        <f t="shared" si="3"/>
        <v>7.03648154163794E-3</v>
      </c>
      <c r="T20">
        <f t="shared" si="4"/>
        <v>2.6768706182281665E-2</v>
      </c>
      <c r="U20">
        <f t="shared" si="5"/>
        <v>4.1261812857713576E-3</v>
      </c>
      <c r="V20">
        <f t="shared" si="6"/>
        <v>9.2697196218942679E-3</v>
      </c>
      <c r="W20">
        <f t="shared" si="7"/>
        <v>1.1162318785538972E-2</v>
      </c>
      <c r="Y20" s="11" t="s">
        <v>3</v>
      </c>
      <c r="Z20" s="11">
        <f>VARP(Taul2!$M$5:$M$505)</f>
        <v>3.5110350157979556E-4</v>
      </c>
      <c r="AA20" s="11">
        <v>1.7493940471015231E-4</v>
      </c>
      <c r="AB20" s="11">
        <v>9.8539760575294422E-5</v>
      </c>
      <c r="AC20" s="11">
        <v>2.3468879095620595E-4</v>
      </c>
      <c r="AD20" s="11">
        <v>1.7112155927916805E-4</v>
      </c>
      <c r="AE20" s="11">
        <v>2.5843136018272571E-4</v>
      </c>
      <c r="AF20" s="11">
        <v>9.4519479622567201E-5</v>
      </c>
      <c r="AG20" s="11">
        <v>2.0171275780987033E-4</v>
      </c>
      <c r="AH20" s="11">
        <v>1.5581847122478711E-4</v>
      </c>
      <c r="AI20" s="11">
        <v>1.9770364724035506E-4</v>
      </c>
    </row>
    <row r="21" spans="1:36" x14ac:dyDescent="0.3">
      <c r="A21" t="s">
        <v>488</v>
      </c>
      <c r="B21" s="1">
        <v>22.790001</v>
      </c>
      <c r="C21" s="1">
        <v>13.35</v>
      </c>
      <c r="D21" s="1">
        <v>20.200001</v>
      </c>
      <c r="E21" s="1">
        <v>36.490001999999997</v>
      </c>
      <c r="F21" s="1">
        <v>13.425000000000001</v>
      </c>
      <c r="G21" s="1">
        <v>9.2460000000000004</v>
      </c>
      <c r="H21" s="1">
        <v>5383.3198240000002</v>
      </c>
      <c r="I21" s="1">
        <v>36.950001</v>
      </c>
      <c r="J21" s="1">
        <v>15.69</v>
      </c>
      <c r="K21" s="1">
        <v>3.7565</v>
      </c>
      <c r="L21" s="1">
        <v>35.599997999999999</v>
      </c>
      <c r="M21">
        <f t="shared" si="2"/>
        <v>-2.6068333333333249E-2</v>
      </c>
      <c r="N21">
        <f t="shared" si="2"/>
        <v>-1.6212232866617549E-2</v>
      </c>
      <c r="O21">
        <f t="shared" si="2"/>
        <v>-9.890208204264006E-4</v>
      </c>
      <c r="P21">
        <f t="shared" si="2"/>
        <v>-1.164669618887848E-2</v>
      </c>
      <c r="Q21">
        <f t="shared" si="2"/>
        <v>-7.0266272189348777E-3</v>
      </c>
      <c r="R21">
        <f t="shared" ref="R21:R84" si="8">+G21/G22-1</f>
        <v>-2.5916561314791475E-2</v>
      </c>
      <c r="S21">
        <f t="shared" si="3"/>
        <v>-4.3115062163430196E-3</v>
      </c>
      <c r="T21">
        <f t="shared" si="4"/>
        <v>0</v>
      </c>
      <c r="U21">
        <f t="shared" si="5"/>
        <v>3.99467376830831E-4</v>
      </c>
      <c r="V21">
        <f t="shared" si="6"/>
        <v>-1.1660244308717482E-2</v>
      </c>
      <c r="W21">
        <f t="shared" si="7"/>
        <v>-1.10917884595223E-2</v>
      </c>
      <c r="Y21" s="11" t="s">
        <v>505</v>
      </c>
      <c r="Z21" s="11">
        <v>1.7493940471015231E-4</v>
      </c>
      <c r="AA21" s="11">
        <f>VARP(Taul2!$N$5:$N$505)</f>
        <v>3.8045874112192205E-4</v>
      </c>
      <c r="AB21" s="11">
        <v>8.6605058632347053E-5</v>
      </c>
      <c r="AC21" s="11">
        <v>2.468558267542744E-4</v>
      </c>
      <c r="AD21" s="11">
        <v>1.9301489208291083E-4</v>
      </c>
      <c r="AE21" s="11">
        <v>2.4712921244115366E-4</v>
      </c>
      <c r="AF21" s="11">
        <v>8.7324797650738584E-5</v>
      </c>
      <c r="AG21" s="11">
        <v>2.1508093491689421E-4</v>
      </c>
      <c r="AH21" s="11">
        <v>1.4335780300529167E-4</v>
      </c>
      <c r="AI21" s="11">
        <v>2.2420505578249145E-4</v>
      </c>
    </row>
    <row r="22" spans="1:36" x14ac:dyDescent="0.3">
      <c r="A22" t="s">
        <v>487</v>
      </c>
      <c r="B22" s="1">
        <v>23.4</v>
      </c>
      <c r="C22" s="1">
        <v>13.57</v>
      </c>
      <c r="D22" s="1">
        <v>20.219999000000001</v>
      </c>
      <c r="E22" s="1">
        <v>36.919998</v>
      </c>
      <c r="F22" s="1">
        <v>13.52</v>
      </c>
      <c r="G22" s="1">
        <v>9.4920000000000009</v>
      </c>
      <c r="H22" s="1">
        <v>5443.7001950000003</v>
      </c>
      <c r="I22" s="1">
        <v>37.110000999999997</v>
      </c>
      <c r="J22" s="1">
        <v>15.69</v>
      </c>
      <c r="K22" s="1">
        <v>3.7549999999999999</v>
      </c>
      <c r="L22" s="1">
        <v>36.020000000000003</v>
      </c>
      <c r="M22">
        <f t="shared" si="2"/>
        <v>9.4909404659189178E-3</v>
      </c>
      <c r="N22">
        <f t="shared" si="2"/>
        <v>1.4200298953662038E-2</v>
      </c>
      <c r="O22">
        <f t="shared" si="2"/>
        <v>2.9761408730160088E-3</v>
      </c>
      <c r="P22">
        <f t="shared" si="2"/>
        <v>-4.8517522831132975E-3</v>
      </c>
      <c r="Q22">
        <f t="shared" si="2"/>
        <v>0</v>
      </c>
      <c r="R22">
        <f t="shared" si="8"/>
        <v>1.1832427246562194E-2</v>
      </c>
      <c r="S22">
        <f t="shared" si="3"/>
        <v>1.3491634822135889E-3</v>
      </c>
      <c r="T22">
        <f t="shared" si="4"/>
        <v>9.9774702285162498E-3</v>
      </c>
      <c r="U22">
        <f t="shared" si="5"/>
        <v>5.2201847142283597E-3</v>
      </c>
      <c r="V22">
        <f t="shared" si="6"/>
        <v>-7.7134712868723865E-3</v>
      </c>
      <c r="W22">
        <f t="shared" si="7"/>
        <v>7.5850642582275807E-3</v>
      </c>
      <c r="Y22" s="11" t="s">
        <v>506</v>
      </c>
      <c r="Z22" s="11">
        <v>9.8539760575294422E-5</v>
      </c>
      <c r="AA22" s="11">
        <v>8.6605058632347053E-5</v>
      </c>
      <c r="AB22" s="11">
        <f>VARP(Taul2!$O$5:$O$505)</f>
        <v>2.6306939120290134E-4</v>
      </c>
      <c r="AC22" s="11">
        <v>5.5381476591934372E-5</v>
      </c>
      <c r="AD22" s="11">
        <v>3.6941738328649281E-5</v>
      </c>
      <c r="AE22" s="11">
        <v>9.6411354762411446E-5</v>
      </c>
      <c r="AF22" s="11">
        <v>6.3330989549777546E-5</v>
      </c>
      <c r="AG22" s="11">
        <v>9.0110432870822767E-5</v>
      </c>
      <c r="AH22" s="11">
        <v>6.48443208761383E-5</v>
      </c>
      <c r="AI22" s="11">
        <v>1.2664371301356888E-4</v>
      </c>
    </row>
    <row r="23" spans="1:36" x14ac:dyDescent="0.3">
      <c r="A23" t="s">
        <v>486</v>
      </c>
      <c r="B23" s="1">
        <v>23.18</v>
      </c>
      <c r="C23" s="1">
        <v>13.38</v>
      </c>
      <c r="D23" s="1">
        <v>20.16</v>
      </c>
      <c r="E23" s="1">
        <v>37.099997999999999</v>
      </c>
      <c r="F23" s="1">
        <v>13.52</v>
      </c>
      <c r="G23" s="1">
        <v>9.3810000000000002</v>
      </c>
      <c r="H23" s="1">
        <v>5402.7202150000003</v>
      </c>
      <c r="I23" s="1">
        <v>37.060001</v>
      </c>
      <c r="J23" s="1">
        <v>15.535</v>
      </c>
      <c r="K23" s="1">
        <v>3.7355</v>
      </c>
      <c r="L23" s="1">
        <v>36.299999</v>
      </c>
      <c r="Y23" s="11" t="s">
        <v>507</v>
      </c>
      <c r="Z23" s="11">
        <v>2.3468879095620595E-4</v>
      </c>
      <c r="AA23" s="11">
        <v>2.468558267542744E-4</v>
      </c>
      <c r="AB23" s="11">
        <v>5.5381476591934372E-5</v>
      </c>
      <c r="AC23" s="11">
        <f>VARP(Taul2!$P$5:$P$505)</f>
        <v>7.1212368743554138E-4</v>
      </c>
      <c r="AD23" s="11">
        <v>3.9077910816553995E-4</v>
      </c>
      <c r="AE23" s="11">
        <v>3.5745798419134858E-4</v>
      </c>
      <c r="AF23" s="11">
        <v>4.3045356282919846E-5</v>
      </c>
      <c r="AG23" s="11">
        <v>3.3236806141091903E-4</v>
      </c>
      <c r="AH23" s="11">
        <v>1.8439985848032941E-4</v>
      </c>
      <c r="AI23" s="11">
        <v>3.1939796087104426E-4</v>
      </c>
    </row>
    <row r="24" spans="1:36" x14ac:dyDescent="0.3">
      <c r="A24" t="s">
        <v>485</v>
      </c>
      <c r="B24" s="1">
        <v>23.24</v>
      </c>
      <c r="C24" s="1">
        <v>13.59</v>
      </c>
      <c r="D24" s="1">
        <v>19.649999999999999</v>
      </c>
      <c r="E24" s="1">
        <v>37.720001000000003</v>
      </c>
      <c r="F24" s="1">
        <v>13.535</v>
      </c>
      <c r="G24" s="1">
        <v>9.5239999999999991</v>
      </c>
      <c r="H24" s="1"/>
      <c r="I24" s="1">
        <v>36.82</v>
      </c>
      <c r="J24" s="1">
        <v>15.77</v>
      </c>
      <c r="K24" s="1">
        <v>3.74</v>
      </c>
      <c r="L24" s="1">
        <v>36.279998999999997</v>
      </c>
      <c r="Y24" s="11" t="s">
        <v>508</v>
      </c>
      <c r="Z24" s="11">
        <v>1.7112155927916805E-4</v>
      </c>
      <c r="AA24" s="11">
        <v>1.9301489208291083E-4</v>
      </c>
      <c r="AB24" s="11">
        <v>3.6941738328649281E-5</v>
      </c>
      <c r="AC24" s="11">
        <v>3.9077910816553995E-4</v>
      </c>
      <c r="AD24" s="11">
        <f>VARP(Taul2!$Q$5:$Q$505)</f>
        <v>2.1256706191094786E-3</v>
      </c>
      <c r="AE24" s="11">
        <v>2.5916849682621498E-4</v>
      </c>
      <c r="AF24" s="11">
        <v>9.2354919171257571E-5</v>
      </c>
      <c r="AG24" s="11">
        <v>3.0997504087552821E-4</v>
      </c>
      <c r="AH24" s="11">
        <v>1.6751411853421053E-4</v>
      </c>
      <c r="AI24" s="11">
        <v>2.599665802351448E-4</v>
      </c>
    </row>
    <row r="25" spans="1:36" x14ac:dyDescent="0.3">
      <c r="A25" t="s">
        <v>484</v>
      </c>
      <c r="B25" s="1">
        <v>23.23</v>
      </c>
      <c r="C25" s="1">
        <v>13.41</v>
      </c>
      <c r="D25" s="1">
        <v>19.600000000000001</v>
      </c>
      <c r="E25" s="1">
        <v>37.520000000000003</v>
      </c>
      <c r="F25" s="1">
        <v>13.28</v>
      </c>
      <c r="G25" s="1">
        <v>9.4450000000000003</v>
      </c>
      <c r="H25" s="1">
        <v>5388.6098629999997</v>
      </c>
      <c r="I25" s="1">
        <v>36.619999</v>
      </c>
      <c r="J25" s="1">
        <v>15.455</v>
      </c>
      <c r="K25" s="1">
        <v>3.7309999999999999</v>
      </c>
      <c r="L25" s="1">
        <v>35.020000000000003</v>
      </c>
      <c r="M25">
        <f t="shared" si="2"/>
        <v>1.2930602890921516E-3</v>
      </c>
      <c r="N25">
        <f t="shared" si="2"/>
        <v>1.0550113036925435E-2</v>
      </c>
      <c r="O25">
        <f t="shared" si="2"/>
        <v>1.3443640124095158E-2</v>
      </c>
      <c r="P25">
        <f t="shared" si="2"/>
        <v>2.541678054113139E-2</v>
      </c>
      <c r="Q25">
        <f t="shared" si="2"/>
        <v>8.7187883749488382E-2</v>
      </c>
      <c r="R25">
        <f t="shared" si="8"/>
        <v>-9.5197799873070199E-4</v>
      </c>
      <c r="S25">
        <f t="shared" si="3"/>
        <v>1.9151847309215597E-3</v>
      </c>
      <c r="T25">
        <f t="shared" si="4"/>
        <v>1.013071895424833E-2</v>
      </c>
      <c r="U25">
        <f t="shared" si="5"/>
        <v>2.2834116856951248E-3</v>
      </c>
      <c r="V25">
        <f t="shared" si="6"/>
        <v>-6.0874254200207534E-2</v>
      </c>
      <c r="W25">
        <f t="shared" si="7"/>
        <v>4.7284506595812736E-3</v>
      </c>
      <c r="Y25" s="11" t="s">
        <v>509</v>
      </c>
      <c r="Z25" s="11">
        <v>2.5843136018272571E-4</v>
      </c>
      <c r="AA25" s="11">
        <v>2.4712921244115366E-4</v>
      </c>
      <c r="AB25" s="11">
        <v>9.6411354762411446E-5</v>
      </c>
      <c r="AC25" s="11">
        <v>3.5745798419134858E-4</v>
      </c>
      <c r="AD25" s="11">
        <v>2.5916849682621498E-4</v>
      </c>
      <c r="AE25" s="11">
        <f>VARP(Taul2!$R$5:$R$505)</f>
        <v>4.769275004660193E-4</v>
      </c>
      <c r="AF25" s="11">
        <v>6.3396633256616782E-5</v>
      </c>
      <c r="AG25" s="11">
        <v>2.9453547370474162E-4</v>
      </c>
      <c r="AH25" s="11">
        <v>1.7085690849208188E-4</v>
      </c>
      <c r="AI25" s="11">
        <v>3.017701051081046E-4</v>
      </c>
    </row>
    <row r="26" spans="1:36" x14ac:dyDescent="0.3">
      <c r="A26" t="s">
        <v>483</v>
      </c>
      <c r="B26" s="1">
        <v>23.200001</v>
      </c>
      <c r="C26" s="1">
        <v>13.27</v>
      </c>
      <c r="D26" s="1">
        <v>19.34</v>
      </c>
      <c r="E26" s="1">
        <v>36.590000000000003</v>
      </c>
      <c r="F26" s="1">
        <v>12.215</v>
      </c>
      <c r="G26" s="1">
        <v>9.4540000000000006</v>
      </c>
      <c r="H26" s="1">
        <v>5363.25</v>
      </c>
      <c r="I26" s="1">
        <v>36.549999</v>
      </c>
      <c r="J26" s="1">
        <v>15.3</v>
      </c>
      <c r="K26" s="1">
        <v>3.7225000000000001</v>
      </c>
      <c r="L26" s="1">
        <v>37.290000999999997</v>
      </c>
      <c r="M26">
        <f t="shared" si="2"/>
        <v>-2.5794926913156324E-3</v>
      </c>
      <c r="N26">
        <f t="shared" si="2"/>
        <v>-7.5301204819278045E-4</v>
      </c>
      <c r="O26">
        <f t="shared" si="2"/>
        <v>3.6325895173845435E-3</v>
      </c>
      <c r="P26">
        <f t="shared" si="2"/>
        <v>3.012387387387383E-2</v>
      </c>
      <c r="Q26">
        <f t="shared" si="2"/>
        <v>4.5230263157893802E-3</v>
      </c>
      <c r="R26">
        <f t="shared" si="8"/>
        <v>5.9587146201320884E-3</v>
      </c>
      <c r="S26">
        <f t="shared" si="3"/>
        <v>8.2758344827587038E-3</v>
      </c>
      <c r="T26">
        <f t="shared" si="4"/>
        <v>-5.5248618784530246E-3</v>
      </c>
      <c r="U26">
        <f t="shared" si="5"/>
        <v>-6.0080106809078382E-3</v>
      </c>
      <c r="V26">
        <f t="shared" si="6"/>
        <v>1.3866286402019812E-2</v>
      </c>
      <c r="W26">
        <f t="shared" si="7"/>
        <v>5.9042269043705353E-3</v>
      </c>
      <c r="Y26" s="11" t="s">
        <v>512</v>
      </c>
      <c r="Z26" s="11">
        <v>9.4519479622567201E-5</v>
      </c>
      <c r="AA26" s="11">
        <v>8.7324797650738584E-5</v>
      </c>
      <c r="AB26" s="11">
        <v>6.3330989549777546E-5</v>
      </c>
      <c r="AC26" s="11">
        <v>4.3045356282919846E-5</v>
      </c>
      <c r="AD26" s="11">
        <v>9.2354919171257571E-5</v>
      </c>
      <c r="AE26" s="11">
        <v>6.3396633256616782E-5</v>
      </c>
      <c r="AF26" s="11">
        <f>VARP(Taul2!$S$5:$S$505)</f>
        <v>3.6749943991131254E-4</v>
      </c>
      <c r="AG26" s="11">
        <v>8.3441678434199962E-5</v>
      </c>
      <c r="AH26" s="11">
        <v>1.4066524680695332E-4</v>
      </c>
      <c r="AI26" s="11">
        <v>9.3274556588583587E-5</v>
      </c>
    </row>
    <row r="27" spans="1:36" x14ac:dyDescent="0.3">
      <c r="A27" t="s">
        <v>482</v>
      </c>
      <c r="B27" s="1">
        <v>23.26</v>
      </c>
      <c r="C27" s="1">
        <v>13.28</v>
      </c>
      <c r="D27" s="1">
        <v>19.27</v>
      </c>
      <c r="E27" s="1">
        <v>35.520000000000003</v>
      </c>
      <c r="F27" s="1">
        <v>12.16</v>
      </c>
      <c r="G27" s="1">
        <v>9.3979999999999997</v>
      </c>
      <c r="H27" s="1">
        <v>5331.7700199999999</v>
      </c>
      <c r="I27" s="1">
        <v>36.25</v>
      </c>
      <c r="J27" s="1">
        <v>15.385</v>
      </c>
      <c r="K27" s="1">
        <v>3.7450000000000001</v>
      </c>
      <c r="L27" s="1">
        <v>36.779998999999997</v>
      </c>
      <c r="M27">
        <f t="shared" si="2"/>
        <v>-1.690617075232459E-2</v>
      </c>
      <c r="N27">
        <f t="shared" si="2"/>
        <v>1.5082956259426794E-3</v>
      </c>
      <c r="O27">
        <f t="shared" si="2"/>
        <v>-6.7010309278350277E-3</v>
      </c>
      <c r="P27">
        <f t="shared" si="2"/>
        <v>-1.0585013337882199E-2</v>
      </c>
      <c r="Q27">
        <f t="shared" si="2"/>
        <v>-1.2320328542094749E-3</v>
      </c>
      <c r="R27">
        <f t="shared" si="8"/>
        <v>-4.5546022667091179E-3</v>
      </c>
      <c r="S27">
        <f t="shared" si="3"/>
        <v>-1.1453450311069036E-2</v>
      </c>
      <c r="T27">
        <f t="shared" si="4"/>
        <v>1.7190082644628069E-2</v>
      </c>
      <c r="U27">
        <f t="shared" si="5"/>
        <v>2.8846153846153744E-2</v>
      </c>
      <c r="V27">
        <f t="shared" si="6"/>
        <v>-1.1290376040581362E-2</v>
      </c>
      <c r="W27">
        <f t="shared" si="7"/>
        <v>-7.2412207941611184E-3</v>
      </c>
      <c r="Y27" s="11" t="s">
        <v>513</v>
      </c>
      <c r="Z27" s="11">
        <v>2.0171275780987033E-4</v>
      </c>
      <c r="AA27" s="11">
        <v>2.1508093491689421E-4</v>
      </c>
      <c r="AB27" s="11">
        <v>9.0110432870822767E-5</v>
      </c>
      <c r="AC27" s="11">
        <v>3.3236806141091903E-4</v>
      </c>
      <c r="AD27" s="11">
        <v>3.0997504087552821E-4</v>
      </c>
      <c r="AE27" s="11">
        <v>2.9453547370474162E-4</v>
      </c>
      <c r="AF27" s="11">
        <v>8.3441678434199962E-5</v>
      </c>
      <c r="AG27" s="11">
        <f>VARP(Taul2!$T$5:$T$505)</f>
        <v>4.6424313417086038E-4</v>
      </c>
      <c r="AH27" s="11">
        <v>1.5937900523938168E-4</v>
      </c>
      <c r="AI27" s="11">
        <v>3.0830340758643867E-4</v>
      </c>
    </row>
    <row r="28" spans="1:36" x14ac:dyDescent="0.3">
      <c r="A28" t="s">
        <v>481</v>
      </c>
      <c r="B28" s="1">
        <v>23.66</v>
      </c>
      <c r="C28" s="1">
        <v>13.26</v>
      </c>
      <c r="D28" s="1">
        <v>19.399999999999999</v>
      </c>
      <c r="E28" s="1">
        <v>35.900002000000001</v>
      </c>
      <c r="F28" s="1">
        <v>12.175000000000001</v>
      </c>
      <c r="G28" s="1">
        <v>9.4410000000000007</v>
      </c>
      <c r="H28" s="1">
        <v>5370.6601559999999</v>
      </c>
      <c r="I28" s="1">
        <v>36.669998</v>
      </c>
      <c r="J28" s="1">
        <v>15.125</v>
      </c>
      <c r="K28" s="1">
        <v>3.64</v>
      </c>
      <c r="L28" s="1">
        <v>37.200001</v>
      </c>
      <c r="M28">
        <f t="shared" si="2"/>
        <v>-5.8823111715257115E-3</v>
      </c>
      <c r="N28">
        <f t="shared" si="2"/>
        <v>1.4537107880642663E-2</v>
      </c>
      <c r="O28">
        <f t="shared" si="2"/>
        <v>-3.0831964585404936E-3</v>
      </c>
      <c r="P28">
        <f t="shared" si="2"/>
        <v>1.2693962970551143E-2</v>
      </c>
      <c r="Q28">
        <f t="shared" si="2"/>
        <v>5.7827344072698406E-3</v>
      </c>
      <c r="R28">
        <f t="shared" si="8"/>
        <v>7.0400000000001572E-3</v>
      </c>
      <c r="S28">
        <f t="shared" si="3"/>
        <v>4.3823612370506027E-3</v>
      </c>
      <c r="T28">
        <f t="shared" si="4"/>
        <v>-4.6067785455742305E-3</v>
      </c>
      <c r="U28">
        <f t="shared" si="5"/>
        <v>2.3406305934188243E-3</v>
      </c>
      <c r="V28">
        <f t="shared" si="6"/>
        <v>1.4176690294438465E-2</v>
      </c>
      <c r="W28">
        <f t="shared" si="7"/>
        <v>3.3872527063387725E-3</v>
      </c>
      <c r="Y28" s="11" t="s">
        <v>514</v>
      </c>
      <c r="Z28" s="11">
        <v>1.5581847122478711E-4</v>
      </c>
      <c r="AA28" s="11">
        <v>1.4335780300529167E-4</v>
      </c>
      <c r="AB28" s="11">
        <v>6.48443208761383E-5</v>
      </c>
      <c r="AC28" s="11">
        <v>1.8439985848032941E-4</v>
      </c>
      <c r="AD28" s="11">
        <v>1.6751411853421053E-4</v>
      </c>
      <c r="AE28" s="11">
        <v>1.7085690849208188E-4</v>
      </c>
      <c r="AF28" s="11">
        <v>1.4066524680695332E-4</v>
      </c>
      <c r="AG28" s="11">
        <v>1.5937900523938168E-4</v>
      </c>
      <c r="AH28" s="11">
        <f>VARP(Taul2!$U$5:$U$505)</f>
        <v>1.1272227522672808E-3</v>
      </c>
      <c r="AI28" s="11">
        <v>1.6072243685380657E-4</v>
      </c>
    </row>
    <row r="29" spans="1:36" ht="15" thickBot="1" x14ac:dyDescent="0.35">
      <c r="A29" t="s">
        <v>480</v>
      </c>
      <c r="B29" s="1">
        <v>23.799999</v>
      </c>
      <c r="C29" s="1">
        <v>13.07</v>
      </c>
      <c r="D29" s="1">
        <v>19.459999</v>
      </c>
      <c r="E29" s="1">
        <v>35.450001</v>
      </c>
      <c r="F29" s="1">
        <v>12.105</v>
      </c>
      <c r="G29" s="1">
        <v>9.375</v>
      </c>
      <c r="H29" s="1">
        <v>5352.5297849999997</v>
      </c>
      <c r="I29" s="1">
        <v>36.509998000000003</v>
      </c>
      <c r="J29" s="1">
        <v>15.195</v>
      </c>
      <c r="K29" s="1">
        <v>3.6315</v>
      </c>
      <c r="L29" s="1">
        <v>36.68</v>
      </c>
      <c r="M29">
        <f t="shared" si="2"/>
        <v>6.3424524312896136E-3</v>
      </c>
      <c r="N29">
        <f t="shared" si="2"/>
        <v>-2.2900763358778553E-3</v>
      </c>
      <c r="O29">
        <f t="shared" si="2"/>
        <v>9.3359953663902928E-3</v>
      </c>
      <c r="P29">
        <f t="shared" si="2"/>
        <v>-1.8820923918601573E-2</v>
      </c>
      <c r="Q29">
        <f t="shared" si="2"/>
        <v>-6.9729286300245219E-3</v>
      </c>
      <c r="R29">
        <f t="shared" si="8"/>
        <v>-1.0658505698607046E-2</v>
      </c>
      <c r="S29">
        <f t="shared" si="3"/>
        <v>-3.2760850866478952E-3</v>
      </c>
      <c r="T29">
        <f t="shared" si="4"/>
        <v>-6.5767839526464922E-4</v>
      </c>
      <c r="U29">
        <f t="shared" si="5"/>
        <v>3.3153750518026825E-3</v>
      </c>
      <c r="V29">
        <f t="shared" si="6"/>
        <v>3.5567990029219398E-3</v>
      </c>
      <c r="W29">
        <f t="shared" si="7"/>
        <v>2.2619048130640973E-3</v>
      </c>
      <c r="Y29" s="12" t="s">
        <v>515</v>
      </c>
      <c r="Z29" s="12">
        <v>1.9770364724035506E-4</v>
      </c>
      <c r="AA29" s="12">
        <v>2.2420505578249145E-4</v>
      </c>
      <c r="AB29" s="12">
        <v>1.2664371301356888E-4</v>
      </c>
      <c r="AC29" s="12">
        <v>3.1939796087104426E-4</v>
      </c>
      <c r="AD29" s="12">
        <v>2.599665802351448E-4</v>
      </c>
      <c r="AE29" s="12">
        <v>3.017701051081046E-4</v>
      </c>
      <c r="AF29" s="12">
        <v>9.3274556588583587E-5</v>
      </c>
      <c r="AG29" s="12">
        <v>3.0830340758643867E-4</v>
      </c>
      <c r="AH29" s="12">
        <v>1.6072243685380657E-4</v>
      </c>
      <c r="AI29" s="12">
        <f>VARP(Taul2!$V$5:$V$505)</f>
        <v>5.8292982279735883E-4</v>
      </c>
    </row>
    <row r="30" spans="1:36" x14ac:dyDescent="0.3">
      <c r="A30" t="s">
        <v>479</v>
      </c>
      <c r="B30" s="1">
        <v>23.65</v>
      </c>
      <c r="C30" s="1">
        <v>13.1</v>
      </c>
      <c r="D30" s="1">
        <v>19.280000999999999</v>
      </c>
      <c r="E30" s="1">
        <v>36.130001</v>
      </c>
      <c r="F30" s="1">
        <v>12.19</v>
      </c>
      <c r="G30" s="1">
        <v>9.4760000000000009</v>
      </c>
      <c r="H30" s="1">
        <v>5340.4501950000003</v>
      </c>
      <c r="I30" s="1">
        <v>36.630001</v>
      </c>
      <c r="J30" s="1">
        <v>15.205</v>
      </c>
      <c r="K30" s="1">
        <v>3.6194999999999999</v>
      </c>
      <c r="L30" s="1">
        <v>36.549999</v>
      </c>
      <c r="M30">
        <f t="shared" si="2"/>
        <v>9.3896713615022609E-3</v>
      </c>
      <c r="N30">
        <f t="shared" si="2"/>
        <v>-5.3151100987092192E-3</v>
      </c>
      <c r="O30">
        <f t="shared" si="2"/>
        <v>5.2138164754953475E-3</v>
      </c>
      <c r="P30">
        <f t="shared" si="2"/>
        <v>-6.8719074526688573E-3</v>
      </c>
      <c r="Q30">
        <f t="shared" si="2"/>
        <v>5.7755775577557067E-3</v>
      </c>
      <c r="R30">
        <f t="shared" si="8"/>
        <v>1.0342253971638904E-2</v>
      </c>
      <c r="S30">
        <f t="shared" si="3"/>
        <v>4.938271469457467E-3</v>
      </c>
      <c r="T30">
        <f t="shared" si="4"/>
        <v>2.4941017863161496E-2</v>
      </c>
      <c r="U30">
        <f t="shared" si="5"/>
        <v>3.6046028004990127E-3</v>
      </c>
      <c r="V30">
        <f t="shared" si="6"/>
        <v>1.0505972380755901E-2</v>
      </c>
      <c r="W30">
        <f t="shared" si="7"/>
        <v>1.0404058380114378E-2</v>
      </c>
    </row>
    <row r="31" spans="1:36" x14ac:dyDescent="0.3">
      <c r="A31" t="s">
        <v>478</v>
      </c>
      <c r="B31" s="1">
        <v>23.43</v>
      </c>
      <c r="C31" s="1">
        <v>13.17</v>
      </c>
      <c r="D31" s="1">
        <v>19.18</v>
      </c>
      <c r="E31" s="1">
        <v>36.380001</v>
      </c>
      <c r="F31" s="1">
        <v>12.12</v>
      </c>
      <c r="G31" s="1">
        <v>9.3789999999999996</v>
      </c>
      <c r="H31" s="1">
        <v>5285.4599609999996</v>
      </c>
      <c r="I31" s="1">
        <v>36.450001</v>
      </c>
      <c r="J31" s="1">
        <v>14.835000000000001</v>
      </c>
      <c r="K31" s="1">
        <v>3.6065</v>
      </c>
      <c r="L31" s="1">
        <v>36.169998</v>
      </c>
      <c r="M31">
        <f t="shared" si="2"/>
        <v>-5.5177846145070264E-3</v>
      </c>
      <c r="N31">
        <f t="shared" si="2"/>
        <v>-7.587253414264028E-4</v>
      </c>
      <c r="O31">
        <f t="shared" si="2"/>
        <v>-7.2463768115942351E-3</v>
      </c>
      <c r="P31">
        <f t="shared" si="2"/>
        <v>1.1961056690930283E-2</v>
      </c>
      <c r="Q31">
        <f t="shared" si="2"/>
        <v>-1.101591187270512E-2</v>
      </c>
      <c r="R31">
        <f t="shared" si="8"/>
        <v>1.0885966803190206E-2</v>
      </c>
      <c r="S31">
        <f t="shared" si="3"/>
        <v>-1.8314031286990828E-2</v>
      </c>
      <c r="T31">
        <f t="shared" si="4"/>
        <v>-1.8849206349206282E-2</v>
      </c>
      <c r="U31">
        <f t="shared" si="5"/>
        <v>-1.1917808219178094E-2</v>
      </c>
      <c r="V31">
        <f t="shared" si="6"/>
        <v>-1.4441498244100903E-2</v>
      </c>
      <c r="W31">
        <f t="shared" si="7"/>
        <v>-8.0028783648427027E-3</v>
      </c>
      <c r="Z31" t="s">
        <v>519</v>
      </c>
      <c r="AA31" t="s">
        <v>524</v>
      </c>
      <c r="AB31" t="s">
        <v>525</v>
      </c>
      <c r="AD31" t="s">
        <v>519</v>
      </c>
      <c r="AE31" t="s">
        <v>524</v>
      </c>
      <c r="AF31" t="s">
        <v>525</v>
      </c>
      <c r="AH31" t="s">
        <v>519</v>
      </c>
      <c r="AI31" t="s">
        <v>524</v>
      </c>
      <c r="AJ31" t="s">
        <v>525</v>
      </c>
    </row>
    <row r="32" spans="1:36" x14ac:dyDescent="0.3">
      <c r="A32" t="s">
        <v>477</v>
      </c>
      <c r="B32" s="1">
        <v>23.559999000000001</v>
      </c>
      <c r="C32" s="1">
        <v>13.18</v>
      </c>
      <c r="D32" s="1">
        <v>19.32</v>
      </c>
      <c r="E32" s="1">
        <v>35.950001</v>
      </c>
      <c r="F32" s="1">
        <v>12.255000000000001</v>
      </c>
      <c r="G32" s="1">
        <v>9.2780000000000005</v>
      </c>
      <c r="H32" s="1">
        <v>5328.1000979999999</v>
      </c>
      <c r="I32" s="1">
        <v>37.130001</v>
      </c>
      <c r="J32" s="1">
        <v>15.12</v>
      </c>
      <c r="K32" s="1">
        <v>3.65</v>
      </c>
      <c r="L32" s="1">
        <v>36.700001</v>
      </c>
      <c r="M32">
        <f t="shared" si="2"/>
        <v>-1.271767698177162E-3</v>
      </c>
      <c r="N32">
        <f t="shared" si="2"/>
        <v>-3.7792894935753107E-3</v>
      </c>
      <c r="O32">
        <f t="shared" si="2"/>
        <v>6.77430918320443E-3</v>
      </c>
      <c r="P32">
        <f t="shared" si="2"/>
        <v>-6.6316111254934862E-3</v>
      </c>
      <c r="Q32">
        <f t="shared" si="2"/>
        <v>9.4728171334432787E-3</v>
      </c>
      <c r="R32">
        <f t="shared" si="8"/>
        <v>-7.7005347593581686E-3</v>
      </c>
      <c r="S32">
        <f t="shared" si="3"/>
        <v>5.3893827704287744E-4</v>
      </c>
      <c r="T32">
        <f t="shared" si="4"/>
        <v>9.009009009008917E-3</v>
      </c>
      <c r="U32">
        <f t="shared" si="5"/>
        <v>5.5096418732782926E-3</v>
      </c>
      <c r="V32">
        <f t="shared" si="6"/>
        <v>2.0862308181855083E-2</v>
      </c>
      <c r="W32">
        <f t="shared" si="7"/>
        <v>5.3645182470667407E-3</v>
      </c>
      <c r="Y32" s="11" t="s">
        <v>3</v>
      </c>
      <c r="Z32" s="7">
        <v>0.05</v>
      </c>
      <c r="AA32">
        <v>0</v>
      </c>
      <c r="AB32" s="7">
        <f t="shared" ref="AB32:AB41" si="9">SUMPRODUCT(Z32,AA32)</f>
        <v>0</v>
      </c>
      <c r="AD32" s="7">
        <v>0.05</v>
      </c>
      <c r="AE32">
        <v>1</v>
      </c>
      <c r="AF32" s="7">
        <f t="shared" ref="AF32:AF41" si="10">SUMPRODUCT(AD32,AE32)</f>
        <v>0.05</v>
      </c>
      <c r="AH32" s="7">
        <v>0.05</v>
      </c>
      <c r="AI32">
        <v>0</v>
      </c>
      <c r="AJ32" s="7">
        <f t="shared" ref="AJ32:AJ41" si="11">SUMPRODUCT(AH32,AI32)</f>
        <v>0</v>
      </c>
    </row>
    <row r="33" spans="1:36" x14ac:dyDescent="0.3">
      <c r="A33" t="s">
        <v>476</v>
      </c>
      <c r="B33" s="1">
        <v>23.59</v>
      </c>
      <c r="C33" s="1">
        <v>13.23</v>
      </c>
      <c r="D33" s="1">
        <v>19.190000999999999</v>
      </c>
      <c r="E33" s="1">
        <v>36.189999</v>
      </c>
      <c r="F33" s="1">
        <v>12.14</v>
      </c>
      <c r="G33" s="1">
        <v>9.35</v>
      </c>
      <c r="H33" s="1">
        <v>5299.669922</v>
      </c>
      <c r="I33" s="1">
        <v>37.110000999999997</v>
      </c>
      <c r="J33" s="1">
        <v>14.984999999999999</v>
      </c>
      <c r="K33" s="1">
        <v>3.63</v>
      </c>
      <c r="L33" s="1">
        <v>35.950001</v>
      </c>
      <c r="M33">
        <f t="shared" si="2"/>
        <v>1.1144449207029616E-2</v>
      </c>
      <c r="N33">
        <f t="shared" si="2"/>
        <v>3.0326004548901775E-3</v>
      </c>
      <c r="O33">
        <f t="shared" si="2"/>
        <v>-2.5987006237006005E-3</v>
      </c>
      <c r="P33">
        <f t="shared" si="2"/>
        <v>1.4578105667401475E-2</v>
      </c>
      <c r="Q33">
        <f t="shared" si="2"/>
        <v>6.2163282221301408E-3</v>
      </c>
      <c r="R33">
        <f t="shared" si="8"/>
        <v>1.2014287260526002E-2</v>
      </c>
      <c r="S33">
        <f t="shared" si="3"/>
        <v>-3.4908966975888411E-3</v>
      </c>
      <c r="T33">
        <f t="shared" si="4"/>
        <v>1.2499999999999956E-2</v>
      </c>
      <c r="U33">
        <f t="shared" si="5"/>
        <v>4.7052311098809696E-3</v>
      </c>
      <c r="V33">
        <f t="shared" si="6"/>
        <v>3.0692243303569455E-3</v>
      </c>
      <c r="W33">
        <f t="shared" si="7"/>
        <v>4.8405587141870932E-3</v>
      </c>
      <c r="Y33" s="11" t="s">
        <v>505</v>
      </c>
      <c r="Z33" s="7">
        <v>0.3</v>
      </c>
      <c r="AA33">
        <v>0</v>
      </c>
      <c r="AB33" s="7">
        <f t="shared" si="9"/>
        <v>0</v>
      </c>
      <c r="AD33" s="7">
        <v>0.05</v>
      </c>
      <c r="AE33">
        <v>1</v>
      </c>
      <c r="AF33" s="7">
        <f t="shared" si="10"/>
        <v>0.05</v>
      </c>
      <c r="AH33" s="7">
        <v>0.05</v>
      </c>
      <c r="AI33">
        <v>0</v>
      </c>
      <c r="AJ33" s="7">
        <f t="shared" si="11"/>
        <v>0</v>
      </c>
    </row>
    <row r="34" spans="1:36" x14ac:dyDescent="0.3">
      <c r="A34" t="s">
        <v>475</v>
      </c>
      <c r="B34" s="1">
        <v>23.33</v>
      </c>
      <c r="C34" s="1">
        <v>13.19</v>
      </c>
      <c r="D34" s="1">
        <v>19.239999999999998</v>
      </c>
      <c r="E34" s="1">
        <v>35.669998</v>
      </c>
      <c r="F34" s="1">
        <v>12.065</v>
      </c>
      <c r="G34" s="1">
        <v>9.2390000000000008</v>
      </c>
      <c r="H34" s="1">
        <v>5274.1401370000003</v>
      </c>
      <c r="I34" s="1">
        <v>37.240001999999997</v>
      </c>
      <c r="J34" s="1">
        <v>14.8</v>
      </c>
      <c r="K34" s="1">
        <v>3.613</v>
      </c>
      <c r="L34" s="1">
        <v>35.840000000000003</v>
      </c>
      <c r="M34">
        <f t="shared" si="2"/>
        <v>-1.6441779782537247E-2</v>
      </c>
      <c r="N34">
        <f t="shared" si="2"/>
        <v>-4.5283018867925406E-3</v>
      </c>
      <c r="O34">
        <f t="shared" si="2"/>
        <v>8.3857442348007627E-3</v>
      </c>
      <c r="P34">
        <f t="shared" si="2"/>
        <v>2.2477662264679399E-3</v>
      </c>
      <c r="Q34">
        <f t="shared" si="2"/>
        <v>3.6066981537140386E-2</v>
      </c>
      <c r="R34">
        <f t="shared" si="8"/>
        <v>-1.1871657754010556E-2</v>
      </c>
      <c r="S34">
        <f t="shared" si="3"/>
        <v>-1.3771081237875182E-2</v>
      </c>
      <c r="T34">
        <f t="shared" si="4"/>
        <v>-2.1810971579643068E-2</v>
      </c>
      <c r="U34">
        <f t="shared" si="5"/>
        <v>-1.230180426462546E-2</v>
      </c>
      <c r="V34">
        <f t="shared" si="6"/>
        <v>4.1255144756254802E-2</v>
      </c>
      <c r="W34">
        <f t="shared" si="7"/>
        <v>-8.5550300937830004E-3</v>
      </c>
      <c r="Y34" s="11" t="s">
        <v>506</v>
      </c>
      <c r="Z34" s="7">
        <v>0.3</v>
      </c>
      <c r="AA34">
        <v>0</v>
      </c>
      <c r="AB34" s="7">
        <f t="shared" si="9"/>
        <v>0</v>
      </c>
      <c r="AD34" s="7">
        <v>0.3</v>
      </c>
      <c r="AE34">
        <v>1</v>
      </c>
      <c r="AF34" s="7">
        <f t="shared" si="10"/>
        <v>0.3</v>
      </c>
      <c r="AH34" s="7">
        <v>0.3</v>
      </c>
      <c r="AI34">
        <v>1</v>
      </c>
      <c r="AJ34" s="7">
        <f t="shared" si="11"/>
        <v>0.3</v>
      </c>
    </row>
    <row r="35" spans="1:36" x14ac:dyDescent="0.3">
      <c r="A35" t="s">
        <v>474</v>
      </c>
      <c r="B35" s="1">
        <v>23.719999000000001</v>
      </c>
      <c r="C35" s="1">
        <v>13.25</v>
      </c>
      <c r="D35" s="1">
        <v>19.079999999999998</v>
      </c>
      <c r="E35" s="1">
        <v>35.590000000000003</v>
      </c>
      <c r="F35" s="1">
        <v>11.645</v>
      </c>
      <c r="G35" s="1">
        <v>9.35</v>
      </c>
      <c r="H35" s="1">
        <v>5319.6499020000001</v>
      </c>
      <c r="I35" s="1">
        <v>37.759998000000003</v>
      </c>
      <c r="J35" s="1">
        <v>15.13</v>
      </c>
      <c r="K35" s="1">
        <v>3.6579999999999999</v>
      </c>
      <c r="L35" s="1">
        <v>34.419998</v>
      </c>
      <c r="M35">
        <f t="shared" si="2"/>
        <v>-7.1159483933004308E-3</v>
      </c>
      <c r="N35">
        <f t="shared" si="2"/>
        <v>-1.851851851851849E-2</v>
      </c>
      <c r="O35">
        <f t="shared" si="2"/>
        <v>-2.2039979497693651E-2</v>
      </c>
      <c r="P35">
        <f t="shared" si="2"/>
        <v>-2.063841496973029E-2</v>
      </c>
      <c r="Q35">
        <f t="shared" si="2"/>
        <v>-1.6469594594594628E-2</v>
      </c>
      <c r="R35">
        <f t="shared" si="8"/>
        <v>-2.3474178403756207E-3</v>
      </c>
      <c r="S35">
        <f t="shared" si="3"/>
        <v>-6.0543297681320274E-3</v>
      </c>
      <c r="T35">
        <f t="shared" si="4"/>
        <v>-7.2178477690287846E-3</v>
      </c>
      <c r="U35">
        <f t="shared" si="5"/>
        <v>-7.4616741283408672E-3</v>
      </c>
      <c r="V35">
        <f t="shared" si="6"/>
        <v>-1.4036150100257716E-2</v>
      </c>
      <c r="W35">
        <f t="shared" si="7"/>
        <v>-7.5502440461447939E-3</v>
      </c>
      <c r="Y35" s="11" t="s">
        <v>507</v>
      </c>
      <c r="Z35" s="7">
        <v>0.05</v>
      </c>
      <c r="AA35">
        <v>1</v>
      </c>
      <c r="AB35" s="7">
        <f t="shared" si="9"/>
        <v>0.05</v>
      </c>
      <c r="AD35" s="7">
        <v>0.05</v>
      </c>
      <c r="AE35">
        <v>0</v>
      </c>
      <c r="AF35" s="7">
        <f t="shared" si="10"/>
        <v>0</v>
      </c>
      <c r="AH35" s="7">
        <v>0.05</v>
      </c>
      <c r="AI35">
        <v>0</v>
      </c>
      <c r="AJ35" s="7">
        <f t="shared" si="11"/>
        <v>0</v>
      </c>
    </row>
    <row r="36" spans="1:36" x14ac:dyDescent="0.3">
      <c r="A36" t="s">
        <v>473</v>
      </c>
      <c r="B36" s="1">
        <v>23.889999</v>
      </c>
      <c r="C36" s="1">
        <v>13.5</v>
      </c>
      <c r="D36" s="1">
        <v>19.510000000000002</v>
      </c>
      <c r="E36" s="1">
        <v>36.340000000000003</v>
      </c>
      <c r="F36" s="1">
        <v>11.84</v>
      </c>
      <c r="G36" s="1">
        <v>9.3719999999999999</v>
      </c>
      <c r="H36" s="1">
        <v>5360.1201170000004</v>
      </c>
      <c r="I36" s="1">
        <v>37.990001999999997</v>
      </c>
      <c r="J36" s="1">
        <v>15.24</v>
      </c>
      <c r="K36" s="1">
        <v>3.6855000000000002</v>
      </c>
      <c r="L36" s="1">
        <v>34.909999999999997</v>
      </c>
      <c r="M36">
        <f t="shared" si="2"/>
        <v>-7.0656694541010312E-3</v>
      </c>
      <c r="N36">
        <f t="shared" si="2"/>
        <v>7.4626865671640896E-3</v>
      </c>
      <c r="O36">
        <f t="shared" si="2"/>
        <v>-8.1342145399084798E-3</v>
      </c>
      <c r="P36">
        <f t="shared" si="2"/>
        <v>1.2256211016367091E-2</v>
      </c>
      <c r="Q36">
        <f t="shared" si="2"/>
        <v>1.0238907849829282E-2</v>
      </c>
      <c r="R36">
        <f t="shared" si="8"/>
        <v>-4.2498937526562752E-3</v>
      </c>
      <c r="S36">
        <f t="shared" si="3"/>
        <v>2.6392980374583264E-3</v>
      </c>
      <c r="T36">
        <f t="shared" si="4"/>
        <v>2.6608285618053173E-2</v>
      </c>
      <c r="U36">
        <f t="shared" si="5"/>
        <v>6.6921606118546251E-3</v>
      </c>
      <c r="V36">
        <f t="shared" si="6"/>
        <v>1.7487583285118458E-2</v>
      </c>
      <c r="W36">
        <f t="shared" si="7"/>
        <v>1.1000903999272005E-3</v>
      </c>
      <c r="Y36" s="11" t="s">
        <v>508</v>
      </c>
      <c r="Z36" s="7">
        <v>0.25945642278161496</v>
      </c>
      <c r="AA36">
        <v>0</v>
      </c>
      <c r="AB36" s="7">
        <f t="shared" si="9"/>
        <v>0</v>
      </c>
      <c r="AD36" s="7">
        <v>0.3</v>
      </c>
      <c r="AE36">
        <v>0</v>
      </c>
      <c r="AF36" s="7">
        <f t="shared" si="10"/>
        <v>0</v>
      </c>
      <c r="AH36" s="7">
        <v>0.05</v>
      </c>
      <c r="AI36">
        <v>0</v>
      </c>
      <c r="AJ36" s="7">
        <f t="shared" si="11"/>
        <v>0</v>
      </c>
    </row>
    <row r="37" spans="1:36" x14ac:dyDescent="0.3">
      <c r="A37" t="s">
        <v>472</v>
      </c>
      <c r="B37" s="1">
        <v>24.059999000000001</v>
      </c>
      <c r="C37" s="1">
        <v>13.4</v>
      </c>
      <c r="D37" s="1">
        <v>19.670000000000002</v>
      </c>
      <c r="E37" s="1">
        <v>35.900002000000001</v>
      </c>
      <c r="F37" s="1">
        <v>11.72</v>
      </c>
      <c r="G37" s="1">
        <v>9.4120000000000008</v>
      </c>
      <c r="H37" s="1">
        <v>5354.2299800000001</v>
      </c>
      <c r="I37" s="1">
        <v>37.889999000000003</v>
      </c>
      <c r="J37" s="1">
        <v>14.845000000000001</v>
      </c>
      <c r="K37" s="1">
        <v>3.661</v>
      </c>
      <c r="L37" s="1">
        <v>34.310001</v>
      </c>
      <c r="M37">
        <f t="shared" si="2"/>
        <v>-9.0610375180790736E-3</v>
      </c>
      <c r="N37">
        <f t="shared" si="2"/>
        <v>4.4977511244377322E-3</v>
      </c>
      <c r="O37">
        <f t="shared" si="2"/>
        <v>1.183122367123346E-2</v>
      </c>
      <c r="P37">
        <f t="shared" si="2"/>
        <v>-2.6572640277314541E-2</v>
      </c>
      <c r="Q37">
        <f t="shared" si="2"/>
        <v>-8.0406263224713781E-3</v>
      </c>
      <c r="R37">
        <f t="shared" si="8"/>
        <v>5.233365374345933E-3</v>
      </c>
      <c r="S37">
        <f t="shared" si="3"/>
        <v>-1.0546005800157188E-3</v>
      </c>
      <c r="T37">
        <f t="shared" si="4"/>
        <v>-1.5909844216108748E-2</v>
      </c>
      <c r="U37">
        <f t="shared" si="5"/>
        <v>5.7692307692307487E-3</v>
      </c>
      <c r="V37">
        <f t="shared" si="6"/>
        <v>-1.6905471810574668E-2</v>
      </c>
      <c r="W37">
        <f t="shared" si="7"/>
        <v>-3.9994568328374225E-3</v>
      </c>
      <c r="Y37" s="11" t="s">
        <v>509</v>
      </c>
      <c r="Z37" s="7">
        <v>5.0000001461031965E-2</v>
      </c>
      <c r="AA37">
        <v>1</v>
      </c>
      <c r="AB37" s="7">
        <f t="shared" si="9"/>
        <v>5.0000001461031965E-2</v>
      </c>
      <c r="AD37" s="7">
        <v>0.05</v>
      </c>
      <c r="AE37">
        <v>0</v>
      </c>
      <c r="AF37" s="7">
        <f t="shared" si="10"/>
        <v>0</v>
      </c>
      <c r="AH37" s="7">
        <v>0.05</v>
      </c>
      <c r="AI37">
        <v>0</v>
      </c>
      <c r="AJ37" s="7">
        <f t="shared" si="11"/>
        <v>0</v>
      </c>
    </row>
    <row r="38" spans="1:36" x14ac:dyDescent="0.3">
      <c r="A38" t="s">
        <v>471</v>
      </c>
      <c r="B38" s="1">
        <v>24.280000999999999</v>
      </c>
      <c r="C38" s="1">
        <v>13.34</v>
      </c>
      <c r="D38" s="1">
        <v>19.440000999999999</v>
      </c>
      <c r="E38" s="1">
        <v>36.880001</v>
      </c>
      <c r="F38" s="1">
        <v>11.815</v>
      </c>
      <c r="G38" s="1">
        <v>9.3629999999999995</v>
      </c>
      <c r="H38" s="1">
        <v>5375.7299800000001</v>
      </c>
      <c r="I38" s="1">
        <v>37.93</v>
      </c>
      <c r="J38" s="1">
        <v>15.085000000000001</v>
      </c>
      <c r="K38" s="1">
        <v>3.64</v>
      </c>
      <c r="L38" s="1">
        <v>34.900002000000001</v>
      </c>
      <c r="M38">
        <f t="shared" si="2"/>
        <v>1.3355676684293716E-2</v>
      </c>
      <c r="N38">
        <f t="shared" si="2"/>
        <v>-1.1851851851851891E-2</v>
      </c>
      <c r="O38">
        <f t="shared" si="2"/>
        <v>1.1446514643418837E-2</v>
      </c>
      <c r="P38">
        <f t="shared" si="2"/>
        <v>2.7127746870836411E-4</v>
      </c>
      <c r="Q38">
        <f t="shared" si="2"/>
        <v>-1.088321473419851E-2</v>
      </c>
      <c r="R38">
        <f t="shared" si="8"/>
        <v>6.0169764693240868E-3</v>
      </c>
      <c r="S38">
        <f t="shared" si="3"/>
        <v>1.3199313273513091E-3</v>
      </c>
      <c r="T38">
        <f t="shared" si="4"/>
        <v>1.6509433962264231E-2</v>
      </c>
      <c r="U38">
        <f t="shared" si="5"/>
        <v>3.999448351951429E-3</v>
      </c>
      <c r="V38">
        <f t="shared" si="6"/>
        <v>-2.8570857142856676E-3</v>
      </c>
      <c r="W38">
        <f t="shared" si="7"/>
        <v>5.8132459488786647E-3</v>
      </c>
      <c r="Y38" s="11" t="s">
        <v>512</v>
      </c>
      <c r="Z38" s="7">
        <v>0.05</v>
      </c>
      <c r="AA38">
        <v>0</v>
      </c>
      <c r="AB38" s="7">
        <f t="shared" si="9"/>
        <v>0</v>
      </c>
      <c r="AD38" s="7">
        <v>0.3</v>
      </c>
      <c r="AE38">
        <v>1</v>
      </c>
      <c r="AF38" s="7">
        <f t="shared" si="10"/>
        <v>0.3</v>
      </c>
      <c r="AH38" s="7">
        <v>0.3</v>
      </c>
      <c r="AI38">
        <v>1</v>
      </c>
      <c r="AJ38" s="7">
        <f t="shared" si="11"/>
        <v>0.3</v>
      </c>
    </row>
    <row r="39" spans="1:36" x14ac:dyDescent="0.3">
      <c r="A39" t="s">
        <v>470</v>
      </c>
      <c r="B39" s="1">
        <v>23.959999</v>
      </c>
      <c r="C39" s="1">
        <v>13.5</v>
      </c>
      <c r="D39" s="1">
        <v>19.219999000000001</v>
      </c>
      <c r="E39" s="1">
        <v>36.869999</v>
      </c>
      <c r="F39" s="1">
        <v>11.945</v>
      </c>
      <c r="G39" s="1">
        <v>9.3070000000000004</v>
      </c>
      <c r="H39" s="1">
        <v>5344.6601559999999</v>
      </c>
      <c r="I39" s="1">
        <v>37.880001</v>
      </c>
      <c r="J39" s="1">
        <v>14.84</v>
      </c>
      <c r="K39" s="1">
        <v>3.6255000000000002</v>
      </c>
      <c r="L39" s="1">
        <v>35</v>
      </c>
      <c r="M39">
        <f t="shared" si="2"/>
        <v>1.0544074674992521E-2</v>
      </c>
      <c r="N39">
        <f t="shared" si="2"/>
        <v>7.4626865671640896E-3</v>
      </c>
      <c r="O39">
        <f t="shared" si="2"/>
        <v>-1.5584935064933969E-3</v>
      </c>
      <c r="P39">
        <f t="shared" si="2"/>
        <v>8.7551301984987173E-3</v>
      </c>
      <c r="Q39">
        <f t="shared" si="2"/>
        <v>-1.0356255178127549E-2</v>
      </c>
      <c r="R39">
        <f t="shared" si="8"/>
        <v>3.666558826701305E-3</v>
      </c>
      <c r="S39">
        <f t="shared" si="3"/>
        <v>-1.054773262382569E-3</v>
      </c>
      <c r="T39">
        <f t="shared" si="4"/>
        <v>1.9230769230769162E-2</v>
      </c>
      <c r="U39">
        <f t="shared" si="5"/>
        <v>-5.7589469354174527E-3</v>
      </c>
      <c r="V39">
        <f t="shared" si="6"/>
        <v>1.5965137417557784E-2</v>
      </c>
      <c r="W39">
        <f t="shared" si="7"/>
        <v>8.0631317284056703E-3</v>
      </c>
      <c r="Y39" s="11" t="s">
        <v>513</v>
      </c>
      <c r="Z39" s="7">
        <v>0.3</v>
      </c>
      <c r="AA39">
        <v>1</v>
      </c>
      <c r="AB39" s="7">
        <f t="shared" si="9"/>
        <v>0.3</v>
      </c>
      <c r="AD39" s="7">
        <v>0.05</v>
      </c>
      <c r="AE39">
        <v>0</v>
      </c>
      <c r="AF39" s="7">
        <f t="shared" si="10"/>
        <v>0</v>
      </c>
      <c r="AH39" s="7">
        <v>0.05</v>
      </c>
      <c r="AI39">
        <v>1</v>
      </c>
      <c r="AJ39" s="7">
        <f t="shared" si="11"/>
        <v>0.05</v>
      </c>
    </row>
    <row r="40" spans="1:36" x14ac:dyDescent="0.3">
      <c r="A40" t="s">
        <v>469</v>
      </c>
      <c r="B40" s="1">
        <v>23.709999</v>
      </c>
      <c r="C40" s="1">
        <v>13.4</v>
      </c>
      <c r="D40" s="1">
        <v>19.25</v>
      </c>
      <c r="E40" s="1">
        <v>36.549999</v>
      </c>
      <c r="F40" s="1">
        <v>12.07</v>
      </c>
      <c r="G40" s="1">
        <v>9.2729999999999997</v>
      </c>
      <c r="H40" s="1">
        <v>5301.9101559999999</v>
      </c>
      <c r="I40" s="1">
        <v>37.919998</v>
      </c>
      <c r="J40" s="1">
        <v>14.56</v>
      </c>
      <c r="K40" s="1">
        <v>3.6465000000000001</v>
      </c>
      <c r="L40" s="1">
        <v>34.450001</v>
      </c>
      <c r="M40">
        <f t="shared" si="2"/>
        <v>-2.1044191919192823E-3</v>
      </c>
      <c r="N40">
        <f t="shared" si="2"/>
        <v>-1.2527634487840777E-2</v>
      </c>
      <c r="O40">
        <f t="shared" si="2"/>
        <v>-9.264024704065843E-3</v>
      </c>
      <c r="P40">
        <f t="shared" si="2"/>
        <v>-2.2465900574108133E-2</v>
      </c>
      <c r="Q40">
        <f t="shared" si="2"/>
        <v>-2.0669698222406385E-3</v>
      </c>
      <c r="R40">
        <f t="shared" si="8"/>
        <v>1.856326889279436E-2</v>
      </c>
      <c r="S40">
        <f t="shared" si="3"/>
        <v>9.3158903380357039E-3</v>
      </c>
      <c r="T40">
        <f t="shared" si="4"/>
        <v>-8.5120871637726081E-3</v>
      </c>
      <c r="U40">
        <f t="shared" si="5"/>
        <v>7.3204419889503214E-3</v>
      </c>
      <c r="V40">
        <f t="shared" si="6"/>
        <v>-2.3526021075000458E-2</v>
      </c>
      <c r="W40">
        <f t="shared" si="7"/>
        <v>-4.4501395351271844E-3</v>
      </c>
      <c r="Y40" s="11" t="s">
        <v>514</v>
      </c>
      <c r="Z40" s="7">
        <v>0.3</v>
      </c>
      <c r="AA40">
        <v>1</v>
      </c>
      <c r="AB40" s="7">
        <f t="shared" si="9"/>
        <v>0.3</v>
      </c>
      <c r="AD40" s="7">
        <v>0.3</v>
      </c>
      <c r="AE40">
        <v>1</v>
      </c>
      <c r="AF40" s="7">
        <f t="shared" si="10"/>
        <v>0.3</v>
      </c>
      <c r="AH40" s="7">
        <v>0.3</v>
      </c>
      <c r="AI40">
        <v>1</v>
      </c>
      <c r="AJ40" s="7">
        <f t="shared" si="11"/>
        <v>0.3</v>
      </c>
    </row>
    <row r="41" spans="1:36" ht="15" thickBot="1" x14ac:dyDescent="0.35">
      <c r="A41" t="s">
        <v>468</v>
      </c>
      <c r="B41" s="1">
        <v>23.76</v>
      </c>
      <c r="C41" s="1">
        <v>13.57</v>
      </c>
      <c r="D41" s="1">
        <v>19.43</v>
      </c>
      <c r="E41" s="1">
        <v>37.389999000000003</v>
      </c>
      <c r="F41" s="1">
        <v>12.095000000000001</v>
      </c>
      <c r="G41" s="1">
        <v>9.1039999999999992</v>
      </c>
      <c r="H41" s="1">
        <v>5325.6098629999997</v>
      </c>
      <c r="I41" s="1">
        <v>37.57</v>
      </c>
      <c r="J41" s="1">
        <v>14.685</v>
      </c>
      <c r="K41" s="1">
        <v>3.62</v>
      </c>
      <c r="L41" s="1">
        <v>35.279998999999997</v>
      </c>
      <c r="M41">
        <f t="shared" si="2"/>
        <v>1.0633772862611579E-2</v>
      </c>
      <c r="N41">
        <f t="shared" si="2"/>
        <v>7.3746312684375148E-4</v>
      </c>
      <c r="O41">
        <f t="shared" si="2"/>
        <v>1.4621409921671047E-2</v>
      </c>
      <c r="P41">
        <f t="shared" si="2"/>
        <v>-2.857892810709628E-2</v>
      </c>
      <c r="Q41">
        <f t="shared" si="2"/>
        <v>-1.3860578883000407E-2</v>
      </c>
      <c r="R41">
        <f t="shared" si="8"/>
        <v>2.2016732716865217E-3</v>
      </c>
      <c r="S41">
        <f t="shared" si="3"/>
        <v>1.6779404146700871E-2</v>
      </c>
      <c r="T41">
        <f t="shared" si="4"/>
        <v>-1.0444743935309919E-2</v>
      </c>
      <c r="U41">
        <f t="shared" si="5"/>
        <v>4.3001803301430108E-3</v>
      </c>
      <c r="V41">
        <f t="shared" si="6"/>
        <v>4.5558087857575646E-3</v>
      </c>
      <c r="W41">
        <f t="shared" si="7"/>
        <v>-1.2953495395662262E-4</v>
      </c>
      <c r="Y41" s="12" t="s">
        <v>515</v>
      </c>
      <c r="Z41" s="14">
        <v>0.3</v>
      </c>
      <c r="AA41" s="4">
        <v>1</v>
      </c>
      <c r="AB41" s="8">
        <f t="shared" si="9"/>
        <v>0.3</v>
      </c>
      <c r="AD41" s="14">
        <v>0.28361154586731863</v>
      </c>
      <c r="AE41" s="4">
        <v>0</v>
      </c>
      <c r="AF41" s="8">
        <f t="shared" si="10"/>
        <v>0</v>
      </c>
      <c r="AH41" s="14">
        <v>5.0430139059144369E-2</v>
      </c>
      <c r="AI41" s="4">
        <v>1</v>
      </c>
      <c r="AJ41" s="8">
        <f t="shared" si="11"/>
        <v>5.0430139059144369E-2</v>
      </c>
    </row>
    <row r="42" spans="1:36" x14ac:dyDescent="0.3">
      <c r="A42" t="s">
        <v>467</v>
      </c>
      <c r="B42" s="1">
        <v>23.51</v>
      </c>
      <c r="C42" s="1">
        <v>13.56</v>
      </c>
      <c r="D42" s="1">
        <v>19.149999999999999</v>
      </c>
      <c r="E42" s="1">
        <v>38.490001999999997</v>
      </c>
      <c r="F42" s="1">
        <v>12.265000000000001</v>
      </c>
      <c r="G42" s="1">
        <v>9.0839999999999996</v>
      </c>
      <c r="H42" s="1">
        <v>5326.2998049999997</v>
      </c>
      <c r="I42" s="1">
        <v>36.950001</v>
      </c>
      <c r="J42" s="1">
        <v>14.84</v>
      </c>
      <c r="K42" s="1">
        <v>3.6044999999999998</v>
      </c>
      <c r="L42" s="1">
        <v>35.119999</v>
      </c>
      <c r="M42">
        <f t="shared" si="2"/>
        <v>0</v>
      </c>
      <c r="N42">
        <f t="shared" si="2"/>
        <v>-5.8651026392961825E-3</v>
      </c>
      <c r="O42">
        <f t="shared" si="2"/>
        <v>2.0930925121354083E-3</v>
      </c>
      <c r="P42">
        <f t="shared" si="2"/>
        <v>-7.2220273407275215E-3</v>
      </c>
      <c r="Q42">
        <f t="shared" si="2"/>
        <v>4.5045045045044585E-3</v>
      </c>
      <c r="R42">
        <f t="shared" si="8"/>
        <v>-3.1822670909689155E-3</v>
      </c>
      <c r="S42">
        <f t="shared" si="3"/>
        <v>1.5109861807150349E-2</v>
      </c>
      <c r="T42">
        <f t="shared" si="4"/>
        <v>-1.6818028927010342E-3</v>
      </c>
      <c r="U42">
        <f t="shared" si="5"/>
        <v>5.5517002081884037E-4</v>
      </c>
      <c r="V42">
        <f t="shared" si="6"/>
        <v>-1.4216378402978069E-3</v>
      </c>
      <c r="W42">
        <f t="shared" si="7"/>
        <v>1.7999456500514821E-3</v>
      </c>
      <c r="Z42" s="7">
        <f>SUM(Z32:Z41)</f>
        <v>1.9594564242426471</v>
      </c>
      <c r="AA42">
        <f>SUM(AA32:AA41)</f>
        <v>5</v>
      </c>
      <c r="AB42" s="7">
        <f>SUM(AB32:AB41)</f>
        <v>1.000000001461032</v>
      </c>
      <c r="AD42" s="7">
        <f>SUM(AD32:AD41)</f>
        <v>1.7336115458673187</v>
      </c>
      <c r="AE42">
        <f>SUM(AE32:AE41)</f>
        <v>5</v>
      </c>
      <c r="AF42" s="7">
        <f>SUM(AF32:AF41)</f>
        <v>1</v>
      </c>
      <c r="AH42" s="7">
        <f>SUM(AH32:AH41)</f>
        <v>1.2504301390591446</v>
      </c>
      <c r="AI42">
        <f>SUM(AI32:AI41)</f>
        <v>5</v>
      </c>
      <c r="AJ42" s="7">
        <f>SUM(AJ32:AJ41)</f>
        <v>1.0004301390591444</v>
      </c>
    </row>
    <row r="43" spans="1:36" x14ac:dyDescent="0.3">
      <c r="A43" t="s">
        <v>466</v>
      </c>
      <c r="B43" s="1">
        <v>23.51</v>
      </c>
      <c r="C43" s="1">
        <v>13.64</v>
      </c>
      <c r="D43" s="1">
        <v>19.110001</v>
      </c>
      <c r="E43" s="1">
        <v>38.770000000000003</v>
      </c>
      <c r="F43" s="1">
        <v>12.21</v>
      </c>
      <c r="G43" s="1">
        <v>9.1129999999999995</v>
      </c>
      <c r="H43" s="1">
        <v>5316.7299800000001</v>
      </c>
      <c r="I43" s="1">
        <v>36.400002000000001</v>
      </c>
      <c r="J43" s="1">
        <v>14.865</v>
      </c>
      <c r="K43" s="1">
        <v>3.6025</v>
      </c>
      <c r="L43" s="1">
        <v>35.169998</v>
      </c>
      <c r="M43">
        <f t="shared" si="2"/>
        <v>4.7008547008549062E-3</v>
      </c>
      <c r="N43">
        <f t="shared" si="2"/>
        <v>2.2042615723734116E-3</v>
      </c>
      <c r="O43">
        <f t="shared" si="2"/>
        <v>6.3191679831491321E-3</v>
      </c>
      <c r="P43">
        <f t="shared" si="2"/>
        <v>3.3644152009424388E-3</v>
      </c>
      <c r="Q43">
        <f t="shared" si="2"/>
        <v>-8.5261875761265538E-3</v>
      </c>
      <c r="R43">
        <f t="shared" si="8"/>
        <v>-5.0223823561524883E-3</v>
      </c>
      <c r="S43">
        <f t="shared" si="3"/>
        <v>3.2038616387864982E-2</v>
      </c>
      <c r="T43">
        <f t="shared" si="4"/>
        <v>-5.020080321285092E-3</v>
      </c>
      <c r="U43">
        <f t="shared" si="5"/>
        <v>-1.3860013860013121E-3</v>
      </c>
      <c r="V43">
        <f t="shared" si="6"/>
        <v>-1.429377802690579E-2</v>
      </c>
      <c r="W43">
        <f t="shared" si="7"/>
        <v>1.1664864270710673E-4</v>
      </c>
    </row>
    <row r="44" spans="1:36" ht="14.4" customHeight="1" x14ac:dyDescent="0.3">
      <c r="A44" t="s">
        <v>465</v>
      </c>
      <c r="B44" s="1">
        <v>23.4</v>
      </c>
      <c r="C44" s="1">
        <v>13.61</v>
      </c>
      <c r="D44" s="1">
        <v>18.989999999999998</v>
      </c>
      <c r="E44" s="1">
        <v>38.639999000000003</v>
      </c>
      <c r="F44" s="1">
        <v>12.315</v>
      </c>
      <c r="G44" s="1">
        <v>9.1590000000000007</v>
      </c>
      <c r="H44" s="1">
        <v>5316.1098629999997</v>
      </c>
      <c r="I44" s="1">
        <v>35.270000000000003</v>
      </c>
      <c r="J44" s="1">
        <v>14.94</v>
      </c>
      <c r="K44" s="1">
        <v>3.6074999999999999</v>
      </c>
      <c r="L44" s="1">
        <v>35.68</v>
      </c>
      <c r="M44">
        <f t="shared" si="2"/>
        <v>-1.7065272309502166E-3</v>
      </c>
      <c r="N44">
        <f t="shared" si="2"/>
        <v>7.3529411764705621E-4</v>
      </c>
      <c r="O44">
        <f t="shared" si="2"/>
        <v>1.1182054782638229E-2</v>
      </c>
      <c r="P44">
        <f t="shared" si="2"/>
        <v>6.774309359710573E-3</v>
      </c>
      <c r="Q44">
        <f t="shared" si="2"/>
        <v>2.8501628664494572E-3</v>
      </c>
      <c r="R44">
        <f t="shared" si="8"/>
        <v>-4.3653825166423132E-4</v>
      </c>
      <c r="S44">
        <f t="shared" si="3"/>
        <v>3.6995163261102082E-3</v>
      </c>
      <c r="T44">
        <f t="shared" si="4"/>
        <v>6.7385444743934819E-3</v>
      </c>
      <c r="U44">
        <f t="shared" si="5"/>
        <v>5.5470808487023682E-4</v>
      </c>
      <c r="V44">
        <f t="shared" si="6"/>
        <v>-5.6025208514698388E-4</v>
      </c>
      <c r="W44">
        <f t="shared" si="7"/>
        <v>2.1868367694131141E-3</v>
      </c>
      <c r="Y44" s="17" t="s">
        <v>526</v>
      </c>
      <c r="Z44" s="9"/>
      <c r="AA44" t="s">
        <v>520</v>
      </c>
      <c r="AB44" s="9">
        <f>SUMPRODUCT(AB32:AB41,$AA$6:$AA$15)</f>
        <v>0.54093517645249312</v>
      </c>
      <c r="AD44" s="15" t="s">
        <v>527</v>
      </c>
      <c r="AE44" t="s">
        <v>520</v>
      </c>
      <c r="AF44" s="9">
        <f t="shared" ref="AF44" si="12">+SUMPRODUCT(AF32:AF41,$AA$6:$AA$15)</f>
        <v>0.40833948715355123</v>
      </c>
      <c r="AH44" s="16" t="s">
        <v>528</v>
      </c>
      <c r="AI44" t="s">
        <v>520</v>
      </c>
      <c r="AJ44" s="9">
        <f t="shared" ref="AJ44" si="13">+SUMPRODUCT(AJ32:AJ41,$AA$6:$AA$15)</f>
        <v>0.43274807847028762</v>
      </c>
    </row>
    <row r="45" spans="1:36" x14ac:dyDescent="0.3">
      <c r="A45" t="s">
        <v>464</v>
      </c>
      <c r="B45" s="1">
        <v>23.440000999999999</v>
      </c>
      <c r="C45" s="1">
        <v>13.6</v>
      </c>
      <c r="D45" s="1">
        <v>18.780000999999999</v>
      </c>
      <c r="E45" s="1">
        <v>38.380001</v>
      </c>
      <c r="F45" s="1">
        <v>12.28</v>
      </c>
      <c r="G45" s="1">
        <v>9.1630000000000003</v>
      </c>
      <c r="H45" s="1">
        <v>5304.5097660000001</v>
      </c>
      <c r="I45" s="1">
        <v>35.139999000000003</v>
      </c>
      <c r="J45" s="1">
        <v>14.84</v>
      </c>
      <c r="K45" s="1">
        <v>3.6055000000000001</v>
      </c>
      <c r="L45" s="1">
        <v>35.700001</v>
      </c>
      <c r="M45">
        <f t="shared" si="2"/>
        <v>-4.6708282238143717E-3</v>
      </c>
      <c r="N45">
        <f t="shared" si="2"/>
        <v>1.0401188707280795E-2</v>
      </c>
      <c r="O45">
        <f t="shared" si="2"/>
        <v>-7.9238774432118797E-3</v>
      </c>
      <c r="P45">
        <f t="shared" si="2"/>
        <v>-9.8038446751210762E-3</v>
      </c>
      <c r="Q45">
        <f t="shared" si="2"/>
        <v>4.0733197555997691E-4</v>
      </c>
      <c r="R45">
        <f t="shared" si="8"/>
        <v>1.1033873993159027E-2</v>
      </c>
      <c r="S45">
        <f t="shared" si="3"/>
        <v>8.0320709113004263E-3</v>
      </c>
      <c r="T45">
        <f t="shared" si="4"/>
        <v>-4.0268456375839312E-3</v>
      </c>
      <c r="U45">
        <f t="shared" si="5"/>
        <v>-4.00552486187844E-3</v>
      </c>
      <c r="V45">
        <f t="shared" si="6"/>
        <v>-4.1840169698196261E-3</v>
      </c>
      <c r="W45">
        <f t="shared" si="7"/>
        <v>4.3947440700160545E-3</v>
      </c>
      <c r="AA45" t="s">
        <v>521</v>
      </c>
      <c r="AB45" cm="1">
        <f t="array" ref="AB45">MMULT(MMULT(TRANSPOSE(AB32:AB41),$Z$20:$AI$29),AB32:AB41)</f>
        <v>3.6166825650067079E-4</v>
      </c>
      <c r="AE45" t="s">
        <v>521</v>
      </c>
      <c r="AF45" cm="1">
        <f t="array" ref="AF45">+MMULT(MMULT(TRANSPOSE(AF32:AF41),$Z$20:$AI$29),AF32:AF41)</f>
        <v>2.2928110655788677E-4</v>
      </c>
      <c r="AH45" s="16"/>
      <c r="AI45" t="s">
        <v>521</v>
      </c>
      <c r="AJ45" cm="1">
        <f t="array" ref="AJ45">+MMULT(MMULT(TRANSPOSE(AJ32:AJ41),$Z$20:$AI$29),AJ32:AJ41)</f>
        <v>2.3229582726359089E-4</v>
      </c>
    </row>
    <row r="46" spans="1:36" x14ac:dyDescent="0.3">
      <c r="A46" t="s">
        <v>463</v>
      </c>
      <c r="B46" s="1">
        <v>23.549999</v>
      </c>
      <c r="C46" s="1">
        <v>13.46</v>
      </c>
      <c r="D46" s="1">
        <v>18.93</v>
      </c>
      <c r="E46" s="1">
        <v>38.759998000000003</v>
      </c>
      <c r="F46" s="1">
        <v>12.275</v>
      </c>
      <c r="G46" s="1">
        <v>9.0630000000000006</v>
      </c>
      <c r="H46" s="1">
        <v>5281.2998049999997</v>
      </c>
      <c r="I46" s="1">
        <v>34.860000999999997</v>
      </c>
      <c r="J46" s="1">
        <v>14.9</v>
      </c>
      <c r="K46" s="1">
        <v>3.62</v>
      </c>
      <c r="L46" s="1">
        <v>35.849997999999999</v>
      </c>
      <c r="M46">
        <f t="shared" si="2"/>
        <v>2.5542358450405533E-3</v>
      </c>
      <c r="N46">
        <f t="shared" si="2"/>
        <v>-2.2238695329873659E-3</v>
      </c>
      <c r="O46">
        <f t="shared" si="2"/>
        <v>2.6483581911205256E-3</v>
      </c>
      <c r="P46">
        <f t="shared" si="2"/>
        <v>1.201041806815728E-2</v>
      </c>
      <c r="Q46">
        <f t="shared" si="2"/>
        <v>-7.679870654809906E-3</v>
      </c>
      <c r="R46">
        <f t="shared" si="8"/>
        <v>9.2427616926502587E-3</v>
      </c>
      <c r="S46">
        <f t="shared" si="3"/>
        <v>-4.284404700623079E-3</v>
      </c>
      <c r="T46">
        <f t="shared" si="4"/>
        <v>2.3000343288705816E-2</v>
      </c>
      <c r="U46">
        <f t="shared" si="5"/>
        <v>1.0185572764057627E-2</v>
      </c>
      <c r="V46">
        <f t="shared" si="6"/>
        <v>3.0776719038796418E-3</v>
      </c>
      <c r="W46">
        <f t="shared" si="7"/>
        <v>1.1696697520223731E-2</v>
      </c>
      <c r="AA46" t="s">
        <v>522</v>
      </c>
      <c r="AB46">
        <f t="shared" ref="AB46" si="14">AB45^0.5</f>
        <v>1.9017577566574319E-2</v>
      </c>
      <c r="AE46" t="s">
        <v>522</v>
      </c>
      <c r="AF46">
        <f t="shared" ref="AF46" si="15">+AF45^0.5</f>
        <v>1.5142031123924121E-2</v>
      </c>
      <c r="AH46" s="16"/>
      <c r="AI46" t="s">
        <v>522</v>
      </c>
      <c r="AJ46">
        <f t="shared" ref="AJ46" si="16">+AJ45^0.5</f>
        <v>1.5241254123712749E-2</v>
      </c>
    </row>
    <row r="47" spans="1:36" x14ac:dyDescent="0.3">
      <c r="A47" t="s">
        <v>462</v>
      </c>
      <c r="B47" s="1">
        <v>23.49</v>
      </c>
      <c r="C47" s="1">
        <v>13.49</v>
      </c>
      <c r="D47" s="1">
        <v>18.879999000000002</v>
      </c>
      <c r="E47" s="1">
        <v>38.299999</v>
      </c>
      <c r="F47" s="1">
        <v>12.37</v>
      </c>
      <c r="G47" s="1">
        <v>8.98</v>
      </c>
      <c r="H47" s="1">
        <v>5220.2402339999999</v>
      </c>
      <c r="I47" s="1">
        <v>35.009998000000003</v>
      </c>
      <c r="J47" s="1">
        <v>14.565</v>
      </c>
      <c r="K47" s="1">
        <v>3.5834999999999999</v>
      </c>
      <c r="L47" s="1">
        <v>35.740001999999997</v>
      </c>
      <c r="AA47" t="s">
        <v>523</v>
      </c>
      <c r="AB47">
        <f t="shared" ref="AB47" si="17">AB44/AB46</f>
        <v>28.443957941481031</v>
      </c>
      <c r="AE47" t="s">
        <v>523</v>
      </c>
      <c r="AF47">
        <f t="shared" ref="AF47" si="18">+AF44/AF46</f>
        <v>26.967286212242861</v>
      </c>
      <c r="AH47" t="s">
        <v>529</v>
      </c>
      <c r="AI47" t="s">
        <v>523</v>
      </c>
      <c r="AJ47">
        <f t="shared" ref="AJ47" si="19">+AJ44/AJ46</f>
        <v>28.393206684809922</v>
      </c>
    </row>
    <row r="48" spans="1:36" x14ac:dyDescent="0.3">
      <c r="A48" t="s">
        <v>461</v>
      </c>
      <c r="B48" s="1">
        <v>23.309999000000001</v>
      </c>
      <c r="C48" s="1">
        <v>13.31</v>
      </c>
      <c r="D48" s="1">
        <v>18.73</v>
      </c>
      <c r="E48" s="1">
        <v>37.18</v>
      </c>
      <c r="F48" s="1">
        <v>12.1</v>
      </c>
      <c r="G48" s="1">
        <v>8.7490000000000006</v>
      </c>
      <c r="H48" s="1"/>
      <c r="I48" s="1">
        <v>35.200001</v>
      </c>
      <c r="J48" s="1">
        <v>14.315</v>
      </c>
      <c r="K48" s="1">
        <v>3.57</v>
      </c>
      <c r="L48" s="1">
        <v>35.220001000000003</v>
      </c>
      <c r="AA48" t="s">
        <v>517</v>
      </c>
      <c r="AB48">
        <f t="shared" ref="AB48" si="20">SUMPRODUCT($Z$6:$Z$15,AB32:AB41)</f>
        <v>1.0320603035858245</v>
      </c>
      <c r="AE48" t="s">
        <v>517</v>
      </c>
      <c r="AF48">
        <f t="shared" ref="AF48" si="21">+SUMPRODUCT($Z$6:$Z$15,AF32:AF41)</f>
        <v>0.55595331552807803</v>
      </c>
      <c r="AH48">
        <f>0.8*AB44</f>
        <v>0.4327481411619945</v>
      </c>
      <c r="AI48" t="s">
        <v>517</v>
      </c>
      <c r="AJ48">
        <f t="shared" ref="AJ48" si="22">+SUMPRODUCT($Z$6:$Z$15,AJ32:AJ41)</f>
        <v>0.57717245765052183</v>
      </c>
    </row>
    <row r="49" spans="1:36" x14ac:dyDescent="0.3">
      <c r="A49" t="s">
        <v>460</v>
      </c>
      <c r="B49" s="1">
        <v>23.700001</v>
      </c>
      <c r="C49" s="1">
        <v>13.47</v>
      </c>
      <c r="D49" s="1">
        <v>18.790001</v>
      </c>
      <c r="E49" s="1">
        <v>37.43</v>
      </c>
      <c r="F49" s="1">
        <v>12.25</v>
      </c>
      <c r="G49" s="1">
        <v>8.8879999999999999</v>
      </c>
      <c r="H49" s="1">
        <v>5217.2797849999997</v>
      </c>
      <c r="I49" s="1">
        <v>36.229999999999997</v>
      </c>
      <c r="J49" s="1">
        <v>14.615</v>
      </c>
      <c r="K49" s="1">
        <v>3.6429999999999998</v>
      </c>
      <c r="L49" s="1">
        <v>35.57</v>
      </c>
      <c r="M49">
        <f t="shared" si="2"/>
        <v>9.7998299872104067E-3</v>
      </c>
      <c r="N49">
        <f t="shared" si="2"/>
        <v>-5.1698670605612174E-3</v>
      </c>
      <c r="O49">
        <f t="shared" si="2"/>
        <v>1.5992004264391291E-3</v>
      </c>
      <c r="P49">
        <f t="shared" si="2"/>
        <v>-1.2921888867188258E-2</v>
      </c>
      <c r="Q49">
        <f t="shared" si="2"/>
        <v>5.7471264367816577E-3</v>
      </c>
      <c r="R49">
        <f t="shared" si="8"/>
        <v>1.1494252873563093E-2</v>
      </c>
      <c r="S49">
        <f t="shared" si="3"/>
        <v>-8.7551028387169438E-3</v>
      </c>
      <c r="T49">
        <f t="shared" si="4"/>
        <v>7.9310344827585588E-3</v>
      </c>
      <c r="U49">
        <f t="shared" si="5"/>
        <v>-6.6802999318337219E-3</v>
      </c>
      <c r="V49">
        <f t="shared" si="6"/>
        <v>6.7930366944219944E-3</v>
      </c>
      <c r="W49">
        <f t="shared" si="7"/>
        <v>7.7688351190903226E-3</v>
      </c>
    </row>
    <row r="50" spans="1:36" x14ac:dyDescent="0.3">
      <c r="A50" t="s">
        <v>459</v>
      </c>
      <c r="B50" s="1">
        <v>23.469999000000001</v>
      </c>
      <c r="C50" s="1">
        <v>13.54</v>
      </c>
      <c r="D50" s="1">
        <v>18.760000000000002</v>
      </c>
      <c r="E50" s="1">
        <v>37.919998</v>
      </c>
      <c r="F50" s="1">
        <v>12.18</v>
      </c>
      <c r="G50" s="1">
        <v>8.7870000000000008</v>
      </c>
      <c r="H50" s="1">
        <v>5177.0600590000004</v>
      </c>
      <c r="I50" s="1">
        <v>36.549999</v>
      </c>
      <c r="J50" s="1">
        <v>14.5</v>
      </c>
      <c r="K50" s="1">
        <v>3.6675</v>
      </c>
      <c r="L50" s="1">
        <v>35.330002</v>
      </c>
      <c r="M50">
        <f t="shared" si="2"/>
        <v>-3.397027745096648E-3</v>
      </c>
      <c r="N50">
        <f t="shared" si="2"/>
        <v>7.4404761904762751E-3</v>
      </c>
      <c r="O50">
        <f t="shared" si="2"/>
        <v>-2.1276064961491814E-3</v>
      </c>
      <c r="P50">
        <f t="shared" si="2"/>
        <v>1.5532886984466865E-2</v>
      </c>
      <c r="Q50">
        <f t="shared" si="2"/>
        <v>1.2048192771084265E-2</v>
      </c>
      <c r="R50">
        <f t="shared" si="8"/>
        <v>4.2285714285714704E-3</v>
      </c>
      <c r="S50">
        <f t="shared" si="3"/>
        <v>6.0555185215789287E-3</v>
      </c>
      <c r="T50">
        <f t="shared" si="4"/>
        <v>-3.4364261168385868E-3</v>
      </c>
      <c r="U50">
        <f t="shared" si="5"/>
        <v>1.2285012285013774E-3</v>
      </c>
      <c r="V50">
        <f t="shared" si="6"/>
        <v>1.4646812176909885E-2</v>
      </c>
      <c r="W50">
        <f t="shared" si="7"/>
        <v>3.708829384510226E-3</v>
      </c>
      <c r="Y50" t="s">
        <v>530</v>
      </c>
    </row>
    <row r="51" spans="1:36" x14ac:dyDescent="0.3">
      <c r="A51" t="s">
        <v>458</v>
      </c>
      <c r="B51" s="1">
        <v>23.549999</v>
      </c>
      <c r="C51" s="1">
        <v>13.44</v>
      </c>
      <c r="D51" s="1">
        <v>18.799999</v>
      </c>
      <c r="E51" s="1">
        <v>37.340000000000003</v>
      </c>
      <c r="F51" s="1">
        <v>12.035</v>
      </c>
      <c r="G51" s="1">
        <v>8.75</v>
      </c>
      <c r="H51" s="1">
        <v>5157.9301759999998</v>
      </c>
      <c r="I51" s="1">
        <v>36.330002</v>
      </c>
      <c r="J51" s="1">
        <v>14.55</v>
      </c>
      <c r="K51" s="1">
        <v>3.6629999999999998</v>
      </c>
      <c r="L51" s="1">
        <v>34.82</v>
      </c>
      <c r="M51">
        <f t="shared" si="2"/>
        <v>9.8627358490566142E-3</v>
      </c>
      <c r="N51">
        <f t="shared" si="2"/>
        <v>-8.1180811808119202E-3</v>
      </c>
      <c r="O51">
        <f t="shared" si="2"/>
        <v>-5.3163213884288574E-4</v>
      </c>
      <c r="P51">
        <f t="shared" si="2"/>
        <v>-2.0718619965417684E-2</v>
      </c>
      <c r="Q51">
        <f t="shared" si="2"/>
        <v>8.3160083160072062E-4</v>
      </c>
      <c r="R51">
        <f t="shared" si="8"/>
        <v>-3.7572583399748671E-3</v>
      </c>
      <c r="S51">
        <f t="shared" si="3"/>
        <v>-1.4645972732464707E-2</v>
      </c>
      <c r="T51">
        <f t="shared" si="4"/>
        <v>-1.9872010778039684E-2</v>
      </c>
      <c r="U51">
        <f t="shared" si="5"/>
        <v>-1.3067492927387958E-2</v>
      </c>
      <c r="V51">
        <f t="shared" si="6"/>
        <v>-7.1285999429712144E-3</v>
      </c>
      <c r="W51">
        <f t="shared" si="7"/>
        <v>-3.5546230094950504E-3</v>
      </c>
      <c r="Y51" s="18" t="s">
        <v>531</v>
      </c>
      <c r="Z51" s="18"/>
      <c r="AA51" s="18"/>
      <c r="AB51" s="18"/>
      <c r="AC51" s="18"/>
      <c r="AD51" s="18"/>
      <c r="AE51" s="18"/>
      <c r="AF51" s="18"/>
      <c r="AG51" s="18"/>
      <c r="AH51" s="18"/>
      <c r="AI51" s="18"/>
      <c r="AJ51" s="18"/>
    </row>
    <row r="52" spans="1:36" x14ac:dyDescent="0.3">
      <c r="A52" t="s">
        <v>457</v>
      </c>
      <c r="B52" s="1">
        <v>23.32</v>
      </c>
      <c r="C52" s="1">
        <v>13.55</v>
      </c>
      <c r="D52" s="1">
        <v>18.809999000000001</v>
      </c>
      <c r="E52" s="1">
        <v>38.130001</v>
      </c>
      <c r="F52" s="1">
        <v>12.025</v>
      </c>
      <c r="G52" s="1">
        <v>8.7829999999999995</v>
      </c>
      <c r="H52" s="1">
        <v>5176.330078</v>
      </c>
      <c r="I52" s="1">
        <v>36.869999</v>
      </c>
      <c r="J52" s="1">
        <v>14.845000000000001</v>
      </c>
      <c r="K52" s="1">
        <v>3.7115</v>
      </c>
      <c r="L52" s="1">
        <v>35.07</v>
      </c>
      <c r="M52">
        <f t="shared" si="2"/>
        <v>-2.1395377775121904E-3</v>
      </c>
      <c r="N52">
        <f t="shared" si="2"/>
        <v>5.1928783382788612E-3</v>
      </c>
      <c r="O52">
        <f t="shared" si="2"/>
        <v>2.0064966373917414E-2</v>
      </c>
      <c r="P52">
        <f t="shared" si="2"/>
        <v>2.6295556831332778E-3</v>
      </c>
      <c r="Q52">
        <f t="shared" si="2"/>
        <v>1.6659725114536172E-3</v>
      </c>
      <c r="R52">
        <f t="shared" si="8"/>
        <v>5.2649650909921686E-3</v>
      </c>
      <c r="S52">
        <f t="shared" si="3"/>
        <v>-6.1994342964654114E-3</v>
      </c>
      <c r="T52">
        <f t="shared" si="4"/>
        <v>-3.691275167785224E-3</v>
      </c>
      <c r="U52">
        <f t="shared" si="5"/>
        <v>2.5661804430037183E-3</v>
      </c>
      <c r="V52">
        <f t="shared" si="6"/>
        <v>6.3128267611378686E-3</v>
      </c>
      <c r="W52">
        <f t="shared" si="7"/>
        <v>-3.8675900240203731E-6</v>
      </c>
      <c r="Y52" s="18"/>
      <c r="Z52" s="18"/>
      <c r="AA52" s="18"/>
      <c r="AB52" s="18"/>
      <c r="AC52" s="18"/>
      <c r="AD52" s="18"/>
      <c r="AE52" s="18"/>
      <c r="AF52" s="18"/>
      <c r="AG52" s="18"/>
      <c r="AH52" s="18"/>
      <c r="AI52" s="18"/>
      <c r="AJ52" s="18"/>
    </row>
    <row r="53" spans="1:36" x14ac:dyDescent="0.3">
      <c r="A53" t="s">
        <v>456</v>
      </c>
      <c r="B53" s="1">
        <v>23.370000999999998</v>
      </c>
      <c r="C53" s="1">
        <v>13.48</v>
      </c>
      <c r="D53" s="1">
        <v>18.440000999999999</v>
      </c>
      <c r="E53" s="1">
        <v>38.029998999999997</v>
      </c>
      <c r="F53" s="1">
        <v>12.005000000000001</v>
      </c>
      <c r="G53" s="1">
        <v>8.7370000000000001</v>
      </c>
      <c r="H53" s="1">
        <v>5176.3500979999999</v>
      </c>
      <c r="I53" s="1">
        <v>37.099997999999999</v>
      </c>
      <c r="J53" s="1">
        <v>14.9</v>
      </c>
      <c r="K53" s="1">
        <v>3.702</v>
      </c>
      <c r="L53" s="1">
        <v>34.849997999999999</v>
      </c>
      <c r="M53">
        <f t="shared" si="2"/>
        <v>-5.9548702679712573E-3</v>
      </c>
      <c r="N53">
        <f t="shared" si="2"/>
        <v>-6.6322770817980325E-3</v>
      </c>
      <c r="O53">
        <f t="shared" si="2"/>
        <v>0</v>
      </c>
      <c r="P53">
        <f t="shared" si="2"/>
        <v>-3.1455568468909956E-3</v>
      </c>
      <c r="Q53">
        <f t="shared" si="2"/>
        <v>-1.2479201331113687E-3</v>
      </c>
      <c r="R53">
        <f t="shared" si="8"/>
        <v>-4.5761354536089094E-4</v>
      </c>
      <c r="S53">
        <f t="shared" si="3"/>
        <v>4.8754065479634789E-3</v>
      </c>
      <c r="T53">
        <f t="shared" si="4"/>
        <v>-1.0952538997676675E-2</v>
      </c>
      <c r="U53">
        <f t="shared" si="5"/>
        <v>-3.231017770597755E-3</v>
      </c>
      <c r="V53">
        <f t="shared" si="6"/>
        <v>-4.0012572734348106E-3</v>
      </c>
      <c r="W53">
        <f t="shared" si="7"/>
        <v>-2.3493971152528381E-3</v>
      </c>
      <c r="Y53" t="s">
        <v>532</v>
      </c>
    </row>
    <row r="54" spans="1:36" x14ac:dyDescent="0.3">
      <c r="A54" t="s">
        <v>455</v>
      </c>
      <c r="B54" s="1">
        <v>23.51</v>
      </c>
      <c r="C54" s="1">
        <v>13.57</v>
      </c>
      <c r="D54" s="1">
        <v>18.440000999999999</v>
      </c>
      <c r="E54" s="1">
        <v>38.150002000000001</v>
      </c>
      <c r="F54" s="1">
        <v>12.02</v>
      </c>
      <c r="G54" s="1">
        <v>8.7409999999999997</v>
      </c>
      <c r="H54" s="1">
        <v>5188.5400390000004</v>
      </c>
      <c r="I54" s="1">
        <v>36.919998</v>
      </c>
      <c r="J54" s="1">
        <v>15.065</v>
      </c>
      <c r="K54" s="1">
        <v>3.714</v>
      </c>
      <c r="L54" s="1">
        <v>34.990001999999997</v>
      </c>
      <c r="M54">
        <f t="shared" si="2"/>
        <v>1.8189692507579069E-2</v>
      </c>
      <c r="N54">
        <f t="shared" si="2"/>
        <v>2.2156573116691725E-3</v>
      </c>
      <c r="O54">
        <f t="shared" si="2"/>
        <v>4.9046866485011886E-3</v>
      </c>
      <c r="P54">
        <f t="shared" si="2"/>
        <v>9.2593388692947531E-3</v>
      </c>
      <c r="Q54">
        <f t="shared" si="2"/>
        <v>1.6666666666667052E-3</v>
      </c>
      <c r="R54">
        <f t="shared" si="8"/>
        <v>2.2219623435855373E-2</v>
      </c>
      <c r="S54">
        <f t="shared" si="3"/>
        <v>5.1728287503403081E-3</v>
      </c>
      <c r="T54">
        <f t="shared" si="4"/>
        <v>-1.4070680628272214E-2</v>
      </c>
      <c r="U54">
        <f t="shared" si="5"/>
        <v>6.7769043101111315E-3</v>
      </c>
      <c r="V54">
        <f t="shared" si="6"/>
        <v>9.2299976481104995E-3</v>
      </c>
      <c r="W54">
        <f t="shared" si="7"/>
        <v>6.9946703541969857E-3</v>
      </c>
    </row>
    <row r="55" spans="1:36" x14ac:dyDescent="0.3">
      <c r="A55" t="s">
        <v>454</v>
      </c>
      <c r="B55" s="1">
        <v>23.09</v>
      </c>
      <c r="C55" s="1">
        <v>13.54</v>
      </c>
      <c r="D55" s="1">
        <v>18.350000000000001</v>
      </c>
      <c r="E55" s="1">
        <v>37.799999</v>
      </c>
      <c r="F55" s="1">
        <v>12</v>
      </c>
      <c r="G55" s="1">
        <v>8.5510000000000002</v>
      </c>
      <c r="H55" s="1">
        <v>5152.5</v>
      </c>
      <c r="I55" s="1">
        <v>36.729999999999997</v>
      </c>
      <c r="J55" s="1">
        <v>15.28</v>
      </c>
      <c r="K55" s="1">
        <v>3.6890000000000001</v>
      </c>
      <c r="L55" s="1">
        <v>34.669998</v>
      </c>
      <c r="M55">
        <f t="shared" si="2"/>
        <v>1.316362381906E-2</v>
      </c>
      <c r="N55">
        <f t="shared" si="2"/>
        <v>1.0447761194029681E-2</v>
      </c>
      <c r="O55">
        <f t="shared" si="2"/>
        <v>6.5825562260011239E-3</v>
      </c>
      <c r="P55">
        <f t="shared" si="2"/>
        <v>0</v>
      </c>
      <c r="Q55">
        <f t="shared" si="2"/>
        <v>8.3402835696411159E-4</v>
      </c>
      <c r="R55">
        <f t="shared" si="8"/>
        <v>6.2367615909626473E-3</v>
      </c>
      <c r="S55">
        <f t="shared" si="3"/>
        <v>3.2777655482718604E-3</v>
      </c>
      <c r="T55">
        <f t="shared" si="4"/>
        <v>1.3934970139349634E-2</v>
      </c>
      <c r="U55">
        <f t="shared" si="5"/>
        <v>1.5554026152787337E-2</v>
      </c>
      <c r="V55">
        <f t="shared" si="6"/>
        <v>-5.7656386787441338E-4</v>
      </c>
      <c r="W55">
        <f t="shared" si="7"/>
        <v>2.5099038357128123E-3</v>
      </c>
    </row>
    <row r="56" spans="1:36" x14ac:dyDescent="0.3">
      <c r="A56" t="s">
        <v>453</v>
      </c>
      <c r="B56" s="1">
        <v>22.790001</v>
      </c>
      <c r="C56" s="1">
        <v>13.4</v>
      </c>
      <c r="D56" s="1">
        <v>18.23</v>
      </c>
      <c r="E56" s="1">
        <v>37.799999</v>
      </c>
      <c r="F56" s="1">
        <v>11.99</v>
      </c>
      <c r="G56" s="1">
        <v>8.4979999999999993</v>
      </c>
      <c r="H56" s="1">
        <v>5139.6000979999999</v>
      </c>
      <c r="I56" s="1">
        <v>36.610000999999997</v>
      </c>
      <c r="J56" s="1">
        <v>15.07</v>
      </c>
      <c r="K56" s="1">
        <v>3.6324999999999998</v>
      </c>
      <c r="L56" s="1">
        <v>34.689999</v>
      </c>
      <c r="M56">
        <f t="shared" si="2"/>
        <v>-9.5610169491525676E-3</v>
      </c>
      <c r="N56">
        <f t="shared" si="2"/>
        <v>-1.7595307917888547E-2</v>
      </c>
      <c r="O56">
        <f t="shared" si="2"/>
        <v>-5.4555373704309185E-3</v>
      </c>
      <c r="P56">
        <f t="shared" si="2"/>
        <v>-2.1485943010977393E-2</v>
      </c>
      <c r="Q56">
        <f t="shared" si="2"/>
        <v>-1.9222903885480536E-2</v>
      </c>
      <c r="R56">
        <f t="shared" si="8"/>
        <v>-1.6207455429497641E-2</v>
      </c>
      <c r="S56">
        <f t="shared" si="3"/>
        <v>-1.1342101305484742E-2</v>
      </c>
      <c r="T56">
        <f t="shared" si="4"/>
        <v>-3.4902337495997471E-2</v>
      </c>
      <c r="U56">
        <f t="shared" si="5"/>
        <v>-1.2639304158738818E-2</v>
      </c>
      <c r="V56">
        <f t="shared" si="6"/>
        <v>-1.2524964061344623E-2</v>
      </c>
      <c r="W56">
        <f t="shared" si="7"/>
        <v>-1.4140649046817444E-2</v>
      </c>
    </row>
    <row r="57" spans="1:36" x14ac:dyDescent="0.3">
      <c r="A57" t="s">
        <v>452</v>
      </c>
      <c r="B57" s="1">
        <v>23.01</v>
      </c>
      <c r="C57" s="1">
        <v>13.64</v>
      </c>
      <c r="D57" s="1">
        <v>18.329999999999998</v>
      </c>
      <c r="E57" s="1">
        <v>38.630001</v>
      </c>
      <c r="F57" s="1">
        <v>12.225</v>
      </c>
      <c r="G57" s="1">
        <v>8.6379999999999999</v>
      </c>
      <c r="H57" s="1">
        <v>5213.3198240000002</v>
      </c>
      <c r="I57" s="1">
        <v>37.029998999999997</v>
      </c>
      <c r="J57" s="1">
        <v>15.615</v>
      </c>
      <c r="K57" s="1">
        <v>3.6789999999999998</v>
      </c>
      <c r="L57" s="1">
        <v>35.130001</v>
      </c>
      <c r="M57">
        <f t="shared" si="2"/>
        <v>1.1428571428571566E-2</v>
      </c>
      <c r="N57">
        <f t="shared" si="2"/>
        <v>6.6420664206641167E-3</v>
      </c>
      <c r="O57">
        <f t="shared" si="2"/>
        <v>2.5167842570908316E-2</v>
      </c>
      <c r="P57">
        <f t="shared" si="2"/>
        <v>8.3529102492061469E-3</v>
      </c>
      <c r="Q57">
        <f t="shared" si="2"/>
        <v>1.7901748542880958E-2</v>
      </c>
      <c r="R57">
        <f t="shared" si="8"/>
        <v>4.7691055019192241E-3</v>
      </c>
      <c r="S57">
        <f t="shared" si="3"/>
        <v>1.8939394451822356E-3</v>
      </c>
      <c r="T57">
        <f t="shared" si="4"/>
        <v>1.0679611650485477E-2</v>
      </c>
      <c r="U57">
        <f t="shared" si="5"/>
        <v>1.1269928532160467E-2</v>
      </c>
      <c r="V57">
        <f t="shared" si="6"/>
        <v>9.1927604368640115E-3</v>
      </c>
      <c r="W57">
        <f t="shared" si="7"/>
        <v>1.0192300068334603E-2</v>
      </c>
    </row>
    <row r="58" spans="1:36" x14ac:dyDescent="0.3">
      <c r="A58" t="s">
        <v>451</v>
      </c>
      <c r="B58" s="1">
        <v>22.75</v>
      </c>
      <c r="C58" s="1">
        <v>13.55</v>
      </c>
      <c r="D58" s="1">
        <v>17.879999000000002</v>
      </c>
      <c r="E58" s="1">
        <v>38.310001</v>
      </c>
      <c r="F58" s="1">
        <v>12.01</v>
      </c>
      <c r="G58" s="1">
        <v>8.5969999999999995</v>
      </c>
      <c r="H58" s="1">
        <v>5160.7202150000003</v>
      </c>
      <c r="I58" s="1">
        <v>36.959999000000003</v>
      </c>
      <c r="J58" s="1">
        <v>15.45</v>
      </c>
      <c r="K58" s="1">
        <v>3.6379999999999999</v>
      </c>
      <c r="L58" s="1">
        <v>34.810001</v>
      </c>
      <c r="M58">
        <f t="shared" si="2"/>
        <v>-2.1929386926727856E-3</v>
      </c>
      <c r="N58">
        <f t="shared" si="2"/>
        <v>4.4477390659747318E-3</v>
      </c>
      <c r="O58">
        <f t="shared" si="2"/>
        <v>1.680616246498623E-3</v>
      </c>
      <c r="P58">
        <f t="shared" si="2"/>
        <v>8.6888098999473584E-3</v>
      </c>
      <c r="Q58">
        <f t="shared" si="2"/>
        <v>-1.0300782859497315E-2</v>
      </c>
      <c r="R58">
        <f t="shared" si="8"/>
        <v>-1.3766203969255542E-2</v>
      </c>
      <c r="S58">
        <f t="shared" si="3"/>
        <v>8.733624692511599E-3</v>
      </c>
      <c r="T58">
        <f t="shared" si="4"/>
        <v>-1.2464046021092967E-2</v>
      </c>
      <c r="U58">
        <f t="shared" si="5"/>
        <v>5.8059165053911954E-3</v>
      </c>
      <c r="V58">
        <f t="shared" si="6"/>
        <v>8.9855362318840282E-3</v>
      </c>
      <c r="W58">
        <f t="shared" si="7"/>
        <v>9.1358418889386783E-4</v>
      </c>
    </row>
    <row r="59" spans="1:36" x14ac:dyDescent="0.3">
      <c r="A59" t="s">
        <v>450</v>
      </c>
      <c r="B59" s="1">
        <v>22.799999</v>
      </c>
      <c r="C59" s="1">
        <v>13.49</v>
      </c>
      <c r="D59" s="1">
        <v>17.850000000000001</v>
      </c>
      <c r="E59" s="1">
        <v>37.979999999999997</v>
      </c>
      <c r="F59" s="1">
        <v>12.135</v>
      </c>
      <c r="G59" s="1">
        <v>8.7170000000000005</v>
      </c>
      <c r="H59" s="1">
        <v>5156.0097660000001</v>
      </c>
      <c r="I59" s="1">
        <v>36.639999000000003</v>
      </c>
      <c r="J59" s="1">
        <v>15.645</v>
      </c>
      <c r="K59" s="1">
        <v>3.617</v>
      </c>
      <c r="L59" s="1">
        <v>34.5</v>
      </c>
      <c r="M59">
        <f t="shared" si="2"/>
        <v>2.6384784520669946E-3</v>
      </c>
      <c r="N59">
        <f t="shared" si="2"/>
        <v>-4.4280442804428555E-3</v>
      </c>
      <c r="O59">
        <f t="shared" si="2"/>
        <v>3.9369514096203595E-3</v>
      </c>
      <c r="P59">
        <f t="shared" si="2"/>
        <v>2.2066738428417665E-2</v>
      </c>
      <c r="Q59">
        <f t="shared" si="2"/>
        <v>6.2189054726367043E-3</v>
      </c>
      <c r="R59">
        <f t="shared" si="8"/>
        <v>2.2042443428303526E-2</v>
      </c>
      <c r="S59">
        <f t="shared" si="3"/>
        <v>1.8909900414624481E-2</v>
      </c>
      <c r="T59">
        <f t="shared" si="4"/>
        <v>-7.9264426125554843E-3</v>
      </c>
      <c r="U59">
        <f t="shared" si="5"/>
        <v>6.1196105702363557E-3</v>
      </c>
      <c r="V59">
        <f t="shared" si="6"/>
        <v>1.2918349591357847E-2</v>
      </c>
      <c r="W59">
        <f t="shared" si="7"/>
        <v>1.0310720440223298E-2</v>
      </c>
    </row>
    <row r="60" spans="1:36" x14ac:dyDescent="0.3">
      <c r="A60" t="s">
        <v>449</v>
      </c>
      <c r="B60" s="1">
        <v>22.74</v>
      </c>
      <c r="C60" s="1">
        <v>13.55</v>
      </c>
      <c r="D60" s="1">
        <v>17.780000999999999</v>
      </c>
      <c r="E60" s="1">
        <v>37.159999999999997</v>
      </c>
      <c r="F60" s="1">
        <v>12.06</v>
      </c>
      <c r="G60" s="1">
        <v>8.5289999999999999</v>
      </c>
      <c r="H60" s="1">
        <v>5103.3901370000003</v>
      </c>
      <c r="I60" s="1">
        <v>35.959999000000003</v>
      </c>
      <c r="J60" s="1">
        <v>15.77</v>
      </c>
      <c r="K60" s="1">
        <v>3.5950000000000002</v>
      </c>
      <c r="L60" s="1">
        <v>34.060001</v>
      </c>
      <c r="M60">
        <f t="shared" si="2"/>
        <v>6.6401062416998613E-3</v>
      </c>
      <c r="N60">
        <f t="shared" si="2"/>
        <v>-5.8694057226705842E-3</v>
      </c>
      <c r="O60">
        <f t="shared" si="2"/>
        <v>-2.2446127946128547E-3</v>
      </c>
      <c r="P60">
        <f t="shared" si="2"/>
        <v>-5.8855268623455581E-3</v>
      </c>
      <c r="Q60">
        <f t="shared" si="2"/>
        <v>3.7453183520599342E-3</v>
      </c>
      <c r="R60">
        <f t="shared" si="8"/>
        <v>9.9467140319715597E-3</v>
      </c>
      <c r="S60">
        <f t="shared" si="3"/>
        <v>7.2828569388556641E-3</v>
      </c>
      <c r="T60">
        <f t="shared" si="4"/>
        <v>4.4585987261147597E-3</v>
      </c>
      <c r="U60">
        <f t="shared" si="5"/>
        <v>1.4247425588940654E-2</v>
      </c>
      <c r="V60">
        <f t="shared" si="6"/>
        <v>-3.5107957870099682E-3</v>
      </c>
      <c r="W60">
        <f t="shared" si="7"/>
        <v>-1.3316569393384547E-4</v>
      </c>
    </row>
    <row r="61" spans="1:36" x14ac:dyDescent="0.3">
      <c r="A61" t="s">
        <v>448</v>
      </c>
      <c r="B61" s="1">
        <v>22.59</v>
      </c>
      <c r="C61" s="1">
        <v>13.63</v>
      </c>
      <c r="D61" s="1">
        <v>17.82</v>
      </c>
      <c r="E61" s="1">
        <v>37.380001</v>
      </c>
      <c r="F61" s="1">
        <v>12.015000000000001</v>
      </c>
      <c r="G61" s="1">
        <v>8.4450000000000003</v>
      </c>
      <c r="H61" s="1">
        <v>5104.0698240000002</v>
      </c>
      <c r="I61" s="1">
        <v>35.700001</v>
      </c>
      <c r="J61" s="1">
        <v>15.7</v>
      </c>
      <c r="K61" s="1">
        <v>3.5445000000000002</v>
      </c>
      <c r="L61" s="1">
        <v>34.18</v>
      </c>
      <c r="M61">
        <f t="shared" si="2"/>
        <v>-2.038157070171609E-2</v>
      </c>
      <c r="N61">
        <f t="shared" si="2"/>
        <v>-2.2939068100358284E-2</v>
      </c>
      <c r="O61">
        <f t="shared" si="2"/>
        <v>-8.3471902252193475E-3</v>
      </c>
      <c r="P61">
        <f t="shared" si="2"/>
        <v>-3.1857031031933825E-2</v>
      </c>
      <c r="Q61">
        <f t="shared" si="2"/>
        <v>-1.7579721995094055E-2</v>
      </c>
      <c r="R61">
        <f t="shared" si="8"/>
        <v>-1.0312902847767424E-2</v>
      </c>
      <c r="S61">
        <f t="shared" si="3"/>
        <v>-2.4856595879360843E-2</v>
      </c>
      <c r="T61">
        <f t="shared" si="4"/>
        <v>-2.6054650989165484E-2</v>
      </c>
      <c r="U61">
        <f t="shared" si="5"/>
        <v>-1.3635731181299571E-2</v>
      </c>
      <c r="V61">
        <f t="shared" si="6"/>
        <v>-1.7533802312911573E-2</v>
      </c>
      <c r="W61">
        <f t="shared" si="7"/>
        <v>-1.8883963832575623E-2</v>
      </c>
    </row>
    <row r="62" spans="1:36" x14ac:dyDescent="0.3">
      <c r="A62" t="s">
        <v>447</v>
      </c>
      <c r="B62" s="1">
        <v>23.059999000000001</v>
      </c>
      <c r="C62" s="1">
        <v>13.95</v>
      </c>
      <c r="D62" s="1">
        <v>17.969999000000001</v>
      </c>
      <c r="E62" s="1">
        <v>38.610000999999997</v>
      </c>
      <c r="F62" s="1">
        <v>12.23</v>
      </c>
      <c r="G62" s="1">
        <v>8.5329999999999995</v>
      </c>
      <c r="H62" s="1">
        <v>5202.3100590000004</v>
      </c>
      <c r="I62" s="1">
        <v>36.610000999999997</v>
      </c>
      <c r="J62" s="1">
        <v>16.120000999999998</v>
      </c>
      <c r="K62" s="1">
        <v>3.5935000000000001</v>
      </c>
      <c r="L62" s="1">
        <v>34.790000999999997</v>
      </c>
      <c r="M62">
        <f t="shared" si="2"/>
        <v>2.6086521739130397E-3</v>
      </c>
      <c r="N62">
        <f t="shared" si="2"/>
        <v>1.4545454545454417E-2</v>
      </c>
      <c r="O62">
        <f t="shared" si="2"/>
        <v>2.2308421639711806E-3</v>
      </c>
      <c r="P62">
        <f t="shared" si="2"/>
        <v>1.5564721545129334E-3</v>
      </c>
      <c r="Q62">
        <f t="shared" si="2"/>
        <v>4.1050903119870252E-3</v>
      </c>
      <c r="R62">
        <f t="shared" si="8"/>
        <v>3.5281665294601972E-3</v>
      </c>
      <c r="S62">
        <f t="shared" si="3"/>
        <v>2.4644304490688551E-3</v>
      </c>
      <c r="T62">
        <f t="shared" si="4"/>
        <v>5.6144725131332951E-3</v>
      </c>
      <c r="U62">
        <f t="shared" si="5"/>
        <v>2.3709902370989688E-3</v>
      </c>
      <c r="V62">
        <f t="shared" si="6"/>
        <v>7.8215816917726055E-3</v>
      </c>
      <c r="W62">
        <f t="shared" si="7"/>
        <v>-3.41945389922238E-3</v>
      </c>
    </row>
    <row r="63" spans="1:36" x14ac:dyDescent="0.3">
      <c r="A63" t="s">
        <v>446</v>
      </c>
      <c r="B63" s="1">
        <v>23</v>
      </c>
      <c r="C63" s="1">
        <v>13.75</v>
      </c>
      <c r="D63" s="1">
        <v>17.93</v>
      </c>
      <c r="E63" s="1">
        <v>38.549999</v>
      </c>
      <c r="F63" s="1">
        <v>12.18</v>
      </c>
      <c r="G63" s="1">
        <v>8.5030000000000001</v>
      </c>
      <c r="H63" s="1">
        <v>5220.1601559999999</v>
      </c>
      <c r="I63" s="1">
        <v>36.520000000000003</v>
      </c>
      <c r="J63" s="1">
        <v>16.030000999999999</v>
      </c>
      <c r="K63" s="1">
        <v>3.585</v>
      </c>
      <c r="L63" s="1">
        <v>34.520000000000003</v>
      </c>
      <c r="M63">
        <f t="shared" si="2"/>
        <v>1.7699115044247815E-2</v>
      </c>
      <c r="N63">
        <f t="shared" si="2"/>
        <v>-7.9365079365079083E-3</v>
      </c>
      <c r="O63">
        <f t="shared" si="2"/>
        <v>1.6759776536312554E-3</v>
      </c>
      <c r="P63">
        <f t="shared" si="2"/>
        <v>2.2817724139499118E-2</v>
      </c>
      <c r="Q63">
        <f t="shared" si="2"/>
        <v>2.0567667626492092E-3</v>
      </c>
      <c r="R63">
        <f t="shared" si="8"/>
        <v>-4.7020101093209199E-4</v>
      </c>
      <c r="S63">
        <f t="shared" si="3"/>
        <v>1.4726256475340094E-2</v>
      </c>
      <c r="T63">
        <f t="shared" si="4"/>
        <v>-1.2459813860424829E-3</v>
      </c>
      <c r="U63">
        <f t="shared" si="5"/>
        <v>9.4326340982684442E-3</v>
      </c>
      <c r="V63">
        <f t="shared" si="6"/>
        <v>2.9053458980445868E-3</v>
      </c>
      <c r="W63">
        <f t="shared" si="7"/>
        <v>1.2962473954053033E-2</v>
      </c>
    </row>
    <row r="64" spans="1:36" x14ac:dyDescent="0.3">
      <c r="A64" t="s">
        <v>445</v>
      </c>
      <c r="B64" s="1">
        <v>22.6</v>
      </c>
      <c r="C64" s="1">
        <v>13.86</v>
      </c>
      <c r="D64" s="1">
        <v>17.899999999999999</v>
      </c>
      <c r="E64" s="1">
        <v>37.689999</v>
      </c>
      <c r="F64" s="1">
        <v>12.154999999999999</v>
      </c>
      <c r="G64" s="1">
        <v>8.5069999999999997</v>
      </c>
      <c r="H64" s="1">
        <v>5153.3598629999997</v>
      </c>
      <c r="I64" s="1">
        <v>35.990001999999997</v>
      </c>
      <c r="J64" s="1">
        <v>16.049999</v>
      </c>
      <c r="K64" s="1">
        <v>3.5514999999999999</v>
      </c>
      <c r="L64" s="1">
        <v>34.419998</v>
      </c>
      <c r="M64">
        <f t="shared" si="2"/>
        <v>6.6814696355692593E-3</v>
      </c>
      <c r="N64">
        <f t="shared" si="2"/>
        <v>1.4450867052022698E-3</v>
      </c>
      <c r="O64">
        <f t="shared" si="2"/>
        <v>4.4893378226711356E-3</v>
      </c>
      <c r="P64">
        <f t="shared" si="2"/>
        <v>-1.8233915557017921E-2</v>
      </c>
      <c r="Q64">
        <f t="shared" si="2"/>
        <v>-6.9444444444445308E-3</v>
      </c>
      <c r="R64">
        <f t="shared" si="8"/>
        <v>-6.6557683325548789E-3</v>
      </c>
      <c r="S64">
        <f t="shared" si="3"/>
        <v>-1.6642718908259635E-3</v>
      </c>
      <c r="T64">
        <f t="shared" si="4"/>
        <v>7.8492307692306085E-3</v>
      </c>
      <c r="U64">
        <f t="shared" si="5"/>
        <v>1.427959445951732E-2</v>
      </c>
      <c r="V64">
        <f t="shared" si="6"/>
        <v>-1.7413674490827091E-2</v>
      </c>
      <c r="W64">
        <f t="shared" si="7"/>
        <v>-2.8501789722370496E-3</v>
      </c>
    </row>
    <row r="65" spans="1:23" x14ac:dyDescent="0.3">
      <c r="A65" t="s">
        <v>444</v>
      </c>
      <c r="B65" s="1">
        <v>22.450001</v>
      </c>
      <c r="C65" s="1">
        <v>13.84</v>
      </c>
      <c r="D65" s="1">
        <v>17.82</v>
      </c>
      <c r="E65" s="1">
        <v>38.389999000000003</v>
      </c>
      <c r="F65" s="1">
        <v>12.24</v>
      </c>
      <c r="G65" s="1">
        <v>8.5640000000000001</v>
      </c>
      <c r="H65" s="1">
        <v>5168.0898440000001</v>
      </c>
      <c r="I65" s="1">
        <v>36.049999</v>
      </c>
      <c r="J65" s="1">
        <v>15.925000000000001</v>
      </c>
      <c r="K65" s="1">
        <v>3.5015000000000001</v>
      </c>
      <c r="L65" s="1">
        <v>35.029998999999997</v>
      </c>
      <c r="M65">
        <f t="shared" si="2"/>
        <v>8.9170753455203311E-4</v>
      </c>
      <c r="N65">
        <f t="shared" si="2"/>
        <v>2.9761904761904878E-2</v>
      </c>
      <c r="O65">
        <f t="shared" si="2"/>
        <v>-6.1349693251533388E-3</v>
      </c>
      <c r="P65">
        <f t="shared" si="2"/>
        <v>3.0050952508720252E-2</v>
      </c>
      <c r="Q65">
        <f t="shared" ref="Q65:R128" si="23">+F65/F66-1</f>
        <v>1.9575177009579336E-2</v>
      </c>
      <c r="R65">
        <f t="shared" si="8"/>
        <v>1.5052743866303286E-2</v>
      </c>
      <c r="S65">
        <f t="shared" si="3"/>
        <v>1.1108303866054214E-3</v>
      </c>
      <c r="T65">
        <f t="shared" si="4"/>
        <v>1.5625E-2</v>
      </c>
      <c r="U65">
        <f t="shared" si="5"/>
        <v>1.301894980471574E-2</v>
      </c>
      <c r="V65">
        <f t="shared" si="6"/>
        <v>2.7875497190404941E-2</v>
      </c>
      <c r="W65">
        <f t="shared" si="7"/>
        <v>1.8963208148752519E-2</v>
      </c>
    </row>
    <row r="66" spans="1:23" x14ac:dyDescent="0.3">
      <c r="A66" t="s">
        <v>443</v>
      </c>
      <c r="B66" s="1">
        <v>22.43</v>
      </c>
      <c r="C66" s="1">
        <v>13.44</v>
      </c>
      <c r="D66" s="1">
        <v>17.93</v>
      </c>
      <c r="E66" s="1">
        <v>37.270000000000003</v>
      </c>
      <c r="F66" s="1">
        <v>12.005000000000001</v>
      </c>
      <c r="G66" s="1">
        <v>8.4369999999999994</v>
      </c>
      <c r="H66" s="1">
        <v>5071.9101559999999</v>
      </c>
      <c r="I66" s="1">
        <v>36.009998000000003</v>
      </c>
      <c r="J66" s="1">
        <v>15.68</v>
      </c>
      <c r="K66" s="1">
        <v>3.4565000000000001</v>
      </c>
      <c r="L66" s="1">
        <v>34.080002</v>
      </c>
      <c r="M66">
        <f t="shared" si="2"/>
        <v>1.339285714285765E-3</v>
      </c>
      <c r="N66">
        <f t="shared" si="2"/>
        <v>-3.7064492216457579E-3</v>
      </c>
      <c r="O66">
        <f t="shared" si="2"/>
        <v>-2.2258765846342454E-3</v>
      </c>
      <c r="P66">
        <f t="shared" si="2"/>
        <v>-3.1444906444906273E-2</v>
      </c>
      <c r="Q66">
        <f t="shared" si="23"/>
        <v>-1.4772260976610552E-2</v>
      </c>
      <c r="R66">
        <f t="shared" si="8"/>
        <v>-2.2363847045191343E-2</v>
      </c>
      <c r="S66">
        <f t="shared" si="3"/>
        <v>-2.2529913137893653E-2</v>
      </c>
      <c r="T66">
        <f t="shared" si="4"/>
        <v>-1.8466353677621283E-2</v>
      </c>
      <c r="U66">
        <f t="shared" si="5"/>
        <v>-4.3208987469393056E-3</v>
      </c>
      <c r="V66">
        <f t="shared" si="6"/>
        <v>-1.8715750071983783E-2</v>
      </c>
      <c r="W66">
        <f t="shared" si="7"/>
        <v>-1.3133802897828062E-2</v>
      </c>
    </row>
    <row r="67" spans="1:23" x14ac:dyDescent="0.3">
      <c r="A67" t="s">
        <v>442</v>
      </c>
      <c r="B67" s="1">
        <v>22.4</v>
      </c>
      <c r="C67" s="1">
        <v>13.49</v>
      </c>
      <c r="D67" s="1">
        <v>17.969999000000001</v>
      </c>
      <c r="E67" s="1">
        <v>38.479999999999997</v>
      </c>
      <c r="F67" s="1">
        <v>12.185</v>
      </c>
      <c r="G67" s="1">
        <v>8.6300000000000008</v>
      </c>
      <c r="H67" s="1">
        <v>5139.4101559999999</v>
      </c>
      <c r="I67" s="1">
        <v>36.840000000000003</v>
      </c>
      <c r="J67" s="1">
        <v>15.975</v>
      </c>
      <c r="K67" s="1">
        <v>3.4714999999999998</v>
      </c>
      <c r="L67" s="1">
        <v>34.729999999999997</v>
      </c>
      <c r="M67">
        <f t="shared" si="2"/>
        <v>2.5171624713958618E-2</v>
      </c>
      <c r="N67">
        <f t="shared" si="2"/>
        <v>-7.3583517292126199E-3</v>
      </c>
      <c r="O67">
        <f t="shared" si="2"/>
        <v>-3.3278977632889006E-3</v>
      </c>
      <c r="P67">
        <f t="shared" si="2"/>
        <v>4.1753653444676075E-3</v>
      </c>
      <c r="Q67">
        <f t="shared" si="23"/>
        <v>5.7779612051176432E-3</v>
      </c>
      <c r="R67">
        <f t="shared" si="8"/>
        <v>1.8574413745067186E-3</v>
      </c>
      <c r="S67">
        <f t="shared" si="3"/>
        <v>2.7146346611672811E-4</v>
      </c>
      <c r="T67">
        <f t="shared" si="4"/>
        <v>2.8248587570620654E-3</v>
      </c>
      <c r="U67">
        <f t="shared" si="5"/>
        <v>3.3236994219651983E-3</v>
      </c>
      <c r="V67">
        <f t="shared" si="6"/>
        <v>-8.630035018991622E-4</v>
      </c>
      <c r="W67">
        <f t="shared" si="7"/>
        <v>3.8400617217637656E-3</v>
      </c>
    </row>
    <row r="68" spans="1:23" x14ac:dyDescent="0.3">
      <c r="A68" t="s">
        <v>441</v>
      </c>
      <c r="B68" s="1">
        <v>21.85</v>
      </c>
      <c r="C68" s="1">
        <v>13.59</v>
      </c>
      <c r="D68" s="1">
        <v>18.030000999999999</v>
      </c>
      <c r="E68" s="1">
        <v>38.32</v>
      </c>
      <c r="F68" s="1">
        <v>12.115</v>
      </c>
      <c r="G68" s="1">
        <v>8.6140000000000008</v>
      </c>
      <c r="H68" s="1">
        <v>5119.75</v>
      </c>
      <c r="I68" s="1">
        <v>36.830002</v>
      </c>
      <c r="J68" s="1">
        <v>15.93</v>
      </c>
      <c r="K68" s="1">
        <v>3.46</v>
      </c>
      <c r="L68" s="1">
        <v>34.759998000000003</v>
      </c>
      <c r="M68">
        <f t="shared" si="2"/>
        <v>-5.0090621588825268E-3</v>
      </c>
      <c r="N68">
        <f t="shared" si="2"/>
        <v>1.8740629685157328E-2</v>
      </c>
      <c r="O68">
        <f t="shared" si="2"/>
        <v>2.2235130628127653E-3</v>
      </c>
      <c r="P68">
        <f t="shared" si="2"/>
        <v>4.4560417061052515E-3</v>
      </c>
      <c r="Q68">
        <f t="shared" si="23"/>
        <v>-8.2474226804118977E-4</v>
      </c>
      <c r="R68">
        <f t="shared" si="8"/>
        <v>-1.2495701020291183E-2</v>
      </c>
      <c r="S68">
        <f t="shared" si="3"/>
        <v>1.1535347432024334E-2</v>
      </c>
      <c r="T68">
        <f t="shared" si="4"/>
        <v>-1.999378775723093E-2</v>
      </c>
      <c r="U68">
        <f t="shared" si="5"/>
        <v>-1.4448779078168883E-4</v>
      </c>
      <c r="V68">
        <f t="shared" si="6"/>
        <v>-2.5824965614057449E-3</v>
      </c>
      <c r="W68">
        <f t="shared" si="7"/>
        <v>-2.2275920174197328E-3</v>
      </c>
    </row>
    <row r="69" spans="1:23" x14ac:dyDescent="0.3">
      <c r="A69" t="s">
        <v>440</v>
      </c>
      <c r="B69" s="1">
        <v>21.959999</v>
      </c>
      <c r="C69" s="1">
        <v>13.34</v>
      </c>
      <c r="D69" s="1">
        <v>17.989999999999998</v>
      </c>
      <c r="E69" s="1">
        <v>38.150002000000001</v>
      </c>
      <c r="F69" s="1">
        <v>12.125</v>
      </c>
      <c r="G69" s="1">
        <v>8.7230000000000008</v>
      </c>
      <c r="H69" s="1">
        <v>5131.1801759999998</v>
      </c>
      <c r="I69" s="1">
        <v>36.409999999999997</v>
      </c>
      <c r="J69" s="1">
        <v>16.254999000000002</v>
      </c>
      <c r="K69" s="1">
        <v>3.4605000000000001</v>
      </c>
      <c r="L69" s="1">
        <v>34.849997999999999</v>
      </c>
      <c r="M69">
        <f t="shared" si="2"/>
        <v>4.1152265256161336E-3</v>
      </c>
      <c r="N69">
        <f t="shared" si="2"/>
        <v>-2.6987600291757952E-2</v>
      </c>
      <c r="O69">
        <f t="shared" si="2"/>
        <v>4.4667783361249658E-3</v>
      </c>
      <c r="P69">
        <f t="shared" si="2"/>
        <v>-5.8257124574531027E-2</v>
      </c>
      <c r="Q69">
        <f t="shared" si="23"/>
        <v>4.125412541253759E-4</v>
      </c>
      <c r="R69">
        <f t="shared" si="8"/>
        <v>3.4266065923642675E-2</v>
      </c>
      <c r="S69">
        <f t="shared" si="3"/>
        <v>1.9262520638412273E-3</v>
      </c>
      <c r="T69">
        <f t="shared" si="4"/>
        <v>-1.6933837314786704E-2</v>
      </c>
      <c r="U69">
        <f t="shared" si="5"/>
        <v>-1.5868436237738148E-3</v>
      </c>
      <c r="V69">
        <f t="shared" si="6"/>
        <v>-2.1891747912103687E-2</v>
      </c>
      <c r="W69">
        <f t="shared" si="7"/>
        <v>7.6261948068800933E-4</v>
      </c>
    </row>
    <row r="70" spans="1:23" x14ac:dyDescent="0.3">
      <c r="A70" t="s">
        <v>439</v>
      </c>
      <c r="B70" s="1">
        <v>21.869999</v>
      </c>
      <c r="C70" s="1">
        <v>13.71</v>
      </c>
      <c r="D70" s="1">
        <v>17.91</v>
      </c>
      <c r="E70" s="1">
        <v>40.509998000000003</v>
      </c>
      <c r="F70" s="1">
        <v>12.12</v>
      </c>
      <c r="G70" s="1">
        <v>8.4339999999999993</v>
      </c>
      <c r="H70" s="1">
        <v>5127.2700199999999</v>
      </c>
      <c r="I70" s="1">
        <v>36.340000000000003</v>
      </c>
      <c r="J70" s="1">
        <v>16.535</v>
      </c>
      <c r="K70" s="1">
        <v>3.4660000000000002</v>
      </c>
      <c r="L70" s="1">
        <v>35.630001</v>
      </c>
      <c r="M70">
        <f t="shared" ref="M70:P133" si="24">+B70/B71-1</f>
        <v>-1.2881156753486445E-2</v>
      </c>
      <c r="N70">
        <f t="shared" si="24"/>
        <v>2.9279279279279313E-2</v>
      </c>
      <c r="O70">
        <f t="shared" si="24"/>
        <v>2.7994959238804018E-3</v>
      </c>
      <c r="P70">
        <f t="shared" si="24"/>
        <v>-7.3512127578726494E-3</v>
      </c>
      <c r="Q70">
        <f t="shared" si="23"/>
        <v>1.3801756587201952E-2</v>
      </c>
      <c r="R70">
        <f t="shared" si="8"/>
        <v>-6.2448450571462866E-3</v>
      </c>
      <c r="S70">
        <f t="shared" ref="S70:S133" si="25">+I70/I71-1</f>
        <v>5.8123164735035537E-3</v>
      </c>
      <c r="T70">
        <f t="shared" ref="T70:T133" si="26">+J70/J71-1</f>
        <v>-3.0235790191301959E-4</v>
      </c>
      <c r="U70">
        <f t="shared" ref="U70:U133" si="27">+K70/K71-1</f>
        <v>-3.4502587694077436E-3</v>
      </c>
      <c r="V70">
        <f t="shared" ref="V70:V133" si="28">+L70/L71-1</f>
        <v>-3.0739854773659259E-2</v>
      </c>
      <c r="W70">
        <f t="shared" ref="W70:W133" si="29">+H70/H71-1</f>
        <v>-6.7452960045768506E-3</v>
      </c>
    </row>
    <row r="71" spans="1:23" x14ac:dyDescent="0.3">
      <c r="A71" t="s">
        <v>438</v>
      </c>
      <c r="B71" s="1">
        <v>22.155386</v>
      </c>
      <c r="C71" s="1">
        <v>13.32</v>
      </c>
      <c r="D71" s="1">
        <v>17.860001</v>
      </c>
      <c r="E71" s="1">
        <v>40.810001</v>
      </c>
      <c r="F71" s="1">
        <v>11.955</v>
      </c>
      <c r="G71" s="1">
        <v>8.4870000000000001</v>
      </c>
      <c r="H71" s="1">
        <v>5162.0898440000001</v>
      </c>
      <c r="I71" s="1">
        <v>36.130001</v>
      </c>
      <c r="J71" s="1">
        <v>16.540001</v>
      </c>
      <c r="K71" s="1">
        <v>3.4780000000000002</v>
      </c>
      <c r="L71" s="1">
        <v>36.759998000000003</v>
      </c>
      <c r="M71">
        <f t="shared" si="24"/>
        <v>-4.7007584223287546E-3</v>
      </c>
      <c r="N71">
        <f t="shared" si="24"/>
        <v>-9.0163934426229497E-2</v>
      </c>
      <c r="O71">
        <f t="shared" si="24"/>
        <v>-1.1184564383924789E-3</v>
      </c>
      <c r="P71">
        <f t="shared" si="24"/>
        <v>-1.4727113217146925E-2</v>
      </c>
      <c r="Q71">
        <f t="shared" si="23"/>
        <v>-4.180602006689238E-4</v>
      </c>
      <c r="R71">
        <f t="shared" si="8"/>
        <v>5.0923732828043189E-3</v>
      </c>
      <c r="S71">
        <f t="shared" si="25"/>
        <v>-2.2092792656526195E-3</v>
      </c>
      <c r="T71">
        <f t="shared" si="26"/>
        <v>-1.34206986830121E-2</v>
      </c>
      <c r="U71">
        <f t="shared" si="27"/>
        <v>-2.2948938611588865E-3</v>
      </c>
      <c r="V71">
        <f t="shared" si="28"/>
        <v>1.5469529959405426E-2</v>
      </c>
      <c r="W71">
        <f t="shared" si="29"/>
        <v>-4.1861639527720484E-3</v>
      </c>
    </row>
    <row r="72" spans="1:23" x14ac:dyDescent="0.3">
      <c r="A72" t="s">
        <v>437</v>
      </c>
      <c r="B72" s="1">
        <v>22.260024999999999</v>
      </c>
      <c r="C72" s="1">
        <v>14.64</v>
      </c>
      <c r="D72" s="1">
        <v>17.879999000000002</v>
      </c>
      <c r="E72" s="1">
        <v>41.419998</v>
      </c>
      <c r="F72" s="1">
        <v>11.96</v>
      </c>
      <c r="G72" s="1">
        <v>8.4440000000000008</v>
      </c>
      <c r="H72" s="1">
        <v>5183.7900390000004</v>
      </c>
      <c r="I72" s="1">
        <v>36.209999000000003</v>
      </c>
      <c r="J72" s="1">
        <v>16.764999</v>
      </c>
      <c r="K72" s="1">
        <v>3.4860000000000002</v>
      </c>
      <c r="L72" s="1">
        <v>36.200001</v>
      </c>
      <c r="M72">
        <f t="shared" si="24"/>
        <v>6.8846224148457758E-3</v>
      </c>
      <c r="N72">
        <f t="shared" si="24"/>
        <v>2.2346368715083775E-2</v>
      </c>
      <c r="O72">
        <f t="shared" si="24"/>
        <v>5.5948513936865396E-4</v>
      </c>
      <c r="P72">
        <f t="shared" si="24"/>
        <v>4.9138753799392143E-2</v>
      </c>
      <c r="Q72">
        <f t="shared" si="23"/>
        <v>-3.3333333333332993E-3</v>
      </c>
      <c r="R72">
        <f t="shared" si="8"/>
        <v>7.7574889604965502E-3</v>
      </c>
      <c r="S72">
        <f t="shared" si="25"/>
        <v>2.7618783767446864E-4</v>
      </c>
      <c r="T72">
        <f t="shared" si="26"/>
        <v>5.3973016730015644E-3</v>
      </c>
      <c r="U72">
        <f t="shared" si="27"/>
        <v>5.915452315683245E-3</v>
      </c>
      <c r="V72">
        <f t="shared" si="28"/>
        <v>6.6741381166333102E-3</v>
      </c>
      <c r="W72">
        <f t="shared" si="29"/>
        <v>6.2856348105551074E-3</v>
      </c>
    </row>
    <row r="73" spans="1:23" x14ac:dyDescent="0.3">
      <c r="A73" t="s">
        <v>436</v>
      </c>
      <c r="B73" s="1">
        <v>22.107821000000001</v>
      </c>
      <c r="C73" s="1">
        <v>14.32</v>
      </c>
      <c r="D73" s="1">
        <v>17.870000999999998</v>
      </c>
      <c r="E73" s="1">
        <v>39.479999999999997</v>
      </c>
      <c r="F73" s="1">
        <v>12</v>
      </c>
      <c r="G73" s="1">
        <v>8.3789999999999996</v>
      </c>
      <c r="H73" s="1">
        <v>5151.4101559999999</v>
      </c>
      <c r="I73" s="1">
        <v>36.200001</v>
      </c>
      <c r="J73" s="1">
        <v>16.674999</v>
      </c>
      <c r="K73" s="1">
        <v>3.4655</v>
      </c>
      <c r="L73" s="1">
        <v>35.959999000000003</v>
      </c>
      <c r="M73">
        <f t="shared" si="24"/>
        <v>4.7557216729581242E-3</v>
      </c>
      <c r="N73">
        <f t="shared" si="24"/>
        <v>7.0323488045007654E-3</v>
      </c>
      <c r="O73">
        <f t="shared" si="24"/>
        <v>-5.0110247778968331E-3</v>
      </c>
      <c r="P73">
        <f t="shared" si="24"/>
        <v>4.8358105157595421E-3</v>
      </c>
      <c r="Q73">
        <f t="shared" si="23"/>
        <v>1.39416983523446E-2</v>
      </c>
      <c r="R73">
        <f t="shared" si="8"/>
        <v>2.6325236328825774E-3</v>
      </c>
      <c r="S73">
        <f t="shared" si="25"/>
        <v>-6.0405549720238261E-3</v>
      </c>
      <c r="T73">
        <f t="shared" si="26"/>
        <v>1.8009769109265328E-2</v>
      </c>
      <c r="U73">
        <f t="shared" si="27"/>
        <v>-2.5038683359122182E-2</v>
      </c>
      <c r="V73">
        <f t="shared" si="28"/>
        <v>4.3831580730578246E-2</v>
      </c>
      <c r="W73">
        <f t="shared" si="29"/>
        <v>6.3392164125584127E-3</v>
      </c>
    </row>
    <row r="74" spans="1:23" x14ac:dyDescent="0.3">
      <c r="A74" t="s">
        <v>435</v>
      </c>
      <c r="B74" s="1">
        <v>22.00318</v>
      </c>
      <c r="C74" s="1">
        <v>14.22</v>
      </c>
      <c r="D74" s="1">
        <v>17.959999</v>
      </c>
      <c r="E74" s="1">
        <v>39.290000999999997</v>
      </c>
      <c r="F74" s="1">
        <v>11.835000000000001</v>
      </c>
      <c r="G74" s="1">
        <v>8.3569999999999993</v>
      </c>
      <c r="H74" s="1">
        <v>5118.9599609999996</v>
      </c>
      <c r="I74" s="1">
        <v>36.419998</v>
      </c>
      <c r="J74" s="1">
        <v>16.379999000000002</v>
      </c>
      <c r="K74" s="1">
        <v>3.5545</v>
      </c>
      <c r="L74" s="1">
        <v>34.450001</v>
      </c>
      <c r="M74">
        <f t="shared" si="24"/>
        <v>2.5266033227704154E-2</v>
      </c>
      <c r="N74">
        <f t="shared" si="24"/>
        <v>-7.0274068868581008E-4</v>
      </c>
      <c r="O74">
        <f t="shared" si="24"/>
        <v>8.9887645499306945E-3</v>
      </c>
      <c r="P74">
        <f t="shared" si="24"/>
        <v>2.4511161643345991E-2</v>
      </c>
      <c r="Q74">
        <f t="shared" si="23"/>
        <v>1.0243277848911658E-2</v>
      </c>
      <c r="R74">
        <f t="shared" si="8"/>
        <v>-3.2204198473283485E-3</v>
      </c>
      <c r="S74">
        <f t="shared" si="25"/>
        <v>9.9832775933643703E-3</v>
      </c>
      <c r="T74">
        <f t="shared" si="26"/>
        <v>-9.1497407746254922E-4</v>
      </c>
      <c r="U74">
        <f t="shared" si="27"/>
        <v>8.5118456518653574E-3</v>
      </c>
      <c r="V74">
        <f t="shared" si="28"/>
        <v>2.989536532450332E-2</v>
      </c>
      <c r="W74">
        <f t="shared" si="29"/>
        <v>1.189618417042837E-2</v>
      </c>
    </row>
    <row r="75" spans="1:23" x14ac:dyDescent="0.3">
      <c r="A75" t="s">
        <v>434</v>
      </c>
      <c r="B75" s="1">
        <v>21.460947000000001</v>
      </c>
      <c r="C75" s="1">
        <v>14.23</v>
      </c>
      <c r="D75" s="1">
        <v>17.799999</v>
      </c>
      <c r="E75" s="1">
        <v>38.349997999999999</v>
      </c>
      <c r="F75" s="1">
        <v>11.715</v>
      </c>
      <c r="G75" s="1">
        <v>8.3840000000000003</v>
      </c>
      <c r="H75" s="1">
        <v>5058.7797849999997</v>
      </c>
      <c r="I75" s="1">
        <v>36.060001</v>
      </c>
      <c r="J75" s="1">
        <v>16.395</v>
      </c>
      <c r="K75" s="1">
        <v>3.5245000000000002</v>
      </c>
      <c r="L75" s="1">
        <v>33.450001</v>
      </c>
      <c r="M75">
        <f t="shared" si="24"/>
        <v>4.4523921340151595E-3</v>
      </c>
      <c r="N75">
        <f t="shared" si="24"/>
        <v>1.4255167498218091E-2</v>
      </c>
      <c r="O75">
        <f t="shared" si="24"/>
        <v>-5.5866480446926658E-3</v>
      </c>
      <c r="P75">
        <f t="shared" si="24"/>
        <v>-1.3377952492357958E-2</v>
      </c>
      <c r="Q75">
        <f t="shared" si="23"/>
        <v>1.0785159620362306E-2</v>
      </c>
      <c r="R75">
        <f t="shared" si="8"/>
        <v>2.9907883718147676E-3</v>
      </c>
      <c r="S75">
        <f t="shared" si="25"/>
        <v>5.8578245945788421E-3</v>
      </c>
      <c r="T75">
        <f t="shared" si="26"/>
        <v>7.0638202049251309E-3</v>
      </c>
      <c r="U75">
        <f t="shared" si="27"/>
        <v>3.416370106761546E-3</v>
      </c>
      <c r="V75">
        <f t="shared" si="28"/>
        <v>-5.6479787648032742E-3</v>
      </c>
      <c r="W75">
        <f t="shared" si="29"/>
        <v>1.8913388849044477E-3</v>
      </c>
    </row>
    <row r="76" spans="1:23" x14ac:dyDescent="0.3">
      <c r="A76" t="s">
        <v>433</v>
      </c>
      <c r="B76" s="1">
        <v>21.365818000000001</v>
      </c>
      <c r="C76" s="1">
        <v>14.03</v>
      </c>
      <c r="D76" s="1">
        <v>17.899999999999999</v>
      </c>
      <c r="E76" s="1">
        <v>38.869999</v>
      </c>
      <c r="F76" s="1">
        <v>11.59</v>
      </c>
      <c r="G76" s="1">
        <v>8.359</v>
      </c>
      <c r="H76" s="1">
        <v>5049.2299800000001</v>
      </c>
      <c r="I76" s="1">
        <v>35.849997999999999</v>
      </c>
      <c r="J76" s="1">
        <v>16.280000999999999</v>
      </c>
      <c r="K76" s="1">
        <v>3.5125000000000002</v>
      </c>
      <c r="L76" s="1">
        <v>33.639999000000003</v>
      </c>
      <c r="M76">
        <f t="shared" si="24"/>
        <v>-1.0136756660391821E-2</v>
      </c>
      <c r="N76">
        <f t="shared" si="24"/>
        <v>-2.2980501392757646E-2</v>
      </c>
      <c r="O76">
        <f t="shared" si="24"/>
        <v>4.4893378226711356E-3</v>
      </c>
      <c r="P76">
        <f t="shared" si="24"/>
        <v>-2.970549102083142E-2</v>
      </c>
      <c r="Q76">
        <f t="shared" si="23"/>
        <v>-8.6206896551721535E-4</v>
      </c>
      <c r="R76">
        <f t="shared" si="8"/>
        <v>-3.2747049294144848E-2</v>
      </c>
      <c r="S76">
        <f t="shared" si="25"/>
        <v>1.6763620654831612E-3</v>
      </c>
      <c r="T76">
        <f t="shared" si="26"/>
        <v>-2.8349628669032012E-2</v>
      </c>
      <c r="U76">
        <f t="shared" si="27"/>
        <v>-2.4170023614390801E-2</v>
      </c>
      <c r="V76">
        <f t="shared" si="28"/>
        <v>-2.2093109180633119E-2</v>
      </c>
      <c r="W76">
        <f t="shared" si="29"/>
        <v>-1.5308918430997465E-2</v>
      </c>
    </row>
    <row r="77" spans="1:23" x14ac:dyDescent="0.3">
      <c r="A77" t="s">
        <v>432</v>
      </c>
      <c r="B77" s="1">
        <v>21.584616</v>
      </c>
      <c r="C77" s="1">
        <v>14.36</v>
      </c>
      <c r="D77" s="1">
        <v>17.82</v>
      </c>
      <c r="E77" s="1">
        <v>40.060001</v>
      </c>
      <c r="F77" s="1">
        <v>11.6</v>
      </c>
      <c r="G77" s="1">
        <v>8.6419999999999995</v>
      </c>
      <c r="H77" s="1">
        <v>5127.7299800000001</v>
      </c>
      <c r="I77" s="1">
        <v>35.790000999999997</v>
      </c>
      <c r="J77" s="1">
        <v>16.754999000000002</v>
      </c>
      <c r="K77" s="1">
        <v>3.5994999999999999</v>
      </c>
      <c r="L77" s="1">
        <v>34.400002000000001</v>
      </c>
      <c r="M77">
        <f t="shared" si="24"/>
        <v>5.7625136486287865E-3</v>
      </c>
      <c r="N77">
        <f t="shared" si="24"/>
        <v>9.8452883263009383E-3</v>
      </c>
      <c r="O77">
        <f t="shared" si="24"/>
        <v>7.9185520361990669E-3</v>
      </c>
      <c r="P77">
        <f t="shared" si="24"/>
        <v>1.959786155261245E-2</v>
      </c>
      <c r="Q77">
        <f t="shared" si="23"/>
        <v>-2.6437263953000389E-2</v>
      </c>
      <c r="R77">
        <f t="shared" si="8"/>
        <v>-6.6666666666665986E-3</v>
      </c>
      <c r="S77">
        <f t="shared" si="25"/>
        <v>1.2733474816072343E-2</v>
      </c>
      <c r="T77">
        <f t="shared" si="26"/>
        <v>-8.945140131185747E-4</v>
      </c>
      <c r="U77">
        <f t="shared" si="27"/>
        <v>-2.2176022176022547E-3</v>
      </c>
      <c r="V77">
        <f t="shared" si="28"/>
        <v>1.2658256913209875E-2</v>
      </c>
      <c r="W77">
        <f t="shared" si="29"/>
        <v>2.0401307958772819E-3</v>
      </c>
    </row>
    <row r="78" spans="1:23" x14ac:dyDescent="0.3">
      <c r="A78" t="s">
        <v>431</v>
      </c>
      <c r="B78" s="1">
        <v>21.460947000000001</v>
      </c>
      <c r="C78" s="1">
        <v>14.22</v>
      </c>
      <c r="D78" s="1">
        <v>17.68</v>
      </c>
      <c r="E78" s="1">
        <v>39.290000999999997</v>
      </c>
      <c r="F78" s="1">
        <v>11.914999999999999</v>
      </c>
      <c r="G78" s="1">
        <v>8.6999999999999993</v>
      </c>
      <c r="H78" s="1">
        <v>5117.2900390000004</v>
      </c>
      <c r="I78" s="1">
        <v>35.340000000000003</v>
      </c>
      <c r="J78" s="1">
        <v>16.77</v>
      </c>
      <c r="K78" s="1">
        <v>3.6074999999999999</v>
      </c>
      <c r="L78" s="1">
        <v>33.970001000000003</v>
      </c>
      <c r="M78">
        <f t="shared" si="24"/>
        <v>6.2443946314496568E-3</v>
      </c>
      <c r="N78">
        <f t="shared" si="24"/>
        <v>2.0818377602297211E-2</v>
      </c>
      <c r="O78">
        <f t="shared" si="24"/>
        <v>1.0863350485992074E-2</v>
      </c>
      <c r="P78">
        <f t="shared" si="24"/>
        <v>2.3177056084528136E-2</v>
      </c>
      <c r="Q78">
        <f t="shared" si="23"/>
        <v>7.1974808816914093E-2</v>
      </c>
      <c r="R78">
        <f t="shared" si="8"/>
        <v>1.8377619103359555E-2</v>
      </c>
      <c r="S78">
        <f t="shared" si="25"/>
        <v>6.5508115479691043E-3</v>
      </c>
      <c r="T78">
        <f t="shared" si="26"/>
        <v>8.1154192966634842E-3</v>
      </c>
      <c r="U78">
        <f t="shared" si="27"/>
        <v>6.2761506276149959E-3</v>
      </c>
      <c r="V78">
        <f t="shared" si="28"/>
        <v>3.3465227668549868E-2</v>
      </c>
      <c r="W78">
        <f t="shared" si="29"/>
        <v>1.5911787208631401E-2</v>
      </c>
    </row>
    <row r="79" spans="1:23" x14ac:dyDescent="0.3">
      <c r="A79" t="s">
        <v>430</v>
      </c>
      <c r="B79" s="1">
        <v>21.327767999999999</v>
      </c>
      <c r="C79" s="1">
        <v>13.93</v>
      </c>
      <c r="D79" s="1">
        <v>17.489999999999998</v>
      </c>
      <c r="E79" s="1">
        <v>38.400002000000001</v>
      </c>
      <c r="F79" s="1">
        <v>11.115</v>
      </c>
      <c r="G79" s="1">
        <v>8.5429999999999993</v>
      </c>
      <c r="H79" s="1">
        <v>5037.1401370000003</v>
      </c>
      <c r="I79" s="1">
        <v>35.110000999999997</v>
      </c>
      <c r="J79" s="1">
        <v>16.635000000000002</v>
      </c>
      <c r="K79" s="1">
        <v>3.585</v>
      </c>
      <c r="L79" s="1">
        <v>32.869999</v>
      </c>
      <c r="M79">
        <f t="shared" si="24"/>
        <v>3.1319523719732789E-3</v>
      </c>
      <c r="N79">
        <f t="shared" si="24"/>
        <v>2.1260997067448661E-2</v>
      </c>
      <c r="O79">
        <f t="shared" si="24"/>
        <v>8.65051903114189E-3</v>
      </c>
      <c r="P79">
        <f t="shared" si="24"/>
        <v>-3.6325634760621117E-3</v>
      </c>
      <c r="Q79">
        <f t="shared" si="23"/>
        <v>4.9728752260398412E-3</v>
      </c>
      <c r="R79">
        <f t="shared" si="8"/>
        <v>-1.157005669327793E-2</v>
      </c>
      <c r="S79">
        <f t="shared" si="25"/>
        <v>2.283813939018442E-3</v>
      </c>
      <c r="T79">
        <f t="shared" si="26"/>
        <v>3.2909034461347408E-2</v>
      </c>
      <c r="U79">
        <f t="shared" si="27"/>
        <v>-3.6131183991106042E-3</v>
      </c>
      <c r="V79">
        <f t="shared" si="28"/>
        <v>1.2630930764970127E-2</v>
      </c>
      <c r="W79">
        <f t="shared" si="29"/>
        <v>6.6488576286121148E-3</v>
      </c>
    </row>
    <row r="80" spans="1:23" x14ac:dyDescent="0.3">
      <c r="A80" t="s">
        <v>429</v>
      </c>
      <c r="B80" s="1">
        <v>21.261178999999998</v>
      </c>
      <c r="C80" s="1">
        <v>13.64</v>
      </c>
      <c r="D80" s="1">
        <v>17.34</v>
      </c>
      <c r="E80" s="1">
        <v>38.540000999999997</v>
      </c>
      <c r="F80" s="1">
        <v>11.06</v>
      </c>
      <c r="G80" s="1">
        <v>8.6430000000000007</v>
      </c>
      <c r="H80" s="1">
        <v>5003.8701170000004</v>
      </c>
      <c r="I80" s="1">
        <v>35.029998999999997</v>
      </c>
      <c r="J80" s="1">
        <v>16.105</v>
      </c>
      <c r="K80" s="1">
        <v>3.5979999999999999</v>
      </c>
      <c r="L80" s="1">
        <v>32.459999000000003</v>
      </c>
      <c r="M80">
        <f t="shared" si="24"/>
        <v>-4.4728208902278244E-4</v>
      </c>
      <c r="N80">
        <f t="shared" si="24"/>
        <v>-2.1945866861740049E-3</v>
      </c>
      <c r="O80">
        <f t="shared" si="24"/>
        <v>-1.1521312700385478E-3</v>
      </c>
      <c r="P80">
        <f t="shared" si="24"/>
        <v>5.1923676012433084E-4</v>
      </c>
      <c r="Q80">
        <f t="shared" si="23"/>
        <v>-1.8197958277851756E-2</v>
      </c>
      <c r="R80">
        <f t="shared" si="8"/>
        <v>6.9905627403006321E-3</v>
      </c>
      <c r="S80">
        <f t="shared" si="25"/>
        <v>3.7248421934186204E-3</v>
      </c>
      <c r="T80">
        <f t="shared" si="26"/>
        <v>-3.0950787313475114E-3</v>
      </c>
      <c r="U80">
        <f t="shared" si="27"/>
        <v>4.3265875785065688E-3</v>
      </c>
      <c r="V80">
        <f t="shared" si="28"/>
        <v>-2.022342226913898E-2</v>
      </c>
      <c r="W80">
        <f t="shared" si="29"/>
        <v>-1.2355025542818421E-3</v>
      </c>
    </row>
    <row r="81" spans="1:23" x14ac:dyDescent="0.3">
      <c r="A81" t="s">
        <v>428</v>
      </c>
      <c r="B81" s="1">
        <v>21.270693000000001</v>
      </c>
      <c r="C81" s="1">
        <v>13.67</v>
      </c>
      <c r="D81" s="1">
        <v>17.360001</v>
      </c>
      <c r="E81" s="1">
        <v>38.520000000000003</v>
      </c>
      <c r="F81" s="1">
        <v>11.265000000000001</v>
      </c>
      <c r="G81" s="1">
        <v>8.5830000000000002</v>
      </c>
      <c r="H81" s="1">
        <v>5010.0600590000004</v>
      </c>
      <c r="I81" s="1">
        <v>34.900002000000001</v>
      </c>
      <c r="J81" s="1">
        <v>16.155000999999999</v>
      </c>
      <c r="K81" s="1">
        <v>3.5825</v>
      </c>
      <c r="L81" s="1">
        <v>33.130001</v>
      </c>
      <c r="M81">
        <f t="shared" si="24"/>
        <v>-1.3397668056435164E-3</v>
      </c>
      <c r="N81">
        <f t="shared" si="24"/>
        <v>5.8866813833702292E-3</v>
      </c>
      <c r="O81">
        <f t="shared" si="24"/>
        <v>4.048582761793984E-3</v>
      </c>
      <c r="P81">
        <f t="shared" si="24"/>
        <v>1.5019736099611825E-2</v>
      </c>
      <c r="Q81">
        <f t="shared" si="23"/>
        <v>2.3160762942779467E-2</v>
      </c>
      <c r="R81">
        <f t="shared" si="8"/>
        <v>5.0351288056207366E-3</v>
      </c>
      <c r="S81">
        <f t="shared" si="25"/>
        <v>8.6042445828571346E-4</v>
      </c>
      <c r="T81">
        <f t="shared" si="26"/>
        <v>-2.1618281555387808E-3</v>
      </c>
      <c r="U81">
        <f t="shared" si="27"/>
        <v>0.30225372591784816</v>
      </c>
      <c r="V81">
        <f t="shared" si="28"/>
        <v>3.112355956664925E-2</v>
      </c>
      <c r="W81">
        <f t="shared" si="29"/>
        <v>4.888013151317816E-3</v>
      </c>
    </row>
    <row r="82" spans="1:23" x14ac:dyDescent="0.3">
      <c r="A82" t="s">
        <v>427</v>
      </c>
      <c r="B82" s="1">
        <v>21.299229</v>
      </c>
      <c r="C82" s="1">
        <v>13.59</v>
      </c>
      <c r="D82" s="1">
        <v>17.290001</v>
      </c>
      <c r="E82" s="1">
        <v>37.950001</v>
      </c>
      <c r="F82" s="1">
        <v>11.01</v>
      </c>
      <c r="G82" s="1">
        <v>8.5399999999999991</v>
      </c>
      <c r="H82" s="1">
        <v>4985.6899409999996</v>
      </c>
      <c r="I82" s="1">
        <v>34.869999</v>
      </c>
      <c r="J82" s="1">
        <v>16.190000999999999</v>
      </c>
      <c r="K82" s="1">
        <v>2.7509999999999999</v>
      </c>
      <c r="L82" s="1">
        <v>32.130001</v>
      </c>
      <c r="M82">
        <f t="shared" si="24"/>
        <v>3.585805239727291E-3</v>
      </c>
      <c r="N82">
        <f t="shared" si="24"/>
        <v>-7.3529411764705621E-4</v>
      </c>
      <c r="O82">
        <f t="shared" si="24"/>
        <v>4.6485766791735106E-3</v>
      </c>
      <c r="P82">
        <f t="shared" si="24"/>
        <v>-3.4138916274216724E-3</v>
      </c>
      <c r="Q82">
        <f t="shared" si="23"/>
        <v>-7.6611086074809265E-3</v>
      </c>
      <c r="R82">
        <f t="shared" si="8"/>
        <v>-6.51465798045614E-3</v>
      </c>
      <c r="S82">
        <f t="shared" si="25"/>
        <v>-9.0934927278628619E-3</v>
      </c>
      <c r="T82">
        <f t="shared" si="26"/>
        <v>-2.1752146329434896E-2</v>
      </c>
      <c r="U82">
        <f t="shared" si="27"/>
        <v>-5.0399014805049269E-3</v>
      </c>
      <c r="V82">
        <f t="shared" si="28"/>
        <v>-1.1384584615384608E-2</v>
      </c>
      <c r="W82">
        <f t="shared" si="29"/>
        <v>-7.2637886743331936E-3</v>
      </c>
    </row>
    <row r="83" spans="1:23" x14ac:dyDescent="0.3">
      <c r="A83" t="s">
        <v>426</v>
      </c>
      <c r="B83" s="1">
        <v>21.223127000000002</v>
      </c>
      <c r="C83" s="1">
        <v>13.6</v>
      </c>
      <c r="D83" s="1">
        <v>17.209999</v>
      </c>
      <c r="E83" s="1">
        <v>38.080002</v>
      </c>
      <c r="F83" s="1">
        <v>11.095000000000001</v>
      </c>
      <c r="G83" s="1">
        <v>8.5960000000000001</v>
      </c>
      <c r="H83" s="1">
        <v>5022.169922</v>
      </c>
      <c r="I83" s="1">
        <v>35.189999</v>
      </c>
      <c r="J83" s="1">
        <v>16.549999</v>
      </c>
      <c r="K83" s="1">
        <v>2.7649349999999999</v>
      </c>
      <c r="L83" s="1">
        <v>32.5</v>
      </c>
      <c r="M83">
        <f t="shared" si="24"/>
        <v>1.3464284989708197E-3</v>
      </c>
      <c r="N83">
        <f t="shared" si="24"/>
        <v>1.3412816691505292E-2</v>
      </c>
      <c r="O83">
        <f t="shared" si="24"/>
        <v>-2.896929316338448E-3</v>
      </c>
      <c r="P83">
        <f t="shared" si="24"/>
        <v>-9.3651667368669367E-3</v>
      </c>
      <c r="Q83">
        <f t="shared" si="23"/>
        <v>9.0950432014553773E-3</v>
      </c>
      <c r="R83">
        <f t="shared" si="8"/>
        <v>9.8684210526316374E-3</v>
      </c>
      <c r="S83">
        <f t="shared" si="25"/>
        <v>1.0916345564023322E-2</v>
      </c>
      <c r="T83">
        <f t="shared" si="26"/>
        <v>1.5648910708806252E-2</v>
      </c>
      <c r="U83">
        <f t="shared" si="27"/>
        <v>-5.3029169296436862E-4</v>
      </c>
      <c r="V83">
        <f t="shared" si="28"/>
        <v>6.8153967414932293E-3</v>
      </c>
      <c r="W83">
        <f t="shared" si="29"/>
        <v>4.0323714514194364E-3</v>
      </c>
    </row>
    <row r="84" spans="1:23" x14ac:dyDescent="0.3">
      <c r="A84" t="s">
        <v>425</v>
      </c>
      <c r="B84" s="1">
        <v>21.194590000000002</v>
      </c>
      <c r="C84" s="1">
        <v>13.42</v>
      </c>
      <c r="D84" s="1">
        <v>17.260000000000002</v>
      </c>
      <c r="E84" s="1">
        <v>38.439999</v>
      </c>
      <c r="F84" s="1">
        <v>10.994999999999999</v>
      </c>
      <c r="G84" s="1">
        <v>8.5120000000000005</v>
      </c>
      <c r="H84" s="1">
        <v>5002</v>
      </c>
      <c r="I84" s="1">
        <v>34.810001</v>
      </c>
      <c r="J84" s="1">
        <v>16.295000000000002</v>
      </c>
      <c r="K84" s="1">
        <v>2.7664019999999998</v>
      </c>
      <c r="L84" s="1">
        <v>32.279998999999997</v>
      </c>
      <c r="M84">
        <f t="shared" si="24"/>
        <v>2.7004126786931426E-3</v>
      </c>
      <c r="N84">
        <f t="shared" si="24"/>
        <v>-2.9717682020803382E-3</v>
      </c>
      <c r="O84">
        <f t="shared" si="24"/>
        <v>-5.7903879559917382E-4</v>
      </c>
      <c r="P84">
        <f t="shared" si="24"/>
        <v>1.4515703734909069E-2</v>
      </c>
      <c r="Q84">
        <f t="shared" si="23"/>
        <v>4.109589041095818E-3</v>
      </c>
      <c r="R84">
        <f t="shared" si="8"/>
        <v>-6.7677946324387062E-3</v>
      </c>
      <c r="S84">
        <f t="shared" si="25"/>
        <v>4.3277841892672697E-3</v>
      </c>
      <c r="T84">
        <f t="shared" si="26"/>
        <v>-2.1432945499079148E-3</v>
      </c>
      <c r="U84">
        <f t="shared" si="27"/>
        <v>4.1262648664226464E-3</v>
      </c>
      <c r="V84">
        <f t="shared" si="28"/>
        <v>2.2813688935794829E-2</v>
      </c>
      <c r="W84">
        <f t="shared" si="29"/>
        <v>1.3773208329035391E-3</v>
      </c>
    </row>
    <row r="85" spans="1:23" x14ac:dyDescent="0.3">
      <c r="A85" t="s">
        <v>424</v>
      </c>
      <c r="B85" s="1">
        <v>21.137509999999999</v>
      </c>
      <c r="C85" s="1">
        <v>13.46</v>
      </c>
      <c r="D85" s="1">
        <v>17.27</v>
      </c>
      <c r="E85" s="1">
        <v>37.889999000000003</v>
      </c>
      <c r="F85" s="1">
        <v>10.95</v>
      </c>
      <c r="G85" s="1">
        <v>8.57</v>
      </c>
      <c r="H85" s="1">
        <v>4995.1201170000004</v>
      </c>
      <c r="I85" s="1">
        <v>34.659999999999997</v>
      </c>
      <c r="J85" s="1">
        <v>16.329999999999998</v>
      </c>
      <c r="K85" s="1">
        <v>2.7550340000000002</v>
      </c>
      <c r="L85" s="1">
        <v>31.559999000000001</v>
      </c>
      <c r="M85">
        <f t="shared" si="24"/>
        <v>9.9998901005962093E-3</v>
      </c>
      <c r="N85">
        <f t="shared" si="24"/>
        <v>2.9806259314457684E-3</v>
      </c>
      <c r="O85">
        <f t="shared" si="24"/>
        <v>2.0685579196217274E-2</v>
      </c>
      <c r="P85">
        <f t="shared" si="24"/>
        <v>-1.9156147575559168E-2</v>
      </c>
      <c r="Q85">
        <f t="shared" si="23"/>
        <v>-1.6172506738544645E-2</v>
      </c>
      <c r="R85">
        <f t="shared" si="23"/>
        <v>9.1851154027318138E-3</v>
      </c>
      <c r="S85">
        <f t="shared" si="25"/>
        <v>4.0556199304748741E-3</v>
      </c>
      <c r="T85">
        <f t="shared" si="26"/>
        <v>4.305043050430335E-3</v>
      </c>
      <c r="U85">
        <f t="shared" si="27"/>
        <v>1.5819675244061138E-2</v>
      </c>
      <c r="V85">
        <f t="shared" si="28"/>
        <v>-3.7879103535353176E-3</v>
      </c>
      <c r="W85">
        <f t="shared" si="29"/>
        <v>3.5803171796280342E-3</v>
      </c>
    </row>
    <row r="86" spans="1:23" x14ac:dyDescent="0.3">
      <c r="A86" t="s">
        <v>423</v>
      </c>
      <c r="B86" s="1">
        <v>20.928229999999999</v>
      </c>
      <c r="C86" s="1">
        <v>13.42</v>
      </c>
      <c r="D86" s="1">
        <v>16.920000000000002</v>
      </c>
      <c r="E86" s="1">
        <v>38.630001</v>
      </c>
      <c r="F86" s="1">
        <v>11.13</v>
      </c>
      <c r="G86" s="1">
        <v>8.4920000000000009</v>
      </c>
      <c r="H86" s="1">
        <v>4977.2998049999997</v>
      </c>
      <c r="I86" s="1">
        <v>34.520000000000003</v>
      </c>
      <c r="J86" s="1">
        <v>16.260000000000002</v>
      </c>
      <c r="K86" s="1">
        <v>2.712129</v>
      </c>
      <c r="L86" s="1">
        <v>31.68</v>
      </c>
      <c r="M86">
        <f t="shared" si="24"/>
        <v>-3.7620317980952667E-2</v>
      </c>
      <c r="N86">
        <f t="shared" si="24"/>
        <v>1.8209408194233667E-2</v>
      </c>
      <c r="O86">
        <f t="shared" si="24"/>
        <v>1.2567385551609078E-2</v>
      </c>
      <c r="P86">
        <f t="shared" si="24"/>
        <v>3.7882969200669248E-2</v>
      </c>
      <c r="Q86">
        <f t="shared" si="23"/>
        <v>1.6902695294655157E-2</v>
      </c>
      <c r="R86">
        <f t="shared" si="23"/>
        <v>2.9526396598560378E-3</v>
      </c>
      <c r="S86">
        <f t="shared" si="25"/>
        <v>1.7411782281246957E-3</v>
      </c>
      <c r="T86">
        <f t="shared" si="26"/>
        <v>7.747133560582542E-3</v>
      </c>
      <c r="U86">
        <f t="shared" si="27"/>
        <v>-2.1589427802900518E-3</v>
      </c>
      <c r="V86">
        <f t="shared" si="28"/>
        <v>1.0204049419513694E-2</v>
      </c>
      <c r="W86">
        <f t="shared" si="29"/>
        <v>2.1221157246524847E-3</v>
      </c>
    </row>
    <row r="87" spans="1:23" x14ac:dyDescent="0.3">
      <c r="A87" t="s">
        <v>422</v>
      </c>
      <c r="B87" s="1">
        <v>21.746334000000001</v>
      </c>
      <c r="C87" s="1">
        <v>13.18</v>
      </c>
      <c r="D87" s="1">
        <v>16.709999</v>
      </c>
      <c r="E87" s="1">
        <v>37.219996999999999</v>
      </c>
      <c r="F87" s="1">
        <v>10.945</v>
      </c>
      <c r="G87" s="1">
        <v>8.4670000000000005</v>
      </c>
      <c r="H87" s="1">
        <v>4966.7597660000001</v>
      </c>
      <c r="I87" s="1">
        <v>34.459999000000003</v>
      </c>
      <c r="J87" s="1">
        <v>16.135000000000002</v>
      </c>
      <c r="K87" s="1">
        <v>2.717997</v>
      </c>
      <c r="L87" s="1">
        <v>31.360001</v>
      </c>
      <c r="M87">
        <f t="shared" si="24"/>
        <v>4.393704646000085E-3</v>
      </c>
      <c r="N87">
        <f t="shared" si="24"/>
        <v>6.8754774637127536E-3</v>
      </c>
      <c r="O87">
        <f t="shared" si="24"/>
        <v>1.7985011990406807E-3</v>
      </c>
      <c r="P87">
        <f t="shared" si="24"/>
        <v>2.6314633267308096E-3</v>
      </c>
      <c r="Q87">
        <f t="shared" si="23"/>
        <v>1.061865189289013E-2</v>
      </c>
      <c r="R87">
        <f t="shared" si="23"/>
        <v>6.6579479253359164E-3</v>
      </c>
      <c r="S87">
        <f t="shared" si="25"/>
        <v>8.4870066424940216E-3</v>
      </c>
      <c r="T87">
        <f t="shared" si="26"/>
        <v>1.4460861364350874E-2</v>
      </c>
      <c r="U87">
        <f t="shared" si="27"/>
        <v>3.5204481362485218E-3</v>
      </c>
      <c r="V87">
        <f t="shared" si="28"/>
        <v>1.1286713963237549E-2</v>
      </c>
      <c r="W87">
        <f t="shared" si="29"/>
        <v>7.2581154295210393E-3</v>
      </c>
    </row>
    <row r="88" spans="1:23" x14ac:dyDescent="0.3">
      <c r="A88" t="s">
        <v>421</v>
      </c>
      <c r="B88" s="1">
        <v>21.651205000000001</v>
      </c>
      <c r="C88" s="1">
        <v>13.09</v>
      </c>
      <c r="D88" s="1">
        <v>16.68</v>
      </c>
      <c r="E88" s="1">
        <v>37.122311000000003</v>
      </c>
      <c r="F88" s="1">
        <v>10.83</v>
      </c>
      <c r="G88" s="1">
        <v>8.4109999999999996</v>
      </c>
      <c r="H88" s="1">
        <v>4930.9702150000003</v>
      </c>
      <c r="I88" s="1">
        <v>34.169998</v>
      </c>
      <c r="J88" s="1">
        <v>15.904999999999999</v>
      </c>
      <c r="K88" s="1">
        <v>2.7084619999999999</v>
      </c>
      <c r="L88" s="1">
        <v>31.01</v>
      </c>
      <c r="M88">
        <f t="shared" si="24"/>
        <v>-5.6793445215199689E-3</v>
      </c>
      <c r="N88">
        <f t="shared" si="24"/>
        <v>-1.5789473684210575E-2</v>
      </c>
      <c r="O88">
        <f t="shared" si="24"/>
        <v>0</v>
      </c>
      <c r="P88">
        <f t="shared" si="24"/>
        <v>2.1098065268325694E-3</v>
      </c>
      <c r="Q88">
        <f t="shared" si="23"/>
        <v>3.0937648738695867E-2</v>
      </c>
      <c r="R88">
        <f t="shared" si="23"/>
        <v>-8.6044318717586332E-3</v>
      </c>
      <c r="S88">
        <f t="shared" si="25"/>
        <v>3.5241998098149985E-3</v>
      </c>
      <c r="T88">
        <f t="shared" si="26"/>
        <v>-5.3273753171056759E-2</v>
      </c>
      <c r="U88">
        <f t="shared" si="27"/>
        <v>3.260038945630539E-3</v>
      </c>
      <c r="V88">
        <f t="shared" si="28"/>
        <v>2.910737386804696E-3</v>
      </c>
      <c r="W88">
        <f t="shared" si="29"/>
        <v>-1.4539182223241021E-2</v>
      </c>
    </row>
    <row r="89" spans="1:23" x14ac:dyDescent="0.3">
      <c r="A89" t="s">
        <v>420</v>
      </c>
      <c r="B89" s="1">
        <v>21.774871999999998</v>
      </c>
      <c r="C89" s="1">
        <v>13.3</v>
      </c>
      <c r="D89" s="1">
        <v>16.68</v>
      </c>
      <c r="E89" s="1">
        <v>37.044155000000003</v>
      </c>
      <c r="F89" s="1">
        <v>10.505000000000001</v>
      </c>
      <c r="G89" s="1">
        <v>8.484</v>
      </c>
      <c r="H89" s="1">
        <v>5003.7202150000003</v>
      </c>
      <c r="I89" s="1">
        <v>34.049999</v>
      </c>
      <c r="J89" s="1">
        <v>16.799999</v>
      </c>
      <c r="K89" s="1">
        <v>2.6996609999999999</v>
      </c>
      <c r="L89" s="1">
        <v>30.92</v>
      </c>
      <c r="M89">
        <f t="shared" si="24"/>
        <v>-1.7174785399812098E-2</v>
      </c>
      <c r="N89">
        <f t="shared" si="24"/>
        <v>-3.7453183520598232E-3</v>
      </c>
      <c r="O89">
        <f t="shared" si="24"/>
        <v>0</v>
      </c>
      <c r="P89">
        <f t="shared" si="24"/>
        <v>5.1565070935866153E-4</v>
      </c>
      <c r="Q89">
        <f t="shared" si="23"/>
        <v>2.1887159533074074E-2</v>
      </c>
      <c r="R89">
        <f t="shared" si="23"/>
        <v>1.9466474405191114E-2</v>
      </c>
      <c r="S89">
        <f t="shared" si="25"/>
        <v>-5.5491527132502938E-3</v>
      </c>
      <c r="T89">
        <f t="shared" si="26"/>
        <v>1.0222490091550629E-2</v>
      </c>
      <c r="U89">
        <f t="shared" si="27"/>
        <v>-2.439157775559142E-3</v>
      </c>
      <c r="V89">
        <f t="shared" si="28"/>
        <v>2.826737612238106E-2</v>
      </c>
      <c r="W89">
        <f t="shared" si="29"/>
        <v>2.7475795926128477E-3</v>
      </c>
    </row>
    <row r="90" spans="1:23" x14ac:dyDescent="0.3">
      <c r="A90" t="s">
        <v>419</v>
      </c>
      <c r="B90" s="1">
        <v>22.155386</v>
      </c>
      <c r="C90" s="1">
        <v>13.35</v>
      </c>
      <c r="D90" s="1">
        <v>16.68</v>
      </c>
      <c r="E90" s="1">
        <v>37.025063000000003</v>
      </c>
      <c r="F90" s="1">
        <v>10.28</v>
      </c>
      <c r="G90" s="1">
        <v>8.3219999999999992</v>
      </c>
      <c r="H90" s="1">
        <v>4990.0097660000001</v>
      </c>
      <c r="I90" s="1">
        <v>34.240001999999997</v>
      </c>
      <c r="J90" s="1">
        <v>16.629999000000002</v>
      </c>
      <c r="K90" s="1">
        <v>2.7062620000000002</v>
      </c>
      <c r="L90" s="1">
        <v>30.07</v>
      </c>
      <c r="M90">
        <f t="shared" si="24"/>
        <v>-1.7144708913030549E-3</v>
      </c>
      <c r="N90">
        <f t="shared" si="24"/>
        <v>2.2522522522521182E-3</v>
      </c>
      <c r="O90">
        <f t="shared" si="24"/>
        <v>0</v>
      </c>
      <c r="P90">
        <f t="shared" si="24"/>
        <v>1.2532658053822976E-2</v>
      </c>
      <c r="Q90">
        <f t="shared" si="23"/>
        <v>1.1363077377145814E-2</v>
      </c>
      <c r="R90">
        <f t="shared" si="23"/>
        <v>-5.734767025089571E-3</v>
      </c>
      <c r="S90">
        <f t="shared" si="25"/>
        <v>9.4340807449340147E-3</v>
      </c>
      <c r="T90">
        <f t="shared" si="26"/>
        <v>-4.7875526503621257E-3</v>
      </c>
      <c r="U90">
        <f t="shared" si="27"/>
        <v>-1.5212152837668413E-2</v>
      </c>
      <c r="V90">
        <f t="shared" si="28"/>
        <v>0</v>
      </c>
      <c r="W90">
        <f t="shared" si="29"/>
        <v>1.2882123531352541E-3</v>
      </c>
    </row>
    <row r="91" spans="1:23" x14ac:dyDescent="0.3">
      <c r="A91" t="s">
        <v>418</v>
      </c>
      <c r="B91" s="1">
        <v>22.193435999999998</v>
      </c>
      <c r="C91" s="1">
        <v>13.32</v>
      </c>
      <c r="D91" s="1">
        <v>16.68</v>
      </c>
      <c r="E91" s="1">
        <v>36.566783999999998</v>
      </c>
      <c r="F91" s="1">
        <v>10.1645</v>
      </c>
      <c r="G91" s="1">
        <v>8.3699999999999992</v>
      </c>
      <c r="H91" s="1">
        <v>4983.5898440000001</v>
      </c>
      <c r="I91" s="1">
        <v>33.919998</v>
      </c>
      <c r="J91" s="1">
        <v>16.709999</v>
      </c>
      <c r="K91" s="1">
        <v>2.7480660000000001</v>
      </c>
      <c r="L91" s="1">
        <v>30.07</v>
      </c>
      <c r="M91">
        <f t="shared" si="24"/>
        <v>5.1702317661519448E-3</v>
      </c>
      <c r="N91">
        <f t="shared" si="24"/>
        <v>-2.2471910112359383E-3</v>
      </c>
      <c r="O91">
        <f t="shared" si="24"/>
        <v>4.8192771084336616E-3</v>
      </c>
      <c r="P91">
        <f t="shared" si="24"/>
        <v>4.0195440812410332E-2</v>
      </c>
      <c r="Q91">
        <f t="shared" si="23"/>
        <v>9.7229229702950892E-3</v>
      </c>
      <c r="R91">
        <f t="shared" si="23"/>
        <v>6.0096153846151967E-3</v>
      </c>
      <c r="S91">
        <f t="shared" si="25"/>
        <v>1.344478597416221E-2</v>
      </c>
      <c r="T91">
        <f t="shared" si="26"/>
        <v>2.2956842544036959E-2</v>
      </c>
      <c r="U91">
        <f t="shared" si="27"/>
        <v>1.1336039242428875E-2</v>
      </c>
      <c r="V91">
        <f t="shared" si="28"/>
        <v>1.3481631277384443E-2</v>
      </c>
      <c r="W91">
        <f t="shared" si="29"/>
        <v>8.4625192655161108E-3</v>
      </c>
    </row>
    <row r="92" spans="1:23" x14ac:dyDescent="0.3">
      <c r="A92" t="s">
        <v>417</v>
      </c>
      <c r="B92" s="1">
        <v>22.079281000000002</v>
      </c>
      <c r="C92" s="1">
        <v>13.35</v>
      </c>
      <c r="D92" s="1">
        <v>16.600000000000001</v>
      </c>
      <c r="E92" s="1">
        <v>35.153762999999998</v>
      </c>
      <c r="F92" s="1">
        <v>10.066623</v>
      </c>
      <c r="G92" s="1">
        <v>8.32</v>
      </c>
      <c r="H92" s="1">
        <v>4941.7700199999999</v>
      </c>
      <c r="I92" s="1">
        <v>33.470001000000003</v>
      </c>
      <c r="J92" s="1">
        <v>16.334999</v>
      </c>
      <c r="K92" s="1">
        <v>2.717263</v>
      </c>
      <c r="L92" s="1">
        <v>29.67</v>
      </c>
      <c r="M92">
        <f t="shared" si="24"/>
        <v>1.4866578849657364E-2</v>
      </c>
      <c r="N92">
        <f t="shared" si="24"/>
        <v>8.3081570996978993E-3</v>
      </c>
      <c r="O92">
        <f t="shared" si="24"/>
        <v>2.4155194695361093E-3</v>
      </c>
      <c r="P92">
        <f t="shared" si="24"/>
        <v>1.8815700057522866E-2</v>
      </c>
      <c r="Q92">
        <f t="shared" si="23"/>
        <v>-5.7999970371394038E-3</v>
      </c>
      <c r="R92">
        <f t="shared" si="23"/>
        <v>-1.1289364230540611E-2</v>
      </c>
      <c r="S92">
        <f t="shared" si="25"/>
        <v>1.4319548998387166E-3</v>
      </c>
      <c r="T92">
        <f t="shared" si="26"/>
        <v>1.3966355433497446E-2</v>
      </c>
      <c r="U92">
        <f t="shared" si="27"/>
        <v>-6.1697825854786226E-3</v>
      </c>
      <c r="V92">
        <f t="shared" si="28"/>
        <v>7.4702544152716044E-3</v>
      </c>
      <c r="W92">
        <f t="shared" si="29"/>
        <v>3.4723338357376399E-3</v>
      </c>
    </row>
    <row r="93" spans="1:23" x14ac:dyDescent="0.3">
      <c r="A93" t="s">
        <v>416</v>
      </c>
      <c r="B93" s="1">
        <v>21.755845999999998</v>
      </c>
      <c r="C93" s="1">
        <v>13.24</v>
      </c>
      <c r="D93" s="1">
        <v>16.559999000000001</v>
      </c>
      <c r="E93" s="1">
        <v>34.504536000000002</v>
      </c>
      <c r="F93" s="1">
        <v>10.125349999999999</v>
      </c>
      <c r="G93" s="1">
        <v>8.4149999999999991</v>
      </c>
      <c r="H93" s="1">
        <v>4924.669922</v>
      </c>
      <c r="I93" s="1">
        <v>33.422142000000001</v>
      </c>
      <c r="J93" s="1">
        <v>16.110001</v>
      </c>
      <c r="K93" s="1">
        <v>2.7341319999999998</v>
      </c>
      <c r="L93" s="1">
        <v>29.450001</v>
      </c>
      <c r="M93">
        <f t="shared" si="24"/>
        <v>1.060548685181617E-2</v>
      </c>
      <c r="N93">
        <f t="shared" si="24"/>
        <v>6.6964321355444945E-3</v>
      </c>
      <c r="O93">
        <f t="shared" si="24"/>
        <v>9.7560365853659459E-3</v>
      </c>
      <c r="P93">
        <f t="shared" si="24"/>
        <v>2.1481114542211355E-2</v>
      </c>
      <c r="Q93">
        <f t="shared" si="23"/>
        <v>1.452129572447447E-3</v>
      </c>
      <c r="R93">
        <f t="shared" si="23"/>
        <v>2.0247332686711861E-2</v>
      </c>
      <c r="S93">
        <f t="shared" si="25"/>
        <v>-5.9779072375694131E-3</v>
      </c>
      <c r="T93">
        <f t="shared" si="26"/>
        <v>-2.1677918860327772E-3</v>
      </c>
      <c r="U93">
        <f t="shared" si="27"/>
        <v>1.2493357453261522E-2</v>
      </c>
      <c r="V93">
        <f t="shared" si="28"/>
        <v>-2.0331075590042103E-3</v>
      </c>
      <c r="W93">
        <f t="shared" si="29"/>
        <v>5.5189406007596364E-3</v>
      </c>
    </row>
    <row r="94" spans="1:23" x14ac:dyDescent="0.3">
      <c r="A94" t="s">
        <v>415</v>
      </c>
      <c r="B94" s="1">
        <v>21.527536000000001</v>
      </c>
      <c r="C94" s="1">
        <v>13.151929000000001</v>
      </c>
      <c r="D94" s="1">
        <v>16.399999999999999</v>
      </c>
      <c r="E94" s="1">
        <v>33.778927000000003</v>
      </c>
      <c r="F94" s="1">
        <v>10.110668</v>
      </c>
      <c r="G94" s="1">
        <v>8.2479999999999993</v>
      </c>
      <c r="H94" s="1">
        <v>4897.6401370000003</v>
      </c>
      <c r="I94" s="1">
        <v>33.623137999999997</v>
      </c>
      <c r="J94" s="1">
        <v>16.145</v>
      </c>
      <c r="K94" s="1">
        <v>2.7003949999999999</v>
      </c>
      <c r="L94" s="1">
        <v>29.509998</v>
      </c>
      <c r="M94">
        <f t="shared" si="24"/>
        <v>0</v>
      </c>
      <c r="N94">
        <f t="shared" si="24"/>
        <v>-6.6518882175226057E-3</v>
      </c>
      <c r="O94">
        <f t="shared" si="24"/>
        <v>1.990049751243772E-2</v>
      </c>
      <c r="P94">
        <f t="shared" si="24"/>
        <v>-4.1711716110248265E-2</v>
      </c>
      <c r="Q94">
        <f t="shared" si="23"/>
        <v>-1.4500239497892142E-3</v>
      </c>
      <c r="R94">
        <f t="shared" si="23"/>
        <v>-1.4527845036320652E-3</v>
      </c>
      <c r="S94">
        <f t="shared" si="25"/>
        <v>1.1399186073579592E-3</v>
      </c>
      <c r="T94">
        <f t="shared" si="26"/>
        <v>-6.1558014062293998E-3</v>
      </c>
      <c r="U94">
        <f t="shared" si="27"/>
        <v>2.1926192905387998E-2</v>
      </c>
      <c r="V94">
        <f t="shared" si="28"/>
        <v>-1.3623099310746123E-2</v>
      </c>
      <c r="W94">
        <f t="shared" si="29"/>
        <v>-2.7203956424353137E-3</v>
      </c>
    </row>
    <row r="95" spans="1:23" x14ac:dyDescent="0.3">
      <c r="A95" t="s">
        <v>414</v>
      </c>
      <c r="B95" s="1">
        <v>21.527536000000001</v>
      </c>
      <c r="C95" s="1">
        <v>13.24</v>
      </c>
      <c r="D95" s="1">
        <v>16.079999999999998</v>
      </c>
      <c r="E95" s="1">
        <v>35.249232999999997</v>
      </c>
      <c r="F95" s="1">
        <v>10.125349999999999</v>
      </c>
      <c r="G95" s="1">
        <v>8.26</v>
      </c>
      <c r="H95" s="1">
        <v>4911</v>
      </c>
      <c r="I95" s="1">
        <v>33.584854</v>
      </c>
      <c r="J95" s="1">
        <v>16.245000999999998</v>
      </c>
      <c r="K95" s="1">
        <v>2.6424560000000001</v>
      </c>
      <c r="L95" s="1">
        <v>29.917567999999999</v>
      </c>
      <c r="M95">
        <f t="shared" si="24"/>
        <v>2.6583034244118675E-3</v>
      </c>
      <c r="N95">
        <f t="shared" si="24"/>
        <v>7.3959493477615545E-4</v>
      </c>
      <c r="O95">
        <f t="shared" si="24"/>
        <v>3.7453183520599342E-3</v>
      </c>
      <c r="P95">
        <f t="shared" si="24"/>
        <v>2.7157832292377115E-3</v>
      </c>
      <c r="Q95">
        <f t="shared" si="23"/>
        <v>2.628974568760345E-2</v>
      </c>
      <c r="R95">
        <f t="shared" si="23"/>
        <v>3.0358227079538835E-3</v>
      </c>
      <c r="S95">
        <f t="shared" si="25"/>
        <v>1.0074867670143428E-2</v>
      </c>
      <c r="T95">
        <f t="shared" si="26"/>
        <v>-4.5956489466116857E-3</v>
      </c>
      <c r="U95">
        <f t="shared" si="27"/>
        <v>3.0621901321330469E-3</v>
      </c>
      <c r="V95">
        <f t="shared" si="28"/>
        <v>3.2439626418012679E-4</v>
      </c>
      <c r="W95">
        <f t="shared" si="29"/>
        <v>1.7971680220540964E-3</v>
      </c>
    </row>
    <row r="96" spans="1:23" x14ac:dyDescent="0.3">
      <c r="A96" t="s">
        <v>413</v>
      </c>
      <c r="B96" s="1">
        <v>21.470461</v>
      </c>
      <c r="C96" s="1">
        <v>13.230214999999999</v>
      </c>
      <c r="D96" s="1">
        <v>16.02</v>
      </c>
      <c r="E96" s="1">
        <v>35.153762999999998</v>
      </c>
      <c r="F96" s="1">
        <v>9.8659759999999999</v>
      </c>
      <c r="G96" s="1">
        <v>8.2349999999999994</v>
      </c>
      <c r="H96" s="1">
        <v>4902.1899409999996</v>
      </c>
      <c r="I96" s="1">
        <v>33.249865999999997</v>
      </c>
      <c r="J96" s="1">
        <v>16.320001999999999</v>
      </c>
      <c r="K96" s="1">
        <v>2.6343890000000001</v>
      </c>
      <c r="L96" s="1">
        <v>29.907865999999999</v>
      </c>
      <c r="M96">
        <f t="shared" si="24"/>
        <v>1.0295475672141396E-2</v>
      </c>
      <c r="N96">
        <f t="shared" si="24"/>
        <v>1.0463434687355111E-2</v>
      </c>
      <c r="O96">
        <f t="shared" si="24"/>
        <v>1.1363636363636243E-2</v>
      </c>
      <c r="P96">
        <f t="shared" si="24"/>
        <v>-1.0214952387143983E-2</v>
      </c>
      <c r="Q96">
        <f t="shared" si="23"/>
        <v>-2.7496312441571691E-2</v>
      </c>
      <c r="R96">
        <f t="shared" si="23"/>
        <v>-3.8708116608201504E-3</v>
      </c>
      <c r="S96">
        <f t="shared" si="25"/>
        <v>2.5973859934378396E-3</v>
      </c>
      <c r="T96">
        <f t="shared" si="26"/>
        <v>-5.3858471664622876E-3</v>
      </c>
      <c r="U96">
        <f t="shared" si="27"/>
        <v>-2.222133005284288E-3</v>
      </c>
      <c r="V96">
        <f t="shared" si="28"/>
        <v>9.7433781877231951E-4</v>
      </c>
      <c r="W96">
        <f t="shared" si="29"/>
        <v>-2.0917138413567571E-6</v>
      </c>
    </row>
    <row r="97" spans="1:23" x14ac:dyDescent="0.3">
      <c r="A97" t="s">
        <v>412</v>
      </c>
      <c r="B97" s="1">
        <v>21.251664999999999</v>
      </c>
      <c r="C97" s="1">
        <v>13.093215000000001</v>
      </c>
      <c r="D97" s="1">
        <v>15.84</v>
      </c>
      <c r="E97" s="1">
        <v>35.516562999999998</v>
      </c>
      <c r="F97" s="1">
        <v>10.144924</v>
      </c>
      <c r="G97" s="1">
        <v>8.2669999999999995</v>
      </c>
      <c r="H97" s="1">
        <v>4902.2001950000003</v>
      </c>
      <c r="I97" s="1">
        <v>33.163727000000002</v>
      </c>
      <c r="J97" s="1">
        <v>16.408374999999999</v>
      </c>
      <c r="K97" s="1">
        <v>2.6402559999999999</v>
      </c>
      <c r="L97" s="1">
        <v>29.878754000000001</v>
      </c>
      <c r="M97">
        <f t="shared" si="24"/>
        <v>-4.8998637779525955E-3</v>
      </c>
      <c r="N97">
        <f t="shared" si="24"/>
        <v>1.0573997840110261E-2</v>
      </c>
      <c r="O97">
        <f t="shared" si="24"/>
        <v>-8.1402629931121018E-3</v>
      </c>
      <c r="P97">
        <f t="shared" si="24"/>
        <v>-1.0638255791474149E-2</v>
      </c>
      <c r="Q97">
        <f t="shared" si="23"/>
        <v>6.799345520939859E-3</v>
      </c>
      <c r="R97">
        <f t="shared" si="23"/>
        <v>1.1006481594716844E-2</v>
      </c>
      <c r="S97">
        <f t="shared" si="25"/>
        <v>4.9303932099793446E-3</v>
      </c>
      <c r="T97">
        <f t="shared" si="26"/>
        <v>4.600933418322839E-2</v>
      </c>
      <c r="U97">
        <f t="shared" si="27"/>
        <v>-2.0674741607458413E-2</v>
      </c>
      <c r="V97">
        <f t="shared" si="28"/>
        <v>2.055025801392496E-2</v>
      </c>
      <c r="W97">
        <f t="shared" si="29"/>
        <v>-1.7187050495530709E-3</v>
      </c>
    </row>
    <row r="98" spans="1:23" x14ac:dyDescent="0.3">
      <c r="A98" t="s">
        <v>411</v>
      </c>
      <c r="B98" s="1">
        <v>21.356307999999999</v>
      </c>
      <c r="C98" s="1">
        <v>12.956216</v>
      </c>
      <c r="D98" s="1">
        <v>15.97</v>
      </c>
      <c r="E98" s="1">
        <v>35.89846</v>
      </c>
      <c r="F98" s="1">
        <v>10.076411</v>
      </c>
      <c r="G98" s="1">
        <v>8.1769999999999996</v>
      </c>
      <c r="H98" s="1">
        <v>4910.6401370000003</v>
      </c>
      <c r="I98" s="1">
        <v>33.001018999999999</v>
      </c>
      <c r="J98" s="1">
        <v>15.686643</v>
      </c>
      <c r="K98" s="1">
        <v>2.6959949999999999</v>
      </c>
      <c r="L98" s="1">
        <v>29.277101999999999</v>
      </c>
      <c r="M98">
        <f t="shared" si="24"/>
        <v>-3.9928788103567037E-3</v>
      </c>
      <c r="N98">
        <f t="shared" si="24"/>
        <v>-4.5112805063108885E-3</v>
      </c>
      <c r="O98">
        <f t="shared" si="24"/>
        <v>-1.920774463535202E-2</v>
      </c>
      <c r="P98">
        <f t="shared" si="24"/>
        <v>2.6665370685521328E-3</v>
      </c>
      <c r="Q98">
        <f t="shared" si="23"/>
        <v>-2.3244779162578055E-2</v>
      </c>
      <c r="R98">
        <f t="shared" si="23"/>
        <v>-2.6832540553726192E-3</v>
      </c>
      <c r="S98">
        <f t="shared" si="25"/>
        <v>-2.3148000487460685E-3</v>
      </c>
      <c r="T98">
        <f t="shared" si="26"/>
        <v>-6.8385788205833631E-3</v>
      </c>
      <c r="U98">
        <f t="shared" si="27"/>
        <v>1.2951221574097449E-2</v>
      </c>
      <c r="V98">
        <f t="shared" si="28"/>
        <v>-7.8921049062762316E-3</v>
      </c>
      <c r="W98">
        <f t="shared" si="29"/>
        <v>-9.1244965051585636E-3</v>
      </c>
    </row>
    <row r="99" spans="1:23" x14ac:dyDescent="0.3">
      <c r="A99" t="s">
        <v>410</v>
      </c>
      <c r="B99" s="1">
        <v>21.441922999999999</v>
      </c>
      <c r="C99" s="1">
        <v>13.01493</v>
      </c>
      <c r="D99" s="1">
        <v>16.282755000000002</v>
      </c>
      <c r="E99" s="1">
        <v>35.802990000000001</v>
      </c>
      <c r="F99" s="1">
        <v>10.316209000000001</v>
      </c>
      <c r="G99" s="1">
        <v>8.1989999999999998</v>
      </c>
      <c r="H99" s="1">
        <v>4955.8598629999997</v>
      </c>
      <c r="I99" s="1">
        <v>33.077587000000001</v>
      </c>
      <c r="J99" s="1">
        <v>15.794656</v>
      </c>
      <c r="K99" s="1">
        <v>2.6615250000000001</v>
      </c>
      <c r="L99" s="1">
        <v>29.509998</v>
      </c>
      <c r="M99">
        <f t="shared" si="24"/>
        <v>-4.434202187406644E-4</v>
      </c>
      <c r="N99">
        <f t="shared" si="24"/>
        <v>-1.6999244712990969E-2</v>
      </c>
      <c r="O99">
        <f t="shared" si="24"/>
        <v>9.6970323836531591E-3</v>
      </c>
      <c r="P99">
        <f t="shared" si="24"/>
        <v>-1.0655062435305229E-3</v>
      </c>
      <c r="Q99">
        <f t="shared" si="23"/>
        <v>-2.2263433251070275E-2</v>
      </c>
      <c r="R99">
        <f t="shared" si="23"/>
        <v>3.9182074201054018E-3</v>
      </c>
      <c r="S99">
        <f t="shared" si="25"/>
        <v>1.4488461486759086E-3</v>
      </c>
      <c r="T99">
        <f t="shared" si="26"/>
        <v>-7.7112472961191614E-3</v>
      </c>
      <c r="U99">
        <f t="shared" si="27"/>
        <v>1.0582251661664044E-2</v>
      </c>
      <c r="V99">
        <f t="shared" si="28"/>
        <v>6.9535762294787862E-3</v>
      </c>
      <c r="W99">
        <f t="shared" si="29"/>
        <v>2.1187573035064133E-4</v>
      </c>
    </row>
    <row r="100" spans="1:23" x14ac:dyDescent="0.3">
      <c r="A100" t="s">
        <v>409</v>
      </c>
      <c r="B100" s="1">
        <v>21.451435</v>
      </c>
      <c r="C100" s="1">
        <v>13.24</v>
      </c>
      <c r="D100" s="1">
        <v>16.126377000000002</v>
      </c>
      <c r="E100" s="1">
        <v>35.841178999999997</v>
      </c>
      <c r="F100" s="1">
        <v>10.551113000000001</v>
      </c>
      <c r="G100" s="1">
        <v>8.1669999999999998</v>
      </c>
      <c r="H100" s="1">
        <v>4954.8100590000004</v>
      </c>
      <c r="I100" s="1">
        <v>33.029732000000003</v>
      </c>
      <c r="J100" s="1">
        <v>15.917399</v>
      </c>
      <c r="K100" s="1">
        <v>2.6336550000000001</v>
      </c>
      <c r="L100" s="1">
        <v>29.306215000000002</v>
      </c>
      <c r="M100">
        <f t="shared" si="24"/>
        <v>2.639962476000246E-2</v>
      </c>
      <c r="N100">
        <f t="shared" si="24"/>
        <v>-7.3367858119935958E-3</v>
      </c>
      <c r="O100">
        <f t="shared" si="24"/>
        <v>1.6009813344220358E-2</v>
      </c>
      <c r="P100">
        <f t="shared" si="24"/>
        <v>5.3299520301530734E-4</v>
      </c>
      <c r="Q100">
        <f t="shared" si="23"/>
        <v>-4.6352758799106386E-4</v>
      </c>
      <c r="R100">
        <f t="shared" si="23"/>
        <v>-8.9794927800024293E-3</v>
      </c>
      <c r="S100">
        <f t="shared" si="25"/>
        <v>1.8895812137655454E-2</v>
      </c>
      <c r="T100">
        <f t="shared" si="26"/>
        <v>-2.5548692877078505E-2</v>
      </c>
      <c r="U100">
        <f t="shared" si="27"/>
        <v>8.3603937745468926E-4</v>
      </c>
      <c r="V100">
        <f t="shared" si="28"/>
        <v>3.9893776469466236E-3</v>
      </c>
      <c r="W100">
        <f t="shared" si="29"/>
        <v>1.5990129488576699E-3</v>
      </c>
    </row>
    <row r="101" spans="1:23" x14ac:dyDescent="0.3">
      <c r="A101" t="s">
        <v>408</v>
      </c>
      <c r="B101" s="1">
        <v>20.899691000000001</v>
      </c>
      <c r="C101" s="1">
        <v>13.337857</v>
      </c>
      <c r="D101" s="1">
        <v>15.872265000000001</v>
      </c>
      <c r="E101" s="1">
        <v>35.822085999999999</v>
      </c>
      <c r="F101" s="1">
        <v>10.556006</v>
      </c>
      <c r="G101" s="1">
        <v>8.2409999999999997</v>
      </c>
      <c r="H101" s="1">
        <v>4946.8999020000001</v>
      </c>
      <c r="I101" s="1">
        <v>32.417183000000001</v>
      </c>
      <c r="J101" s="1">
        <v>16.33473</v>
      </c>
      <c r="K101" s="1">
        <v>2.6314549999999999</v>
      </c>
      <c r="L101" s="1">
        <v>29.189765999999999</v>
      </c>
      <c r="M101">
        <f t="shared" si="24"/>
        <v>-5.4323233087518741E-3</v>
      </c>
      <c r="N101">
        <f t="shared" si="24"/>
        <v>-1.730354130379097E-2</v>
      </c>
      <c r="O101">
        <f t="shared" si="24"/>
        <v>-9.7560360856544515E-3</v>
      </c>
      <c r="P101">
        <f t="shared" si="24"/>
        <v>-1.0649388494651246E-3</v>
      </c>
      <c r="Q101">
        <f t="shared" si="23"/>
        <v>-5.990888380542847E-3</v>
      </c>
      <c r="R101">
        <f t="shared" si="23"/>
        <v>6.5958226456577229E-3</v>
      </c>
      <c r="S101">
        <f t="shared" si="25"/>
        <v>-8.8507330664278072E-4</v>
      </c>
      <c r="T101">
        <f t="shared" si="26"/>
        <v>-7.1619240820973706E-3</v>
      </c>
      <c r="U101">
        <f t="shared" si="27"/>
        <v>2.7863073331202415E-4</v>
      </c>
      <c r="V101">
        <f t="shared" si="28"/>
        <v>3.3259012035657953E-4</v>
      </c>
      <c r="W101">
        <f t="shared" si="29"/>
        <v>-2.9165764010264938E-3</v>
      </c>
    </row>
    <row r="102" spans="1:23" x14ac:dyDescent="0.3">
      <c r="A102" t="s">
        <v>407</v>
      </c>
      <c r="B102" s="1">
        <v>21.013845</v>
      </c>
      <c r="C102" s="1">
        <v>13.572713</v>
      </c>
      <c r="D102" s="1">
        <v>16.028641</v>
      </c>
      <c r="E102" s="1">
        <v>35.860275000000001</v>
      </c>
      <c r="F102" s="1">
        <v>10.619626999999999</v>
      </c>
      <c r="G102" s="1">
        <v>8.1869999999999994</v>
      </c>
      <c r="H102" s="1">
        <v>4961.3701170000004</v>
      </c>
      <c r="I102" s="1">
        <v>32.445900000000002</v>
      </c>
      <c r="J102" s="1">
        <v>16.452562</v>
      </c>
      <c r="K102" s="1">
        <v>2.630722</v>
      </c>
      <c r="L102" s="1">
        <v>29.180060999999998</v>
      </c>
      <c r="M102">
        <f t="shared" si="24"/>
        <v>1.7972328911058488E-2</v>
      </c>
      <c r="N102">
        <f t="shared" si="24"/>
        <v>3.1226781616225718E-2</v>
      </c>
      <c r="O102">
        <f t="shared" si="24"/>
        <v>4.901929744565825E-3</v>
      </c>
      <c r="P102">
        <f t="shared" si="24"/>
        <v>2.0097763075890507E-2</v>
      </c>
      <c r="Q102">
        <f t="shared" si="23"/>
        <v>3.0878917271196737E-2</v>
      </c>
      <c r="R102">
        <f t="shared" si="23"/>
        <v>-3.0443253774964374E-3</v>
      </c>
      <c r="S102">
        <f t="shared" si="25"/>
        <v>-6.4477288720210524E-3</v>
      </c>
      <c r="T102">
        <f t="shared" si="26"/>
        <v>8.729578169610841E-3</v>
      </c>
      <c r="U102">
        <f t="shared" si="27"/>
        <v>2.7908872588011668E-4</v>
      </c>
      <c r="V102">
        <f t="shared" si="28"/>
        <v>5.1398582387625957E-2</v>
      </c>
      <c r="W102">
        <f t="shared" si="29"/>
        <v>1.0542640951998639E-2</v>
      </c>
    </row>
    <row r="103" spans="1:23" x14ac:dyDescent="0.3">
      <c r="A103" t="s">
        <v>406</v>
      </c>
      <c r="B103" s="1">
        <v>20.642845000000001</v>
      </c>
      <c r="C103" s="1">
        <v>13.161714999999999</v>
      </c>
      <c r="D103" s="1">
        <v>15.950453</v>
      </c>
      <c r="E103" s="1">
        <v>35.153762999999998</v>
      </c>
      <c r="F103" s="1">
        <v>10.301527</v>
      </c>
      <c r="G103" s="1">
        <v>8.2119999999999997</v>
      </c>
      <c r="H103" s="1">
        <v>4909.6098629999997</v>
      </c>
      <c r="I103" s="1">
        <v>32.656460000000003</v>
      </c>
      <c r="J103" s="1">
        <v>16.310181</v>
      </c>
      <c r="K103" s="1">
        <v>2.629988</v>
      </c>
      <c r="L103" s="1">
        <v>27.753567</v>
      </c>
      <c r="M103">
        <f t="shared" si="24"/>
        <v>1.4018693884207734E-2</v>
      </c>
      <c r="N103">
        <f t="shared" si="24"/>
        <v>1.4891786302142496E-3</v>
      </c>
      <c r="O103">
        <f t="shared" si="24"/>
        <v>2.2556376034908343E-2</v>
      </c>
      <c r="P103">
        <f t="shared" si="24"/>
        <v>-1.6559697626296388E-2</v>
      </c>
      <c r="Q103">
        <f t="shared" si="23"/>
        <v>-1.6814653894659748E-2</v>
      </c>
      <c r="R103">
        <f t="shared" si="23"/>
        <v>2.1967293141320621E-3</v>
      </c>
      <c r="S103">
        <f t="shared" si="25"/>
        <v>5.5997902853888171E-3</v>
      </c>
      <c r="T103">
        <f t="shared" si="26"/>
        <v>-2.1502176068620593E-2</v>
      </c>
      <c r="U103">
        <f t="shared" si="27"/>
        <v>1.557623015610976E-2</v>
      </c>
      <c r="V103">
        <f t="shared" si="28"/>
        <v>4.5661890553279072E-3</v>
      </c>
      <c r="W103">
        <f t="shared" si="29"/>
        <v>1.7547602250584937E-3</v>
      </c>
    </row>
    <row r="104" spans="1:23" x14ac:dyDescent="0.3">
      <c r="A104" t="s">
        <v>405</v>
      </c>
      <c r="B104" s="1">
        <v>20.35746</v>
      </c>
      <c r="C104" s="1">
        <v>13.142144</v>
      </c>
      <c r="D104" s="1">
        <v>15.598604999999999</v>
      </c>
      <c r="E104" s="1">
        <v>35.745700999999997</v>
      </c>
      <c r="F104" s="1">
        <v>10.477706</v>
      </c>
      <c r="G104" s="1">
        <v>8.1940000000000008</v>
      </c>
      <c r="H104" s="1">
        <v>4901.0097660000001</v>
      </c>
      <c r="I104" s="1">
        <v>32.474609000000001</v>
      </c>
      <c r="J104" s="1">
        <v>16.668592</v>
      </c>
      <c r="K104" s="1">
        <v>2.5896509999999999</v>
      </c>
      <c r="L104" s="1">
        <v>27.627414999999999</v>
      </c>
      <c r="M104">
        <f t="shared" si="24"/>
        <v>1.2778068012154753E-2</v>
      </c>
      <c r="N104">
        <f t="shared" si="24"/>
        <v>0</v>
      </c>
      <c r="O104">
        <f t="shared" si="24"/>
        <v>-3.7453582995785606E-3</v>
      </c>
      <c r="P104">
        <f t="shared" si="24"/>
        <v>3.7533094848432036E-3</v>
      </c>
      <c r="Q104">
        <f t="shared" si="23"/>
        <v>-4.1859956756243877E-3</v>
      </c>
      <c r="R104">
        <f t="shared" si="23"/>
        <v>2.2015655577301008E-3</v>
      </c>
      <c r="S104">
        <f t="shared" si="25"/>
        <v>7.4228179191702104E-3</v>
      </c>
      <c r="T104">
        <f t="shared" si="26"/>
        <v>-5.2739851266648818E-3</v>
      </c>
      <c r="U104">
        <f t="shared" si="27"/>
        <v>9.7227177288703448E-3</v>
      </c>
      <c r="V104">
        <f t="shared" si="28"/>
        <v>-4.5454337455074212E-3</v>
      </c>
      <c r="W104">
        <f t="shared" si="29"/>
        <v>5.5829049383779861E-3</v>
      </c>
    </row>
    <row r="105" spans="1:23" x14ac:dyDescent="0.3">
      <c r="A105" t="s">
        <v>404</v>
      </c>
      <c r="B105" s="1">
        <v>20.100612999999999</v>
      </c>
      <c r="C105" s="1">
        <v>13.142144</v>
      </c>
      <c r="D105" s="1">
        <v>15.657247</v>
      </c>
      <c r="E105" s="1">
        <v>35.612037999999998</v>
      </c>
      <c r="F105" s="1">
        <v>10.521750000000001</v>
      </c>
      <c r="G105" s="1">
        <v>8.1760000000000002</v>
      </c>
      <c r="H105" s="1">
        <v>4873.7998049999997</v>
      </c>
      <c r="I105" s="1">
        <v>32.235332</v>
      </c>
      <c r="J105" s="1">
        <v>16.756968000000001</v>
      </c>
      <c r="K105" s="1">
        <v>2.5647150000000001</v>
      </c>
      <c r="L105" s="1">
        <v>27.753567</v>
      </c>
      <c r="M105">
        <f t="shared" si="24"/>
        <v>1.7332643255300484E-2</v>
      </c>
      <c r="N105">
        <f t="shared" si="24"/>
        <v>8.2583138395555533E-3</v>
      </c>
      <c r="O105">
        <f t="shared" si="24"/>
        <v>-4.9689125213253638E-3</v>
      </c>
      <c r="P105">
        <f t="shared" si="24"/>
        <v>3.496114308040621E-2</v>
      </c>
      <c r="Q105">
        <f t="shared" si="23"/>
        <v>6.225291205251593E-2</v>
      </c>
      <c r="R105">
        <f t="shared" si="23"/>
        <v>2.713567839195985E-2</v>
      </c>
      <c r="S105">
        <f t="shared" si="25"/>
        <v>1.967904940003895E-2</v>
      </c>
      <c r="T105">
        <f t="shared" si="26"/>
        <v>4.1501460510163346E-2</v>
      </c>
      <c r="U105">
        <f t="shared" si="27"/>
        <v>2.3412208010796354E-2</v>
      </c>
      <c r="V105">
        <f t="shared" si="28"/>
        <v>2.6192954055314965E-2</v>
      </c>
      <c r="W105">
        <f t="shared" si="29"/>
        <v>2.2805238192497024E-2</v>
      </c>
    </row>
    <row r="106" spans="1:23" x14ac:dyDescent="0.3">
      <c r="A106" t="s">
        <v>403</v>
      </c>
      <c r="B106" s="1">
        <v>19.758151999999999</v>
      </c>
      <c r="C106" s="1">
        <v>13.034501000000001</v>
      </c>
      <c r="D106" s="1">
        <v>15.735435000000001</v>
      </c>
      <c r="E106" s="1">
        <v>34.409058000000002</v>
      </c>
      <c r="F106" s="1">
        <v>9.9051270000000002</v>
      </c>
      <c r="G106" s="1">
        <v>7.96</v>
      </c>
      <c r="H106" s="1">
        <v>4765.1298829999996</v>
      </c>
      <c r="I106" s="1">
        <v>31.613213999999999</v>
      </c>
      <c r="J106" s="1">
        <v>16.089241000000001</v>
      </c>
      <c r="K106" s="1">
        <v>2.506043</v>
      </c>
      <c r="L106" s="1">
        <v>27.045173999999999</v>
      </c>
      <c r="M106">
        <f t="shared" si="24"/>
        <v>-1.4422826657718435E-3</v>
      </c>
      <c r="N106">
        <f t="shared" si="24"/>
        <v>-6.71141297605371E-3</v>
      </c>
      <c r="O106">
        <f t="shared" si="24"/>
        <v>0</v>
      </c>
      <c r="P106">
        <f t="shared" si="24"/>
        <v>-7.7092804475483723E-3</v>
      </c>
      <c r="Q106">
        <f t="shared" si="23"/>
        <v>-5.4053842374488514E-3</v>
      </c>
      <c r="R106">
        <f t="shared" si="23"/>
        <v>3.7831021437579881E-3</v>
      </c>
      <c r="S106">
        <f t="shared" si="25"/>
        <v>3.3414761508776536E-3</v>
      </c>
      <c r="T106">
        <f t="shared" si="26"/>
        <v>-6.3675759913001118E-3</v>
      </c>
      <c r="U106">
        <f t="shared" si="27"/>
        <v>7.0735050579862069E-3</v>
      </c>
      <c r="V106">
        <f t="shared" si="28"/>
        <v>-5.7081433762206091E-3</v>
      </c>
      <c r="W106">
        <f t="shared" si="29"/>
        <v>-5.0778922443729391E-3</v>
      </c>
    </row>
    <row r="107" spans="1:23" x14ac:dyDescent="0.3">
      <c r="A107" t="s">
        <v>402</v>
      </c>
      <c r="B107" s="1">
        <v>19.78669</v>
      </c>
      <c r="C107" s="1">
        <v>13.122572</v>
      </c>
      <c r="D107" s="1">
        <v>15.735435000000001</v>
      </c>
      <c r="E107" s="1">
        <v>34.676388000000003</v>
      </c>
      <c r="F107" s="1">
        <v>9.9589590000000001</v>
      </c>
      <c r="G107" s="1">
        <v>7.93</v>
      </c>
      <c r="H107" s="1">
        <v>4789.4501950000003</v>
      </c>
      <c r="I107" s="1">
        <v>31.507930999999999</v>
      </c>
      <c r="J107" s="1">
        <v>16.192347000000002</v>
      </c>
      <c r="K107" s="1">
        <v>2.4884409999999999</v>
      </c>
      <c r="L107" s="1">
        <v>27.200437999999998</v>
      </c>
      <c r="M107">
        <f t="shared" si="24"/>
        <v>1.2165512601548079E-2</v>
      </c>
      <c r="N107">
        <f t="shared" si="24"/>
        <v>-2.826088421442996E-2</v>
      </c>
      <c r="O107">
        <f t="shared" si="24"/>
        <v>6.2500243801855149E-3</v>
      </c>
      <c r="P107">
        <f t="shared" si="24"/>
        <v>-3.3528569006168629E-2</v>
      </c>
      <c r="Q107">
        <f t="shared" si="23"/>
        <v>-2.44487338793139E-2</v>
      </c>
      <c r="R107">
        <f t="shared" si="23"/>
        <v>4.560425639726251E-3</v>
      </c>
      <c r="S107">
        <f t="shared" si="25"/>
        <v>-1.9654709112047586E-2</v>
      </c>
      <c r="T107">
        <f t="shared" si="26"/>
        <v>-2.71385984763437E-2</v>
      </c>
      <c r="U107">
        <f t="shared" si="27"/>
        <v>7.4227583755515081E-3</v>
      </c>
      <c r="V107">
        <f t="shared" si="28"/>
        <v>-4.0068450487210416E-2</v>
      </c>
      <c r="W107">
        <f t="shared" si="29"/>
        <v>-1.6572342266930495E-2</v>
      </c>
    </row>
    <row r="108" spans="1:23" x14ac:dyDescent="0.3">
      <c r="A108" t="s">
        <v>401</v>
      </c>
      <c r="B108" s="1">
        <v>19.548867999999999</v>
      </c>
      <c r="C108" s="1">
        <v>13.504213</v>
      </c>
      <c r="D108" s="1">
        <v>15.637699</v>
      </c>
      <c r="E108" s="1">
        <v>35.879371999999996</v>
      </c>
      <c r="F108" s="1">
        <v>10.208545000000001</v>
      </c>
      <c r="G108" s="1">
        <v>7.8940000000000001</v>
      </c>
      <c r="H108" s="1">
        <v>4870.1601559999999</v>
      </c>
      <c r="I108" s="1">
        <v>32.139626</v>
      </c>
      <c r="J108" s="1">
        <v>16.644043</v>
      </c>
      <c r="K108" s="1">
        <v>2.4701059999999999</v>
      </c>
      <c r="L108" s="1">
        <v>28.335809999999999</v>
      </c>
      <c r="M108">
        <f t="shared" si="24"/>
        <v>-1.7686535420983418E-2</v>
      </c>
      <c r="N108">
        <f t="shared" si="24"/>
        <v>5.0983524283378934E-3</v>
      </c>
      <c r="O108">
        <f t="shared" si="24"/>
        <v>2.5062497575905063E-3</v>
      </c>
      <c r="P108">
        <f t="shared" si="24"/>
        <v>8.5884156083304575E-3</v>
      </c>
      <c r="Q108">
        <f t="shared" si="23"/>
        <v>8.2165060960857073E-3</v>
      </c>
      <c r="R108">
        <f t="shared" si="23"/>
        <v>1.3220382492619587E-2</v>
      </c>
      <c r="S108">
        <f t="shared" si="25"/>
        <v>-2.6728616276896489E-3</v>
      </c>
      <c r="T108">
        <f t="shared" si="26"/>
        <v>1.7101611329470634E-2</v>
      </c>
      <c r="U108">
        <f t="shared" si="27"/>
        <v>-1.8075773470659029E-2</v>
      </c>
      <c r="V108">
        <f t="shared" si="28"/>
        <v>1.8486245976357507E-2</v>
      </c>
      <c r="W108">
        <f t="shared" si="29"/>
        <v>-2.1125134558371839E-3</v>
      </c>
    </row>
    <row r="109" spans="1:23" x14ac:dyDescent="0.3">
      <c r="A109" t="s">
        <v>400</v>
      </c>
      <c r="B109" s="1">
        <v>19.900845</v>
      </c>
      <c r="C109" s="1">
        <v>13.435713</v>
      </c>
      <c r="D109" s="1">
        <v>15.598604999999999</v>
      </c>
      <c r="E109" s="1">
        <v>35.573849000000003</v>
      </c>
      <c r="F109" s="1">
        <v>10.125349999999999</v>
      </c>
      <c r="G109" s="1">
        <v>7.7910000000000004</v>
      </c>
      <c r="H109" s="1">
        <v>4880.4702150000003</v>
      </c>
      <c r="I109" s="1">
        <v>32.225760999999999</v>
      </c>
      <c r="J109" s="1">
        <v>16.364189</v>
      </c>
      <c r="K109" s="1">
        <v>2.515577</v>
      </c>
      <c r="L109" s="1">
        <v>27.821494999999999</v>
      </c>
      <c r="M109">
        <f t="shared" si="24"/>
        <v>1.111652552028497E-2</v>
      </c>
      <c r="N109">
        <f t="shared" si="24"/>
        <v>3.6548727976974948E-3</v>
      </c>
      <c r="O109">
        <f t="shared" si="24"/>
        <v>-1.2515565221801195E-3</v>
      </c>
      <c r="P109">
        <f t="shared" si="24"/>
        <v>-3.7433855662206694E-3</v>
      </c>
      <c r="Q109">
        <f t="shared" si="23"/>
        <v>-3.0004631867150189E-2</v>
      </c>
      <c r="R109">
        <f t="shared" si="23"/>
        <v>2.0164986251145933E-2</v>
      </c>
      <c r="S109">
        <f t="shared" si="25"/>
        <v>-7.9552262054946032E-3</v>
      </c>
      <c r="T109">
        <f t="shared" si="26"/>
        <v>-2.9911747094609753E-3</v>
      </c>
      <c r="U109">
        <f t="shared" si="27"/>
        <v>7.0465076712136199E-3</v>
      </c>
      <c r="V109">
        <f t="shared" si="28"/>
        <v>2.4475412475808422E-3</v>
      </c>
      <c r="W109">
        <f t="shared" si="29"/>
        <v>6.1289575540688368E-3</v>
      </c>
    </row>
    <row r="110" spans="1:23" x14ac:dyDescent="0.3">
      <c r="A110" t="s">
        <v>399</v>
      </c>
      <c r="B110" s="1">
        <v>19.682048999999999</v>
      </c>
      <c r="C110" s="1">
        <v>13.386786000000001</v>
      </c>
      <c r="D110" s="1">
        <v>15.618152</v>
      </c>
      <c r="E110" s="1">
        <v>35.707515999999998</v>
      </c>
      <c r="F110" s="1">
        <v>10.438554999999999</v>
      </c>
      <c r="G110" s="1">
        <v>7.6369999999999996</v>
      </c>
      <c r="H110" s="1">
        <v>4850.7402339999999</v>
      </c>
      <c r="I110" s="1">
        <v>32.484180000000002</v>
      </c>
      <c r="J110" s="1">
        <v>16.413284000000001</v>
      </c>
      <c r="K110" s="1">
        <v>2.4979749999999998</v>
      </c>
      <c r="L110" s="1">
        <v>27.753567</v>
      </c>
      <c r="M110">
        <f t="shared" si="24"/>
        <v>0</v>
      </c>
      <c r="N110">
        <f t="shared" si="24"/>
        <v>2.3186352752019301E-2</v>
      </c>
      <c r="O110">
        <f t="shared" si="24"/>
        <v>6.2972538880401441E-3</v>
      </c>
      <c r="P110">
        <f t="shared" si="24"/>
        <v>1.6857080776419231E-2</v>
      </c>
      <c r="Q110">
        <f t="shared" si="23"/>
        <v>4.1503992286216151E-2</v>
      </c>
      <c r="R110">
        <f t="shared" si="23"/>
        <v>1.7181672882258914E-2</v>
      </c>
      <c r="S110">
        <f t="shared" si="25"/>
        <v>-8.8324949942175657E-4</v>
      </c>
      <c r="T110">
        <f t="shared" si="26"/>
        <v>2.3889659130429397E-2</v>
      </c>
      <c r="U110">
        <f t="shared" si="27"/>
        <v>1.6412913537306784E-2</v>
      </c>
      <c r="V110">
        <f t="shared" si="28"/>
        <v>2.8037403602394928E-2</v>
      </c>
      <c r="W110">
        <f t="shared" si="29"/>
        <v>1.2834986071635246E-2</v>
      </c>
    </row>
    <row r="111" spans="1:23" x14ac:dyDescent="0.3">
      <c r="A111" t="s">
        <v>398</v>
      </c>
      <c r="B111" s="1">
        <v>19.682048999999999</v>
      </c>
      <c r="C111" s="1">
        <v>13.083429000000001</v>
      </c>
      <c r="D111" s="1">
        <v>15.520416000000001</v>
      </c>
      <c r="E111" s="1">
        <v>35.115569999999998</v>
      </c>
      <c r="F111" s="1">
        <v>10.022577999999999</v>
      </c>
      <c r="G111" s="1">
        <v>7.508</v>
      </c>
      <c r="H111" s="1">
        <v>4789.2700199999999</v>
      </c>
      <c r="I111" s="1">
        <v>32.512897000000002</v>
      </c>
      <c r="J111" s="1">
        <v>16.030325000000001</v>
      </c>
      <c r="K111" s="1">
        <v>2.4576380000000002</v>
      </c>
      <c r="L111" s="1">
        <v>26.996651</v>
      </c>
      <c r="M111">
        <f t="shared" si="24"/>
        <v>-1.3822632819452285E-2</v>
      </c>
      <c r="N111">
        <f t="shared" si="24"/>
        <v>-2.2660928470806918E-2</v>
      </c>
      <c r="O111">
        <f t="shared" si="24"/>
        <v>-7.50001646661691E-3</v>
      </c>
      <c r="P111">
        <f t="shared" si="24"/>
        <v>-1.4469480539126445E-2</v>
      </c>
      <c r="Q111">
        <f t="shared" si="23"/>
        <v>-1.4911117121905848E-2</v>
      </c>
      <c r="R111">
        <f t="shared" si="23"/>
        <v>-2.5188262788885973E-2</v>
      </c>
      <c r="S111">
        <f t="shared" si="25"/>
        <v>-2.5810077158195721E-2</v>
      </c>
      <c r="T111">
        <f t="shared" si="26"/>
        <v>-2.1576158192607719E-2</v>
      </c>
      <c r="U111">
        <f t="shared" si="27"/>
        <v>-2.1320281286424603E-2</v>
      </c>
      <c r="V111">
        <f t="shared" si="28"/>
        <v>-2.7272746598662412E-2</v>
      </c>
      <c r="W111">
        <f t="shared" si="29"/>
        <v>-1.9213208643965363E-2</v>
      </c>
    </row>
    <row r="112" spans="1:23" x14ac:dyDescent="0.3">
      <c r="A112" t="s">
        <v>397</v>
      </c>
      <c r="B112" s="1">
        <v>19.957920000000001</v>
      </c>
      <c r="C112" s="1">
        <v>13.386786000000001</v>
      </c>
      <c r="D112" s="1">
        <v>15.637699</v>
      </c>
      <c r="E112" s="1">
        <v>35.631134000000003</v>
      </c>
      <c r="F112" s="1">
        <v>10.174288000000001</v>
      </c>
      <c r="G112" s="1">
        <v>7.702</v>
      </c>
      <c r="H112" s="1">
        <v>4883.0898440000001</v>
      </c>
      <c r="I112" s="1">
        <v>33.374290000000002</v>
      </c>
      <c r="J112" s="1">
        <v>16.383825000000002</v>
      </c>
      <c r="K112" s="1">
        <v>2.511177</v>
      </c>
      <c r="L112" s="1">
        <v>27.753567</v>
      </c>
      <c r="M112">
        <f t="shared" si="24"/>
        <v>-2.8518112841273702E-3</v>
      </c>
      <c r="N112">
        <f t="shared" si="24"/>
        <v>-5.8139314675725862E-3</v>
      </c>
      <c r="O112">
        <f t="shared" si="24"/>
        <v>1.0101010753474249E-2</v>
      </c>
      <c r="P112">
        <f t="shared" si="24"/>
        <v>1.9672090989287572E-2</v>
      </c>
      <c r="Q112">
        <f t="shared" si="23"/>
        <v>2.0117932882872669E-2</v>
      </c>
      <c r="R112">
        <f t="shared" si="23"/>
        <v>1.6765676567656707E-2</v>
      </c>
      <c r="S112">
        <f t="shared" si="25"/>
        <v>-7.1184649936141264E-3</v>
      </c>
      <c r="T112">
        <f t="shared" si="26"/>
        <v>5.4232930051028028E-3</v>
      </c>
      <c r="U112">
        <f t="shared" si="27"/>
        <v>8.5420826793600746E-3</v>
      </c>
      <c r="V112">
        <f t="shared" si="28"/>
        <v>2.2158656421938705E-2</v>
      </c>
      <c r="W112">
        <f t="shared" si="29"/>
        <v>9.1968944330302893E-3</v>
      </c>
    </row>
    <row r="113" spans="1:23" x14ac:dyDescent="0.3">
      <c r="A113" t="s">
        <v>396</v>
      </c>
      <c r="B113" s="1">
        <v>20.014999</v>
      </c>
      <c r="C113" s="1">
        <v>13.465071</v>
      </c>
      <c r="D113" s="1">
        <v>15.481322</v>
      </c>
      <c r="E113" s="1">
        <v>34.943717999999997</v>
      </c>
      <c r="F113" s="1">
        <v>9.9736390000000004</v>
      </c>
      <c r="G113" s="1">
        <v>7.5750000000000002</v>
      </c>
      <c r="H113" s="1">
        <v>4838.5898440000001</v>
      </c>
      <c r="I113" s="1">
        <v>33.613567000000003</v>
      </c>
      <c r="J113" s="1">
        <v>16.295449999999999</v>
      </c>
      <c r="K113" s="1">
        <v>2.4899079999999998</v>
      </c>
      <c r="L113" s="1">
        <v>27.151917000000001</v>
      </c>
      <c r="M113">
        <f t="shared" si="24"/>
        <v>2.8599673713491924E-3</v>
      </c>
      <c r="N113">
        <f t="shared" si="24"/>
        <v>1.850484579585121E-2</v>
      </c>
      <c r="O113">
        <f t="shared" si="24"/>
        <v>-8.7609596833223558E-3</v>
      </c>
      <c r="P113">
        <f t="shared" si="24"/>
        <v>2.4062587890696152E-2</v>
      </c>
      <c r="Q113">
        <f t="shared" si="23"/>
        <v>-5.3685515152771535E-3</v>
      </c>
      <c r="R113">
        <f t="shared" si="23"/>
        <v>3.1783869686135002E-3</v>
      </c>
      <c r="S113">
        <f t="shared" si="25"/>
        <v>-7.6292839752589714E-3</v>
      </c>
      <c r="T113">
        <f t="shared" si="26"/>
        <v>5.0648837528978197E-2</v>
      </c>
      <c r="U113">
        <f t="shared" si="27"/>
        <v>-5.5654447982561583E-3</v>
      </c>
      <c r="V113">
        <f t="shared" si="28"/>
        <v>2.9433423544259263E-2</v>
      </c>
      <c r="W113">
        <f t="shared" si="29"/>
        <v>6.3999944104393691E-3</v>
      </c>
    </row>
    <row r="114" spans="1:23" x14ac:dyDescent="0.3">
      <c r="A114" t="s">
        <v>395</v>
      </c>
      <c r="B114" s="1">
        <v>19.957920000000001</v>
      </c>
      <c r="C114" s="1">
        <v>13.220428999999999</v>
      </c>
      <c r="D114" s="1">
        <v>15.618152</v>
      </c>
      <c r="E114" s="1">
        <v>34.122638999999999</v>
      </c>
      <c r="F114" s="1">
        <v>10.027471999999999</v>
      </c>
      <c r="G114" s="1">
        <v>7.5510000000000002</v>
      </c>
      <c r="H114" s="1">
        <v>4807.8198240000002</v>
      </c>
      <c r="I114" s="1">
        <v>33.871986</v>
      </c>
      <c r="J114" s="1">
        <v>15.509892000000001</v>
      </c>
      <c r="K114" s="1">
        <v>2.5038429999999998</v>
      </c>
      <c r="L114" s="1">
        <v>26.375592999999999</v>
      </c>
      <c r="M114">
        <f t="shared" si="24"/>
        <v>-4.74386712963204E-3</v>
      </c>
      <c r="N114">
        <f t="shared" si="24"/>
        <v>-7.3474925637948552E-3</v>
      </c>
      <c r="O114">
        <f t="shared" si="24"/>
        <v>-2.2031809643080824E-2</v>
      </c>
      <c r="P114">
        <f t="shared" si="24"/>
        <v>-1.4340724378119285E-2</v>
      </c>
      <c r="Q114">
        <f t="shared" si="23"/>
        <v>-1.0144968881792948E-2</v>
      </c>
      <c r="R114">
        <f t="shared" si="23"/>
        <v>3.9888312724372099E-3</v>
      </c>
      <c r="S114">
        <f t="shared" si="25"/>
        <v>-7.2931394349857737E-3</v>
      </c>
      <c r="T114">
        <f t="shared" si="26"/>
        <v>-1.6194340458372869E-2</v>
      </c>
      <c r="U114">
        <f t="shared" si="27"/>
        <v>-9.5734055366895054E-3</v>
      </c>
      <c r="V114">
        <f t="shared" si="28"/>
        <v>-1.3071910098653605E-2</v>
      </c>
      <c r="W114">
        <f t="shared" si="29"/>
        <v>-5.3541531240954843E-3</v>
      </c>
    </row>
    <row r="115" spans="1:23" x14ac:dyDescent="0.3">
      <c r="A115" t="s">
        <v>394</v>
      </c>
      <c r="B115" s="1">
        <v>20.053049000000001</v>
      </c>
      <c r="C115" s="1">
        <v>13.318284999999999</v>
      </c>
      <c r="D115" s="1">
        <v>15.97</v>
      </c>
      <c r="E115" s="1">
        <v>34.619101999999998</v>
      </c>
      <c r="F115" s="1">
        <v>10.130243</v>
      </c>
      <c r="G115" s="1">
        <v>7.5209999999999999</v>
      </c>
      <c r="H115" s="1">
        <v>4833.7001950000003</v>
      </c>
      <c r="I115" s="1">
        <v>34.120834000000002</v>
      </c>
      <c r="J115" s="1">
        <v>15.765199000000001</v>
      </c>
      <c r="K115" s="1">
        <v>2.5280450000000001</v>
      </c>
      <c r="L115" s="1">
        <v>26.724938999999999</v>
      </c>
      <c r="M115">
        <f t="shared" si="24"/>
        <v>-1.3108600408043292E-2</v>
      </c>
      <c r="N115">
        <f t="shared" si="24"/>
        <v>-4.389250205576789E-3</v>
      </c>
      <c r="O115">
        <f t="shared" si="24"/>
        <v>6.1575962850923815E-3</v>
      </c>
      <c r="P115">
        <f t="shared" si="24"/>
        <v>-5.5121232500732198E-4</v>
      </c>
      <c r="Q115">
        <f t="shared" si="23"/>
        <v>-4.8076559400996866E-3</v>
      </c>
      <c r="R115">
        <f t="shared" si="23"/>
        <v>4.1388518024032539E-3</v>
      </c>
      <c r="S115">
        <f t="shared" si="25"/>
        <v>-6.686999003450711E-3</v>
      </c>
      <c r="T115">
        <f t="shared" si="26"/>
        <v>-1.9242450408447742E-2</v>
      </c>
      <c r="U115">
        <f t="shared" si="27"/>
        <v>-2.8926641736796155E-3</v>
      </c>
      <c r="V115">
        <f t="shared" si="28"/>
        <v>-1.8122052071123385E-3</v>
      </c>
      <c r="W115">
        <f t="shared" si="29"/>
        <v>-3.9378965522376408E-3</v>
      </c>
    </row>
    <row r="116" spans="1:23" x14ac:dyDescent="0.3">
      <c r="A116" t="s">
        <v>393</v>
      </c>
      <c r="B116" s="1">
        <v>20.319407999999999</v>
      </c>
      <c r="C116" s="1">
        <v>13.377000000000001</v>
      </c>
      <c r="D116" s="1">
        <v>15.872265000000001</v>
      </c>
      <c r="E116" s="1">
        <v>34.638195000000003</v>
      </c>
      <c r="F116" s="1">
        <v>10.179181</v>
      </c>
      <c r="G116" s="1">
        <v>7.49</v>
      </c>
      <c r="H116" s="1">
        <v>4852.8100590000004</v>
      </c>
      <c r="I116" s="1">
        <v>34.350535999999998</v>
      </c>
      <c r="J116" s="1">
        <v>16.074511999999999</v>
      </c>
      <c r="K116" s="1">
        <v>2.5353789999999998</v>
      </c>
      <c r="L116" s="1">
        <v>26.773458000000002</v>
      </c>
      <c r="M116">
        <f t="shared" si="24"/>
        <v>-3.2664576931676903E-3</v>
      </c>
      <c r="N116">
        <f t="shared" si="24"/>
        <v>-2.1897820563780979E-3</v>
      </c>
      <c r="O116">
        <f t="shared" si="24"/>
        <v>-2.6378852899354488E-2</v>
      </c>
      <c r="P116">
        <f t="shared" si="24"/>
        <v>7.7776910441222924E-3</v>
      </c>
      <c r="Q116">
        <f t="shared" si="23"/>
        <v>-1.4217998922331554E-2</v>
      </c>
      <c r="R116">
        <f t="shared" si="23"/>
        <v>1.1888678735476832E-2</v>
      </c>
      <c r="S116">
        <f t="shared" si="25"/>
        <v>1.9542031527142179E-3</v>
      </c>
      <c r="T116">
        <f t="shared" si="26"/>
        <v>6.4555990589933998E-3</v>
      </c>
      <c r="U116">
        <f t="shared" si="27"/>
        <v>-8.6696808257014091E-4</v>
      </c>
      <c r="V116">
        <f t="shared" si="28"/>
        <v>7.3019014967168339E-3</v>
      </c>
      <c r="W116">
        <f t="shared" si="29"/>
        <v>1.5809948412202068E-3</v>
      </c>
    </row>
    <row r="117" spans="1:23" x14ac:dyDescent="0.3">
      <c r="A117" t="s">
        <v>392</v>
      </c>
      <c r="B117" s="1">
        <v>20.385998000000001</v>
      </c>
      <c r="C117" s="1">
        <v>13.406357</v>
      </c>
      <c r="D117" s="1">
        <v>16.302301</v>
      </c>
      <c r="E117" s="1">
        <v>34.370868999999999</v>
      </c>
      <c r="F117" s="1">
        <v>10.325996</v>
      </c>
      <c r="G117" s="1">
        <v>7.4020000000000001</v>
      </c>
      <c r="H117" s="1">
        <v>4845.1499020000001</v>
      </c>
      <c r="I117" s="1">
        <v>34.283538999999998</v>
      </c>
      <c r="J117" s="1">
        <v>15.971406999999999</v>
      </c>
      <c r="K117" s="1">
        <v>2.537579</v>
      </c>
      <c r="L117" s="1">
        <v>26.579377999999998</v>
      </c>
      <c r="M117">
        <f t="shared" si="24"/>
        <v>-9.7042772462995197E-3</v>
      </c>
      <c r="N117">
        <f t="shared" si="24"/>
        <v>-4.3604671672359263E-3</v>
      </c>
      <c r="O117">
        <f t="shared" si="24"/>
        <v>-5.2272744845222152E-2</v>
      </c>
      <c r="P117">
        <f t="shared" si="24"/>
        <v>-2.1207145434347208E-2</v>
      </c>
      <c r="Q117">
        <f t="shared" si="23"/>
        <v>-1.4198295314872267E-3</v>
      </c>
      <c r="R117">
        <f t="shared" si="23"/>
        <v>-1.3386481220900581E-4</v>
      </c>
      <c r="S117">
        <f t="shared" si="25"/>
        <v>-3.0616051307832404E-3</v>
      </c>
      <c r="T117">
        <f t="shared" si="26"/>
        <v>-1.0945644020473155E-2</v>
      </c>
      <c r="U117">
        <f t="shared" si="27"/>
        <v>-1.2838726794165645E-2</v>
      </c>
      <c r="V117">
        <f t="shared" si="28"/>
        <v>-3.2750941867077943E-3</v>
      </c>
      <c r="W117">
        <f t="shared" si="29"/>
        <v>-6.0904445992298051E-3</v>
      </c>
    </row>
    <row r="118" spans="1:23" x14ac:dyDescent="0.3">
      <c r="A118" t="s">
        <v>391</v>
      </c>
      <c r="B118" s="1">
        <v>20.585768000000002</v>
      </c>
      <c r="C118" s="1">
        <v>13.465071</v>
      </c>
      <c r="D118" s="1">
        <v>17.201468999999999</v>
      </c>
      <c r="E118" s="1">
        <v>35.115569999999998</v>
      </c>
      <c r="F118" s="1">
        <v>10.340678</v>
      </c>
      <c r="G118" s="1">
        <v>7.4029910000000001</v>
      </c>
      <c r="H118" s="1">
        <v>4874.8398440000001</v>
      </c>
      <c r="I118" s="1">
        <v>34.388824</v>
      </c>
      <c r="J118" s="1">
        <v>16.148159</v>
      </c>
      <c r="K118" s="1">
        <v>2.5705819999999999</v>
      </c>
      <c r="L118" s="1">
        <v>26.666713999999999</v>
      </c>
      <c r="M118">
        <f t="shared" si="24"/>
        <v>-4.5997525735708145E-3</v>
      </c>
      <c r="N118">
        <f t="shared" si="24"/>
        <v>-9.3592070324604038E-3</v>
      </c>
      <c r="O118">
        <f t="shared" si="24"/>
        <v>5.7143080987058781E-3</v>
      </c>
      <c r="P118">
        <f t="shared" si="24"/>
        <v>-5.4342345620350674E-4</v>
      </c>
      <c r="Q118">
        <f t="shared" si="23"/>
        <v>-1.5836100438666456E-2</v>
      </c>
      <c r="R118">
        <f t="shared" si="23"/>
        <v>-3.7327432789896475E-3</v>
      </c>
      <c r="S118">
        <f t="shared" si="25"/>
        <v>1.1146259842933492E-3</v>
      </c>
      <c r="T118">
        <f t="shared" si="26"/>
        <v>-2.171317370678294E-2</v>
      </c>
      <c r="U118">
        <f t="shared" si="27"/>
        <v>-4.5443684876799173E-3</v>
      </c>
      <c r="V118">
        <f t="shared" si="28"/>
        <v>-1.7869935297754602E-2</v>
      </c>
      <c r="W118">
        <f t="shared" si="29"/>
        <v>-9.3762088420444867E-3</v>
      </c>
    </row>
    <row r="119" spans="1:23" x14ac:dyDescent="0.3">
      <c r="A119" t="s">
        <v>390</v>
      </c>
      <c r="B119" s="1">
        <v>20.680895</v>
      </c>
      <c r="C119" s="1">
        <v>13.592283999999999</v>
      </c>
      <c r="D119" s="1">
        <v>17.103732999999998</v>
      </c>
      <c r="E119" s="1">
        <v>35.134663000000003</v>
      </c>
      <c r="F119" s="1">
        <v>10.507069</v>
      </c>
      <c r="G119" s="1">
        <v>7.4307280000000002</v>
      </c>
      <c r="H119" s="1">
        <v>4920.9799800000001</v>
      </c>
      <c r="I119" s="1">
        <v>34.350535999999998</v>
      </c>
      <c r="J119" s="1">
        <v>16.506568999999999</v>
      </c>
      <c r="K119" s="1">
        <v>2.5823170000000002</v>
      </c>
      <c r="L119" s="1">
        <v>27.151917000000001</v>
      </c>
    </row>
    <row r="120" spans="1:23" x14ac:dyDescent="0.3">
      <c r="A120" t="s">
        <v>389</v>
      </c>
      <c r="B120" s="1">
        <v>20.737971999999999</v>
      </c>
      <c r="C120" s="1">
        <v>13.719498</v>
      </c>
      <c r="D120" s="1">
        <v>17.142828000000002</v>
      </c>
      <c r="E120" s="1">
        <v>34.389964999999997</v>
      </c>
      <c r="F120" s="1">
        <v>10.570688000000001</v>
      </c>
      <c r="G120" s="1">
        <v>7.1919870000000001</v>
      </c>
      <c r="H120" s="1"/>
      <c r="I120" s="1">
        <v>34.599387999999998</v>
      </c>
      <c r="J120" s="1">
        <v>16.432924</v>
      </c>
      <c r="K120" s="1">
        <v>2.6057860000000002</v>
      </c>
      <c r="L120" s="1">
        <v>26.686122999999998</v>
      </c>
    </row>
    <row r="121" spans="1:23" x14ac:dyDescent="0.3">
      <c r="A121" t="s">
        <v>388</v>
      </c>
      <c r="B121" s="1">
        <v>20.699922999999998</v>
      </c>
      <c r="C121" s="1">
        <v>13.602069999999999</v>
      </c>
      <c r="D121" s="1">
        <v>17.142828000000002</v>
      </c>
      <c r="E121" s="1">
        <v>35.039192</v>
      </c>
      <c r="F121" s="1">
        <v>10.64899</v>
      </c>
      <c r="G121" s="1">
        <v>7.0473540000000003</v>
      </c>
      <c r="H121" s="1">
        <v>4863.3901370000003</v>
      </c>
      <c r="I121" s="1">
        <v>34.273972000000001</v>
      </c>
      <c r="J121" s="1">
        <v>16.192347000000002</v>
      </c>
      <c r="K121" s="1">
        <v>2.5742500000000001</v>
      </c>
      <c r="L121" s="1">
        <v>26.909314999999999</v>
      </c>
      <c r="M121">
        <f t="shared" si="24"/>
        <v>-1.4046179009870152E-2</v>
      </c>
      <c r="N121">
        <f t="shared" si="24"/>
        <v>-1.4184380200790381E-2</v>
      </c>
      <c r="O121">
        <f t="shared" si="24"/>
        <v>0</v>
      </c>
      <c r="P121">
        <f t="shared" si="24"/>
        <v>3.8293937707569725E-3</v>
      </c>
      <c r="Q121">
        <f t="shared" si="23"/>
        <v>-1.0009060438310957E-2</v>
      </c>
      <c r="R121">
        <f t="shared" si="23"/>
        <v>8.5058263436481596E-3</v>
      </c>
      <c r="S121">
        <f t="shared" si="25"/>
        <v>5.3342243310967596E-3</v>
      </c>
      <c r="T121">
        <f t="shared" si="26"/>
        <v>1.2277477365061795E-2</v>
      </c>
      <c r="U121">
        <f t="shared" si="27"/>
        <v>-1.706319198029993E-3</v>
      </c>
      <c r="V121">
        <f t="shared" si="28"/>
        <v>7.2179501110936073E-4</v>
      </c>
      <c r="W121">
        <f t="shared" si="29"/>
        <v>8.6881959970963596E-3</v>
      </c>
    </row>
    <row r="122" spans="1:23" x14ac:dyDescent="0.3">
      <c r="A122" t="s">
        <v>387</v>
      </c>
      <c r="B122" s="1">
        <v>20.994820000000001</v>
      </c>
      <c r="C122" s="1">
        <v>13.797783000000001</v>
      </c>
      <c r="D122" s="1">
        <v>17.142828000000002</v>
      </c>
      <c r="E122" s="1">
        <v>34.905524999999997</v>
      </c>
      <c r="F122" s="1">
        <v>10.756653999999999</v>
      </c>
      <c r="G122" s="1">
        <v>6.9879160000000002</v>
      </c>
      <c r="H122" s="1">
        <v>4821.5</v>
      </c>
      <c r="I122" s="1">
        <v>34.092117000000002</v>
      </c>
      <c r="J122" s="1">
        <v>15.995957000000001</v>
      </c>
      <c r="K122" s="1">
        <v>2.5786500000000001</v>
      </c>
      <c r="L122" s="1">
        <v>26.889906</v>
      </c>
      <c r="M122">
        <f t="shared" si="24"/>
        <v>1.705070207134729E-2</v>
      </c>
      <c r="N122">
        <f t="shared" si="24"/>
        <v>-1.4164072223957769E-3</v>
      </c>
      <c r="O122">
        <f t="shared" si="24"/>
        <v>1.153401087851047E-2</v>
      </c>
      <c r="P122">
        <f t="shared" si="24"/>
        <v>-4.3574288522753024E-3</v>
      </c>
      <c r="Q122">
        <f t="shared" si="23"/>
        <v>-1.0801071830640607E-2</v>
      </c>
      <c r="R122">
        <f t="shared" si="23"/>
        <v>-5.6385298926039384E-3</v>
      </c>
      <c r="S122">
        <f t="shared" si="25"/>
        <v>1.9690452230587407E-3</v>
      </c>
      <c r="T122">
        <f t="shared" si="26"/>
        <v>2.8733816660310607E-2</v>
      </c>
      <c r="U122">
        <f t="shared" si="27"/>
        <v>-2.8360577636983297E-3</v>
      </c>
      <c r="V122">
        <f t="shared" si="28"/>
        <v>2.4399264304277191E-2</v>
      </c>
      <c r="W122">
        <f t="shared" si="29"/>
        <v>6.7422475236935675E-3</v>
      </c>
    </row>
    <row r="123" spans="1:23" x14ac:dyDescent="0.3">
      <c r="A123" t="s">
        <v>386</v>
      </c>
      <c r="B123" s="1">
        <v>20.642845000000001</v>
      </c>
      <c r="C123" s="1">
        <v>13.817354</v>
      </c>
      <c r="D123" s="1">
        <v>16.947357</v>
      </c>
      <c r="E123" s="1">
        <v>35.058289000000002</v>
      </c>
      <c r="F123" s="1">
        <v>10.874105999999999</v>
      </c>
      <c r="G123" s="1">
        <v>7.0275410000000003</v>
      </c>
      <c r="H123" s="1">
        <v>4789.2099609999996</v>
      </c>
      <c r="I123" s="1">
        <v>34.025120000000001</v>
      </c>
      <c r="J123" s="1">
        <v>15.54917</v>
      </c>
      <c r="K123" s="1">
        <v>2.5859839999999998</v>
      </c>
      <c r="L123" s="1">
        <v>26.249438999999999</v>
      </c>
      <c r="M123">
        <f t="shared" si="24"/>
        <v>5.094944036976301E-3</v>
      </c>
      <c r="N123">
        <f t="shared" si="24"/>
        <v>4.2674275945877582E-3</v>
      </c>
      <c r="O123">
        <f t="shared" si="24"/>
        <v>-2.0339025964544399E-2</v>
      </c>
      <c r="P123">
        <f t="shared" si="24"/>
        <v>-1.2903106643511575E-2</v>
      </c>
      <c r="Q123">
        <f t="shared" si="23"/>
        <v>-8.0357081770575656E-3</v>
      </c>
      <c r="R123">
        <f t="shared" si="23"/>
        <v>1.2127309966375011E-2</v>
      </c>
      <c r="S123">
        <f t="shared" si="25"/>
        <v>-1.6850265018314436E-3</v>
      </c>
      <c r="T123">
        <f t="shared" si="26"/>
        <v>2.4587593011820896E-2</v>
      </c>
      <c r="U123">
        <f t="shared" si="27"/>
        <v>1.9892671019237085E-3</v>
      </c>
      <c r="V123">
        <f t="shared" si="28"/>
        <v>7.824068627797276E-3</v>
      </c>
      <c r="W123">
        <f t="shared" si="29"/>
        <v>2.4448148992544105E-3</v>
      </c>
    </row>
    <row r="124" spans="1:23" x14ac:dyDescent="0.3">
      <c r="A124" t="s">
        <v>385</v>
      </c>
      <c r="B124" s="1">
        <v>20.538204</v>
      </c>
      <c r="C124" s="1">
        <v>13.75864</v>
      </c>
      <c r="D124" s="1">
        <v>17.299206000000002</v>
      </c>
      <c r="E124" s="1">
        <v>35.516562999999998</v>
      </c>
      <c r="F124" s="1">
        <v>10.962194999999999</v>
      </c>
      <c r="G124" s="1">
        <v>6.9433369999999996</v>
      </c>
      <c r="H124" s="1">
        <v>4777.5297849999997</v>
      </c>
      <c r="I124" s="1">
        <v>34.082549999999998</v>
      </c>
      <c r="J124" s="1">
        <v>15.176028000000001</v>
      </c>
      <c r="K124" s="1">
        <v>2.5808499999999999</v>
      </c>
      <c r="L124" s="1">
        <v>26.045656000000001</v>
      </c>
      <c r="M124">
        <f t="shared" si="24"/>
        <v>-8.7236089399905792E-3</v>
      </c>
      <c r="N124">
        <f t="shared" si="24"/>
        <v>-2.129170756274501E-3</v>
      </c>
      <c r="O124">
        <f t="shared" si="24"/>
        <v>3.401513245333998E-3</v>
      </c>
      <c r="P124">
        <f t="shared" si="24"/>
        <v>2.3665416936154093E-2</v>
      </c>
      <c r="Q124">
        <f t="shared" si="23"/>
        <v>-2.2687650306352003E-2</v>
      </c>
      <c r="R124">
        <f t="shared" si="23"/>
        <v>-1.2399664149685852E-2</v>
      </c>
      <c r="S124">
        <f t="shared" si="25"/>
        <v>-8.7624829845927676E-2</v>
      </c>
      <c r="T124">
        <f t="shared" si="26"/>
        <v>-9.929586786629252E-3</v>
      </c>
      <c r="U124">
        <f t="shared" si="27"/>
        <v>-7.6142444279359012E-3</v>
      </c>
      <c r="V124">
        <f t="shared" si="28"/>
        <v>-1.5045840529330445E-2</v>
      </c>
      <c r="W124">
        <f t="shared" si="29"/>
        <v>-8.8420729368429152E-3</v>
      </c>
    </row>
    <row r="125" spans="1:23" x14ac:dyDescent="0.3">
      <c r="A125" t="s">
        <v>384</v>
      </c>
      <c r="B125" s="1">
        <v>20.718948000000001</v>
      </c>
      <c r="C125" s="1">
        <v>13.787997000000001</v>
      </c>
      <c r="D125" s="1">
        <v>17.240562000000001</v>
      </c>
      <c r="E125" s="1">
        <v>34.695480000000003</v>
      </c>
      <c r="F125" s="1">
        <v>11.216675</v>
      </c>
      <c r="G125" s="1">
        <v>7.030513</v>
      </c>
      <c r="H125" s="1">
        <v>4820.1499020000001</v>
      </c>
      <c r="I125" s="1">
        <v>37.355849999999997</v>
      </c>
      <c r="J125" s="1">
        <v>15.328231000000001</v>
      </c>
      <c r="K125" s="1">
        <v>2.6006520000000002</v>
      </c>
      <c r="L125" s="1">
        <v>26.443521</v>
      </c>
      <c r="M125">
        <f t="shared" si="24"/>
        <v>4.6125792705997704E-3</v>
      </c>
      <c r="N125">
        <f t="shared" si="24"/>
        <v>8.5898399693531413E-3</v>
      </c>
      <c r="O125">
        <f t="shared" si="24"/>
        <v>-2.2624870389499341E-3</v>
      </c>
      <c r="P125">
        <f t="shared" si="24"/>
        <v>2.3661854661972459E-2</v>
      </c>
      <c r="Q125">
        <f t="shared" si="23"/>
        <v>9.24706565757627E-3</v>
      </c>
      <c r="R125">
        <f t="shared" si="23"/>
        <v>8.6697663901897926E-3</v>
      </c>
      <c r="S125">
        <f t="shared" si="25"/>
        <v>1.1663972387821353E-2</v>
      </c>
      <c r="T125">
        <f t="shared" si="26"/>
        <v>1.9928088434843172E-2</v>
      </c>
      <c r="U125">
        <f t="shared" si="27"/>
        <v>-1.0602540363953694E-2</v>
      </c>
      <c r="V125">
        <f t="shared" si="28"/>
        <v>-3.6563280008916621E-3</v>
      </c>
      <c r="W125">
        <f t="shared" si="29"/>
        <v>7.7417635547953889E-3</v>
      </c>
    </row>
    <row r="126" spans="1:23" x14ac:dyDescent="0.3">
      <c r="A126" t="s">
        <v>383</v>
      </c>
      <c r="B126" s="1">
        <v>20.623819000000001</v>
      </c>
      <c r="C126" s="1">
        <v>13.670569</v>
      </c>
      <c r="D126" s="1">
        <v>17.279657</v>
      </c>
      <c r="E126" s="1">
        <v>33.893497000000004</v>
      </c>
      <c r="F126" s="1">
        <v>11.113904</v>
      </c>
      <c r="G126" s="1">
        <v>6.9700839999999999</v>
      </c>
      <c r="H126" s="1">
        <v>4783.1201170000004</v>
      </c>
      <c r="I126" s="1">
        <v>36.925156000000001</v>
      </c>
      <c r="J126" s="1">
        <v>15.028737</v>
      </c>
      <c r="K126" s="1">
        <v>2.6285210000000001</v>
      </c>
      <c r="L126" s="1">
        <v>26.540562000000001</v>
      </c>
      <c r="M126">
        <f t="shared" si="24"/>
        <v>3.7037206471026707E-3</v>
      </c>
      <c r="N126">
        <f t="shared" si="24"/>
        <v>-1.5503907789898963E-2</v>
      </c>
      <c r="O126">
        <f t="shared" si="24"/>
        <v>-1.2290482675442749E-2</v>
      </c>
      <c r="P126">
        <f t="shared" si="24"/>
        <v>-6.1590376741510466E-3</v>
      </c>
      <c r="Q126">
        <f t="shared" si="23"/>
        <v>1.2032030170725516E-2</v>
      </c>
      <c r="R126">
        <f t="shared" si="23"/>
        <v>-1.9858381062988206E-3</v>
      </c>
      <c r="S126">
        <f t="shared" si="25"/>
        <v>8.6274775460122299E-3</v>
      </c>
      <c r="T126">
        <f t="shared" si="26"/>
        <v>1.3085397475942617E-3</v>
      </c>
      <c r="U126">
        <f t="shared" si="27"/>
        <v>-8.3013773880182828E-3</v>
      </c>
      <c r="V126">
        <f t="shared" si="28"/>
        <v>-2.3911492198463336E-2</v>
      </c>
      <c r="W126">
        <f t="shared" si="29"/>
        <v>-1.2792301448134036E-2</v>
      </c>
    </row>
    <row r="127" spans="1:23" x14ac:dyDescent="0.3">
      <c r="A127" t="s">
        <v>382</v>
      </c>
      <c r="B127" s="1">
        <v>20.547716000000001</v>
      </c>
      <c r="C127" s="1">
        <v>13.885854</v>
      </c>
      <c r="D127" s="1">
        <v>17.494675000000001</v>
      </c>
      <c r="E127" s="1">
        <v>34.103541999999997</v>
      </c>
      <c r="F127" s="1">
        <v>10.981771</v>
      </c>
      <c r="G127" s="1">
        <v>6.9839529999999996</v>
      </c>
      <c r="H127" s="1">
        <v>4845.1000979999999</v>
      </c>
      <c r="I127" s="1">
        <v>36.609310000000001</v>
      </c>
      <c r="J127" s="1">
        <v>15.009097000000001</v>
      </c>
      <c r="K127" s="1">
        <v>2.6505239999999999</v>
      </c>
      <c r="L127" s="1">
        <v>27.190733000000002</v>
      </c>
      <c r="M127">
        <f t="shared" si="24"/>
        <v>4.6511964476669831E-3</v>
      </c>
      <c r="N127">
        <f t="shared" si="24"/>
        <v>-2.1379274912364687E-2</v>
      </c>
      <c r="O127">
        <f t="shared" si="24"/>
        <v>-1.1161214516910434E-3</v>
      </c>
      <c r="P127">
        <f t="shared" si="24"/>
        <v>0.10931679232955549</v>
      </c>
      <c r="Q127">
        <f t="shared" si="23"/>
        <v>-1.5789372741296104E-2</v>
      </c>
      <c r="R127">
        <f t="shared" si="23"/>
        <v>3.7527583652710028E-2</v>
      </c>
      <c r="S127">
        <f t="shared" si="25"/>
        <v>1.5127402553904767E-2</v>
      </c>
      <c r="T127">
        <f t="shared" si="26"/>
        <v>2.9527073667667825E-3</v>
      </c>
      <c r="U127">
        <f t="shared" si="27"/>
        <v>3.8890168226111133E-3</v>
      </c>
      <c r="V127">
        <f t="shared" si="28"/>
        <v>4.3964221903260992E-2</v>
      </c>
      <c r="W127">
        <f t="shared" si="29"/>
        <v>5.3910216739259109E-3</v>
      </c>
    </row>
    <row r="128" spans="1:23" x14ac:dyDescent="0.3">
      <c r="A128" t="s">
        <v>381</v>
      </c>
      <c r="B128" s="1">
        <v>20.452587000000001</v>
      </c>
      <c r="C128" s="1">
        <v>14.189209</v>
      </c>
      <c r="D128" s="1">
        <v>17.514223000000001</v>
      </c>
      <c r="E128" s="1">
        <v>30.742833999999998</v>
      </c>
      <c r="F128" s="1">
        <v>11.157947999999999</v>
      </c>
      <c r="G128" s="1">
        <v>6.7313419999999997</v>
      </c>
      <c r="H128" s="1">
        <v>4819.1201170000004</v>
      </c>
      <c r="I128" s="1">
        <v>36.063758999999997</v>
      </c>
      <c r="J128" s="1">
        <v>14.96491</v>
      </c>
      <c r="K128" s="1">
        <v>2.6402559999999999</v>
      </c>
      <c r="L128" s="1">
        <v>26.045656000000001</v>
      </c>
      <c r="M128">
        <f t="shared" si="24"/>
        <v>3.4648656512979992E-2</v>
      </c>
      <c r="N128">
        <f t="shared" si="24"/>
        <v>2.1846333686066366E-2</v>
      </c>
      <c r="O128">
        <f t="shared" si="24"/>
        <v>1.1173685707221992E-3</v>
      </c>
      <c r="P128">
        <f t="shared" si="24"/>
        <v>5.6215407959796515E-3</v>
      </c>
      <c r="Q128">
        <f t="shared" si="23"/>
        <v>4.2047435699639424E-2</v>
      </c>
      <c r="R128">
        <f t="shared" si="23"/>
        <v>1.101015374503822E-2</v>
      </c>
      <c r="S128">
        <f t="shared" si="25"/>
        <v>-4.4913023940539309E-3</v>
      </c>
      <c r="T128">
        <f t="shared" si="26"/>
        <v>7.2703616738221122E-3</v>
      </c>
      <c r="U128">
        <f t="shared" si="27"/>
        <v>2.7854983930399868E-3</v>
      </c>
      <c r="V128">
        <f t="shared" si="28"/>
        <v>7.5075506040753748E-3</v>
      </c>
      <c r="W128">
        <f t="shared" si="29"/>
        <v>1.1614718018012171E-2</v>
      </c>
    </row>
    <row r="129" spans="1:23" x14ac:dyDescent="0.3">
      <c r="A129" t="s">
        <v>380</v>
      </c>
      <c r="B129" s="1">
        <v>19.767664</v>
      </c>
      <c r="C129" s="1">
        <v>13.885854</v>
      </c>
      <c r="D129" s="1">
        <v>17.494675000000001</v>
      </c>
      <c r="E129" s="1">
        <v>30.570978</v>
      </c>
      <c r="F129" s="1">
        <v>10.707716</v>
      </c>
      <c r="G129" s="1">
        <v>6.6580360000000001</v>
      </c>
      <c r="H129" s="1">
        <v>4763.7900390000004</v>
      </c>
      <c r="I129" s="1">
        <v>36.226463000000003</v>
      </c>
      <c r="J129" s="1">
        <v>14.856895</v>
      </c>
      <c r="K129" s="1">
        <v>2.6329220000000002</v>
      </c>
      <c r="L129" s="1">
        <v>25.851573999999999</v>
      </c>
      <c r="M129">
        <f t="shared" si="24"/>
        <v>2.6679846978059807E-2</v>
      </c>
      <c r="N129">
        <f t="shared" si="24"/>
        <v>1.1404164368962189E-2</v>
      </c>
      <c r="O129">
        <f t="shared" si="24"/>
        <v>0</v>
      </c>
      <c r="P129">
        <f t="shared" si="24"/>
        <v>2.1045932404379464E-2</v>
      </c>
      <c r="Q129">
        <f t="shared" ref="Q129:R192" si="30">+F129/F130-1</f>
        <v>1.1090659410441406E-2</v>
      </c>
      <c r="R129">
        <f t="shared" si="30"/>
        <v>4.0334541293556292E-3</v>
      </c>
      <c r="S129">
        <f t="shared" si="25"/>
        <v>-2.8979061811750251E-3</v>
      </c>
      <c r="T129">
        <f t="shared" si="26"/>
        <v>1.4755206420166589E-2</v>
      </c>
      <c r="U129">
        <f t="shared" si="27"/>
        <v>1.6743255998334927E-3</v>
      </c>
      <c r="V129">
        <f t="shared" si="28"/>
        <v>7.9455192024544541E-3</v>
      </c>
      <c r="W129">
        <f t="shared" si="29"/>
        <v>2.0446092211203748E-3</v>
      </c>
    </row>
    <row r="130" spans="1:23" x14ac:dyDescent="0.3">
      <c r="A130" t="s">
        <v>379</v>
      </c>
      <c r="B130" s="1">
        <v>19.253971</v>
      </c>
      <c r="C130" s="1">
        <v>13.729283000000001</v>
      </c>
      <c r="D130" s="1">
        <v>17.494675000000001</v>
      </c>
      <c r="E130" s="1">
        <v>29.940844999999999</v>
      </c>
      <c r="F130" s="1">
        <v>10.590263</v>
      </c>
      <c r="G130" s="1">
        <v>6.6312889999999998</v>
      </c>
      <c r="H130" s="1">
        <v>4754.0698240000002</v>
      </c>
      <c r="I130" s="1">
        <v>36.331749000000002</v>
      </c>
      <c r="J130" s="1">
        <v>14.640866000000001</v>
      </c>
      <c r="K130" s="1">
        <v>2.6285210000000001</v>
      </c>
      <c r="L130" s="1">
        <v>25.647789</v>
      </c>
      <c r="M130">
        <f t="shared" si="24"/>
        <v>1.2759505549172045E-2</v>
      </c>
      <c r="N130">
        <f t="shared" si="24"/>
        <v>4.2949199846766817E-3</v>
      </c>
      <c r="O130">
        <f t="shared" si="24"/>
        <v>1.8202504830513444E-2</v>
      </c>
      <c r="P130">
        <f t="shared" si="24"/>
        <v>4.3246831192339297E-2</v>
      </c>
      <c r="Q130">
        <f t="shared" si="30"/>
        <v>1.7873863282270364E-2</v>
      </c>
      <c r="R130">
        <f t="shared" si="30"/>
        <v>-2.2357311332821261E-3</v>
      </c>
      <c r="S130">
        <f t="shared" si="25"/>
        <v>3.1712546541813325E-3</v>
      </c>
      <c r="T130">
        <f t="shared" si="26"/>
        <v>-5.9999697200961988E-3</v>
      </c>
      <c r="U130">
        <f t="shared" si="27"/>
        <v>-1.1855756528616923E-2</v>
      </c>
      <c r="V130">
        <f t="shared" si="28"/>
        <v>-7.5617915130432589E-4</v>
      </c>
      <c r="W130">
        <f t="shared" si="29"/>
        <v>3.9446986329692013E-3</v>
      </c>
    </row>
    <row r="131" spans="1:23" x14ac:dyDescent="0.3">
      <c r="A131" t="s">
        <v>378</v>
      </c>
      <c r="B131" s="1">
        <v>19.011395</v>
      </c>
      <c r="C131" s="1">
        <v>13.670569</v>
      </c>
      <c r="D131" s="1">
        <v>17.181920999999999</v>
      </c>
      <c r="E131" s="1">
        <v>28.699674999999999</v>
      </c>
      <c r="F131" s="1">
        <v>10.404298000000001</v>
      </c>
      <c r="G131" s="1">
        <v>6.6461480000000002</v>
      </c>
      <c r="H131" s="1">
        <v>4735.3901370000003</v>
      </c>
      <c r="I131" s="1">
        <v>36.216895999999998</v>
      </c>
      <c r="J131" s="1">
        <v>14.729241</v>
      </c>
      <c r="K131" s="1">
        <v>2.6600579999999998</v>
      </c>
      <c r="L131" s="1">
        <v>25.667197999999999</v>
      </c>
      <c r="M131">
        <f t="shared" si="24"/>
        <v>-2.3215954701919617E-2</v>
      </c>
      <c r="N131">
        <f t="shared" si="24"/>
        <v>9.3930189828872468E-3</v>
      </c>
      <c r="O131">
        <f t="shared" si="24"/>
        <v>-4.5300983290316177E-3</v>
      </c>
      <c r="P131">
        <f t="shared" si="24"/>
        <v>-5.294492658747596E-3</v>
      </c>
      <c r="Q131">
        <f t="shared" si="30"/>
        <v>-4.7016137275590619E-4</v>
      </c>
      <c r="R131">
        <f t="shared" si="30"/>
        <v>-1.0471998514698821E-2</v>
      </c>
      <c r="S131">
        <f t="shared" si="25"/>
        <v>-1.7142882575117535E-2</v>
      </c>
      <c r="T131">
        <f t="shared" si="26"/>
        <v>-2.2801413793275049E-2</v>
      </c>
      <c r="U131">
        <f t="shared" si="27"/>
        <v>-2.7353086898256551E-2</v>
      </c>
      <c r="V131">
        <f t="shared" si="28"/>
        <v>-2.1095501890918356E-2</v>
      </c>
      <c r="W131">
        <f t="shared" si="29"/>
        <v>-3.4135222519634523E-3</v>
      </c>
    </row>
    <row r="132" spans="1:23" x14ac:dyDescent="0.3">
      <c r="A132" t="s">
        <v>377</v>
      </c>
      <c r="B132" s="1">
        <v>19.463253000000002</v>
      </c>
      <c r="C132" s="1">
        <v>13.543355999999999</v>
      </c>
      <c r="D132" s="1">
        <v>17.260110999999998</v>
      </c>
      <c r="E132" s="1">
        <v>28.852433999999999</v>
      </c>
      <c r="F132" s="1">
        <v>10.409192000000001</v>
      </c>
      <c r="G132" s="1">
        <v>6.7164830000000002</v>
      </c>
      <c r="H132" s="1">
        <v>4751.6098629999997</v>
      </c>
      <c r="I132" s="1">
        <v>36.848587000000002</v>
      </c>
      <c r="J132" s="1">
        <v>15.072925</v>
      </c>
      <c r="K132" s="1">
        <v>2.7348650000000001</v>
      </c>
      <c r="L132" s="1">
        <v>26.220329</v>
      </c>
      <c r="M132">
        <f t="shared" si="24"/>
        <v>4.8895479794874852E-4</v>
      </c>
      <c r="N132">
        <f t="shared" si="24"/>
        <v>-1.9135374228439583E-2</v>
      </c>
      <c r="O132">
        <f t="shared" si="24"/>
        <v>-4.5095542532748167E-3</v>
      </c>
      <c r="P132">
        <f t="shared" si="24"/>
        <v>-1.819366753969176E-2</v>
      </c>
      <c r="Q132">
        <f t="shared" si="30"/>
        <v>-1.115759210627798E-2</v>
      </c>
      <c r="R132">
        <f t="shared" si="30"/>
        <v>-6.7389307269449805E-3</v>
      </c>
      <c r="S132">
        <f t="shared" si="25"/>
        <v>6.2729941172146031E-3</v>
      </c>
      <c r="T132">
        <f t="shared" si="26"/>
        <v>-5.1847076863311692E-3</v>
      </c>
      <c r="U132">
        <f t="shared" si="27"/>
        <v>3.7686307369493299E-3</v>
      </c>
      <c r="V132">
        <f t="shared" si="28"/>
        <v>-5.8866543777802427E-3</v>
      </c>
      <c r="W132">
        <f t="shared" si="29"/>
        <v>-2.0329037050526133E-2</v>
      </c>
    </row>
    <row r="133" spans="1:23" x14ac:dyDescent="0.3">
      <c r="A133" t="s">
        <v>376</v>
      </c>
      <c r="B133" s="1">
        <v>19.453741000000001</v>
      </c>
      <c r="C133" s="1">
        <v>13.807569000000001</v>
      </c>
      <c r="D133" s="1">
        <v>17.338298999999999</v>
      </c>
      <c r="E133" s="1">
        <v>29.387093</v>
      </c>
      <c r="F133" s="1">
        <v>10.526643999999999</v>
      </c>
      <c r="G133" s="1">
        <v>6.7620519999999997</v>
      </c>
      <c r="H133" s="1">
        <v>4850.2099609999996</v>
      </c>
      <c r="I133" s="1">
        <v>36.618876999999998</v>
      </c>
      <c r="J133" s="1">
        <v>15.151481</v>
      </c>
      <c r="K133" s="1">
        <v>2.7245970000000002</v>
      </c>
      <c r="L133" s="1">
        <v>26.375592999999999</v>
      </c>
      <c r="M133">
        <f t="shared" si="24"/>
        <v>-1.8713989756536931E-2</v>
      </c>
      <c r="N133">
        <f t="shared" si="24"/>
        <v>2.1306828491245433E-3</v>
      </c>
      <c r="O133">
        <f t="shared" si="24"/>
        <v>-4.4893094686661028E-3</v>
      </c>
      <c r="P133">
        <f t="shared" ref="P133:R196" si="31">+E133/E134-1</f>
        <v>-2.9634313596485051E-2</v>
      </c>
      <c r="Q133">
        <f t="shared" si="30"/>
        <v>0</v>
      </c>
      <c r="R133">
        <f t="shared" si="30"/>
        <v>-1.1584196753162357E-2</v>
      </c>
      <c r="S133">
        <f t="shared" si="25"/>
        <v>-1.1624937354208997E-2</v>
      </c>
      <c r="T133">
        <f t="shared" si="26"/>
        <v>-2.5883756923183898E-2</v>
      </c>
      <c r="U133">
        <f t="shared" si="27"/>
        <v>2.3134137516799713E-2</v>
      </c>
      <c r="V133">
        <f t="shared" si="28"/>
        <v>3.1890671108215418E-2</v>
      </c>
      <c r="W133">
        <f t="shared" si="29"/>
        <v>4.7646570556949541E-3</v>
      </c>
    </row>
    <row r="134" spans="1:23" x14ac:dyDescent="0.3">
      <c r="A134" t="s">
        <v>375</v>
      </c>
      <c r="B134" s="1">
        <v>19.824741</v>
      </c>
      <c r="C134" s="1">
        <v>13.778212</v>
      </c>
      <c r="D134" s="1">
        <v>17.416487</v>
      </c>
      <c r="E134" s="1">
        <v>30.284555000000001</v>
      </c>
      <c r="F134" s="1">
        <v>10.526643999999999</v>
      </c>
      <c r="G134" s="1">
        <v>6.8413029999999999</v>
      </c>
      <c r="H134" s="1">
        <v>4827.2099609999996</v>
      </c>
      <c r="I134" s="1">
        <v>37.049576000000002</v>
      </c>
      <c r="J134" s="1">
        <v>15.554079</v>
      </c>
      <c r="K134" s="1">
        <v>2.6629909999999999</v>
      </c>
      <c r="L134" s="1">
        <v>25.560452999999999</v>
      </c>
      <c r="M134">
        <f t="shared" ref="M134:R197" si="32">+B134/B135-1</f>
        <v>-7.6190324587153135E-3</v>
      </c>
      <c r="N134">
        <f t="shared" si="32"/>
        <v>-1.3314676020148797E-2</v>
      </c>
      <c r="O134">
        <f t="shared" si="32"/>
        <v>-1.109882211286084E-2</v>
      </c>
      <c r="P134">
        <f t="shared" si="31"/>
        <v>-1.1837921679116348E-2</v>
      </c>
      <c r="Q134">
        <f t="shared" si="30"/>
        <v>1.462264582862427E-2</v>
      </c>
      <c r="R134">
        <f t="shared" si="30"/>
        <v>5.2402125296078239E-3</v>
      </c>
      <c r="S134">
        <f t="shared" ref="S134:S197" si="33">+I134/I135-1</f>
        <v>8.8611151040927094E-3</v>
      </c>
      <c r="T134">
        <f t="shared" ref="T134:T197" si="34">+J134/J135-1</f>
        <v>1.0848729082218567E-2</v>
      </c>
      <c r="U134">
        <f t="shared" ref="U134:U197" si="35">+K134/K135-1</f>
        <v>3.0385050570185257E-3</v>
      </c>
      <c r="V134">
        <f t="shared" ref="V134:V197" si="36">+L134/L135-1</f>
        <v>-1.5162542928961464E-3</v>
      </c>
      <c r="W134">
        <f t="shared" ref="W134:W197" si="37">+H134/H135-1</f>
        <v>4.9234113260827606E-3</v>
      </c>
    </row>
    <row r="135" spans="1:23" x14ac:dyDescent="0.3">
      <c r="A135" t="s">
        <v>374</v>
      </c>
      <c r="B135" s="1">
        <v>19.976946000000002</v>
      </c>
      <c r="C135" s="1">
        <v>13.96414</v>
      </c>
      <c r="D135" s="1">
        <v>17.611958999999999</v>
      </c>
      <c r="E135" s="1">
        <v>30.647355999999998</v>
      </c>
      <c r="F135" s="1">
        <v>10.374935000000001</v>
      </c>
      <c r="G135" s="1">
        <v>6.8056400000000004</v>
      </c>
      <c r="H135" s="1">
        <v>4803.5600590000004</v>
      </c>
      <c r="I135" s="1">
        <v>36.724159</v>
      </c>
      <c r="J135" s="1">
        <v>15.387148</v>
      </c>
      <c r="K135" s="1">
        <v>2.6549239999999998</v>
      </c>
      <c r="L135" s="1">
        <v>25.599267999999999</v>
      </c>
      <c r="M135">
        <f t="shared" si="32"/>
        <v>-6.6224849422864551E-3</v>
      </c>
      <c r="N135">
        <f t="shared" si="32"/>
        <v>5.6378239321830392E-3</v>
      </c>
      <c r="O135">
        <f t="shared" si="32"/>
        <v>-5.5188412042760371E-3</v>
      </c>
      <c r="P135">
        <f t="shared" si="31"/>
        <v>-1.0480896113485905E-2</v>
      </c>
      <c r="Q135">
        <f t="shared" si="30"/>
        <v>-9.8085401518231974E-3</v>
      </c>
      <c r="R135">
        <f t="shared" si="30"/>
        <v>-2.2481528720971533E-2</v>
      </c>
      <c r="S135">
        <f t="shared" si="33"/>
        <v>-5.4433622433444073E-3</v>
      </c>
      <c r="T135">
        <f t="shared" si="34"/>
        <v>-2.8819367630968817E-2</v>
      </c>
      <c r="U135">
        <f t="shared" si="35"/>
        <v>4.997117411628782E-3</v>
      </c>
      <c r="V135">
        <f t="shared" si="36"/>
        <v>-7.5761133176410755E-4</v>
      </c>
      <c r="W135">
        <f t="shared" si="37"/>
        <v>1.9251868039613651E-3</v>
      </c>
    </row>
    <row r="136" spans="1:23" x14ac:dyDescent="0.3">
      <c r="A136" t="s">
        <v>373</v>
      </c>
      <c r="B136" s="1">
        <v>20.110125</v>
      </c>
      <c r="C136" s="1">
        <v>13.885854</v>
      </c>
      <c r="D136" s="1">
        <v>17.709696000000001</v>
      </c>
      <c r="E136" s="1">
        <v>30.971969999999999</v>
      </c>
      <c r="F136" s="1">
        <v>10.477706</v>
      </c>
      <c r="G136" s="1">
        <v>6.9621599999999999</v>
      </c>
      <c r="H136" s="1">
        <v>4794.330078</v>
      </c>
      <c r="I136" s="1">
        <v>36.925156000000001</v>
      </c>
      <c r="J136" s="1">
        <v>15.843755</v>
      </c>
      <c r="K136" s="1">
        <v>2.6417229999999998</v>
      </c>
      <c r="L136" s="1">
        <v>25.618677000000002</v>
      </c>
      <c r="M136">
        <f t="shared" si="32"/>
        <v>-7.5117714738743846E-3</v>
      </c>
      <c r="N136">
        <f t="shared" si="32"/>
        <v>-1.3898594247458873E-2</v>
      </c>
      <c r="O136">
        <f t="shared" si="32"/>
        <v>1.912266016411901E-2</v>
      </c>
      <c r="P136">
        <f t="shared" si="31"/>
        <v>0</v>
      </c>
      <c r="Q136">
        <f t="shared" si="30"/>
        <v>6.5820670807108517E-3</v>
      </c>
      <c r="R136">
        <f t="shared" si="30"/>
        <v>-9.8619015220641204E-3</v>
      </c>
      <c r="S136">
        <f t="shared" si="33"/>
        <v>-1.8111138327093768E-3</v>
      </c>
      <c r="T136">
        <f t="shared" si="34"/>
        <v>-1.4355459126846215E-2</v>
      </c>
      <c r="U136">
        <f t="shared" si="35"/>
        <v>-1.1090289247448482E-3</v>
      </c>
      <c r="V136">
        <f t="shared" si="36"/>
        <v>-5.6496532635393892E-3</v>
      </c>
      <c r="W136">
        <f t="shared" si="37"/>
        <v>-7.3953123553763822E-3</v>
      </c>
    </row>
    <row r="137" spans="1:23" x14ac:dyDescent="0.3">
      <c r="A137" t="s">
        <v>372</v>
      </c>
      <c r="B137" s="1">
        <v>20.262331</v>
      </c>
      <c r="C137" s="1">
        <v>14.081568000000001</v>
      </c>
      <c r="D137" s="1">
        <v>17.377393999999999</v>
      </c>
      <c r="E137" s="1">
        <v>30.971969999999999</v>
      </c>
      <c r="F137" s="1">
        <v>10.409192000000001</v>
      </c>
      <c r="G137" s="1">
        <v>7.031504</v>
      </c>
      <c r="H137" s="1">
        <v>4830.0498049999997</v>
      </c>
      <c r="I137" s="1">
        <v>36.992153000000002</v>
      </c>
      <c r="J137" s="1">
        <v>16.074511999999999</v>
      </c>
      <c r="K137" s="1">
        <v>2.6446559999999999</v>
      </c>
      <c r="L137" s="1">
        <v>25.764236</v>
      </c>
      <c r="M137">
        <f t="shared" si="32"/>
        <v>4.7169156418509495E-3</v>
      </c>
      <c r="N137">
        <f t="shared" si="32"/>
        <v>1.3380385025834496E-2</v>
      </c>
      <c r="O137">
        <f t="shared" si="32"/>
        <v>-1.9845520732981292E-2</v>
      </c>
      <c r="P137">
        <f t="shared" si="31"/>
        <v>7.4533141609520737E-3</v>
      </c>
      <c r="Q137">
        <f t="shared" si="30"/>
        <v>-1.4084016564668289E-3</v>
      </c>
      <c r="R137">
        <f t="shared" si="30"/>
        <v>8.3818331041893845E-3</v>
      </c>
      <c r="S137">
        <f t="shared" si="33"/>
        <v>-2.8378784503972909E-3</v>
      </c>
      <c r="T137">
        <f t="shared" si="34"/>
        <v>1.1742867641384658E-2</v>
      </c>
      <c r="U137">
        <f t="shared" si="35"/>
        <v>-6.3380956406572375E-3</v>
      </c>
      <c r="V137">
        <f t="shared" si="36"/>
        <v>8.7385621355180465E-3</v>
      </c>
      <c r="W137">
        <f t="shared" si="37"/>
        <v>6.3274276381701799E-3</v>
      </c>
    </row>
    <row r="138" spans="1:23" x14ac:dyDescent="0.3">
      <c r="A138" t="s">
        <v>371</v>
      </c>
      <c r="B138" s="1">
        <v>20.167204000000002</v>
      </c>
      <c r="C138" s="1">
        <v>13.895638999999999</v>
      </c>
      <c r="D138" s="1">
        <v>17.729240000000001</v>
      </c>
      <c r="E138" s="1">
        <v>30.742833999999998</v>
      </c>
      <c r="F138" s="1">
        <v>10.423873</v>
      </c>
      <c r="G138" s="1">
        <v>6.9730569999999998</v>
      </c>
      <c r="H138" s="1">
        <v>4799.6801759999998</v>
      </c>
      <c r="I138" s="1">
        <v>37.097431</v>
      </c>
      <c r="J138" s="1">
        <v>15.887942000000001</v>
      </c>
      <c r="K138" s="1">
        <v>2.6615250000000001</v>
      </c>
      <c r="L138" s="1">
        <v>25.541043999999999</v>
      </c>
      <c r="M138">
        <f t="shared" si="32"/>
        <v>-4.7133542161514885E-4</v>
      </c>
      <c r="N138">
        <f t="shared" si="32"/>
        <v>9.9573068268374865E-3</v>
      </c>
      <c r="O138">
        <f t="shared" si="32"/>
        <v>2.2098742311187358E-3</v>
      </c>
      <c r="P138">
        <f t="shared" si="31"/>
        <v>3.3376218638754951E-2</v>
      </c>
      <c r="Q138">
        <f t="shared" si="30"/>
        <v>1.41038804933169E-3</v>
      </c>
      <c r="R138">
        <f t="shared" si="30"/>
        <v>3.5643297035199417E-3</v>
      </c>
      <c r="S138">
        <f t="shared" si="33"/>
        <v>-1.2987036828722043E-2</v>
      </c>
      <c r="T138">
        <f t="shared" si="34"/>
        <v>1.2832509798304192E-2</v>
      </c>
      <c r="U138">
        <f t="shared" si="35"/>
        <v>4.2816388852646492E-2</v>
      </c>
      <c r="V138">
        <f t="shared" si="36"/>
        <v>1.8575806080664892E-2</v>
      </c>
      <c r="W138">
        <f t="shared" si="37"/>
        <v>1.3493108611679183E-2</v>
      </c>
    </row>
    <row r="139" spans="1:23" x14ac:dyDescent="0.3">
      <c r="A139" t="s">
        <v>370</v>
      </c>
      <c r="B139" s="1">
        <v>20.176714</v>
      </c>
      <c r="C139" s="1">
        <v>13.75864</v>
      </c>
      <c r="D139" s="1">
        <v>17.690147</v>
      </c>
      <c r="E139" s="1">
        <v>29.749894999999999</v>
      </c>
      <c r="F139" s="1">
        <v>10.409192000000001</v>
      </c>
      <c r="G139" s="1">
        <v>6.9482910000000002</v>
      </c>
      <c r="H139" s="1">
        <v>4735.7797849999997</v>
      </c>
      <c r="I139" s="1">
        <v>37.585555999999997</v>
      </c>
      <c r="J139" s="1">
        <v>15.686643</v>
      </c>
      <c r="K139" s="1">
        <v>2.5522469999999999</v>
      </c>
      <c r="L139" s="1">
        <v>25.075251000000002</v>
      </c>
      <c r="M139">
        <f t="shared" si="32"/>
        <v>6.6444866137636005E-3</v>
      </c>
      <c r="N139">
        <f t="shared" si="32"/>
        <v>-4.9540251997158835E-3</v>
      </c>
      <c r="O139">
        <f t="shared" si="32"/>
        <v>-3.3040000644550815E-3</v>
      </c>
      <c r="P139">
        <f t="shared" si="31"/>
        <v>2.4326021226520167E-2</v>
      </c>
      <c r="Q139">
        <f t="shared" si="30"/>
        <v>-8.8535954555694074E-3</v>
      </c>
      <c r="R139">
        <f t="shared" si="30"/>
        <v>-7.1232938179643934E-4</v>
      </c>
      <c r="S139">
        <f t="shared" si="33"/>
        <v>3.321415914500303E-3</v>
      </c>
      <c r="T139">
        <f t="shared" si="34"/>
        <v>-1.1447979030902E-2</v>
      </c>
      <c r="U139">
        <f t="shared" si="35"/>
        <v>3.749538386754514E-3</v>
      </c>
      <c r="V139">
        <f t="shared" si="36"/>
        <v>2.4990091520990854E-2</v>
      </c>
      <c r="W139">
        <f t="shared" si="37"/>
        <v>-8.5874298044097408E-4</v>
      </c>
    </row>
    <row r="140" spans="1:23" x14ac:dyDescent="0.3">
      <c r="A140" t="s">
        <v>369</v>
      </c>
      <c r="B140" s="1">
        <v>20.043534999999999</v>
      </c>
      <c r="C140" s="1">
        <v>13.82714</v>
      </c>
      <c r="D140" s="1">
        <v>17.748788999999999</v>
      </c>
      <c r="E140" s="1">
        <v>29.043385000000001</v>
      </c>
      <c r="F140" s="1">
        <v>10.502174</v>
      </c>
      <c r="G140" s="1">
        <v>6.9532439999999998</v>
      </c>
      <c r="H140" s="1">
        <v>4739.8500979999999</v>
      </c>
      <c r="I140" s="1">
        <v>37.461131999999999</v>
      </c>
      <c r="J140" s="1">
        <v>15.868302999999999</v>
      </c>
      <c r="K140" s="1">
        <v>2.542713</v>
      </c>
      <c r="L140" s="1">
        <v>24.463895999999998</v>
      </c>
      <c r="M140">
        <f t="shared" si="32"/>
        <v>-2.3675158469413926E-3</v>
      </c>
      <c r="N140">
        <f t="shared" si="32"/>
        <v>1.2177631971927783E-2</v>
      </c>
      <c r="O140">
        <f t="shared" si="32"/>
        <v>0</v>
      </c>
      <c r="P140">
        <f t="shared" si="31"/>
        <v>2.2864845045408533E-2</v>
      </c>
      <c r="Q140">
        <f t="shared" si="30"/>
        <v>1.5617544613612422E-2</v>
      </c>
      <c r="R140">
        <f t="shared" si="30"/>
        <v>5.4433454797846448E-3</v>
      </c>
      <c r="S140">
        <f t="shared" si="33"/>
        <v>-2.5553294203917165E-4</v>
      </c>
      <c r="T140">
        <f t="shared" si="34"/>
        <v>2.0846473231919571E-2</v>
      </c>
      <c r="U140">
        <f t="shared" si="35"/>
        <v>7.2631753247731634E-3</v>
      </c>
      <c r="V140">
        <f t="shared" si="36"/>
        <v>2.0234755914344316E-2</v>
      </c>
      <c r="W140">
        <f t="shared" si="37"/>
        <v>5.3131191219264462E-3</v>
      </c>
    </row>
    <row r="141" spans="1:23" x14ac:dyDescent="0.3">
      <c r="A141" t="s">
        <v>368</v>
      </c>
      <c r="B141" s="1">
        <v>20.091100999999998</v>
      </c>
      <c r="C141" s="1">
        <v>13.660784</v>
      </c>
      <c r="D141" s="1">
        <v>17.748788999999999</v>
      </c>
      <c r="E141" s="1">
        <v>28.394157</v>
      </c>
      <c r="F141" s="1">
        <v>10.340678</v>
      </c>
      <c r="G141" s="1">
        <v>6.9156000000000004</v>
      </c>
      <c r="H141" s="1">
        <v>4714.7998049999997</v>
      </c>
      <c r="I141" s="1">
        <v>37.470706999999997</v>
      </c>
      <c r="J141" s="1">
        <v>15.54426</v>
      </c>
      <c r="K141" s="1">
        <v>2.524378</v>
      </c>
      <c r="L141" s="1">
        <v>23.978693</v>
      </c>
      <c r="M141">
        <f t="shared" si="32"/>
        <v>-2.3578295641179414E-2</v>
      </c>
      <c r="N141">
        <f t="shared" si="32"/>
        <v>1.4347698723544688E-3</v>
      </c>
      <c r="O141">
        <f t="shared" si="32"/>
        <v>2.2074348424725443E-3</v>
      </c>
      <c r="P141">
        <f t="shared" si="31"/>
        <v>-1.6534351194216201E-2</v>
      </c>
      <c r="Q141">
        <f t="shared" si="30"/>
        <v>-3.3019002046760226E-3</v>
      </c>
      <c r="R141">
        <f t="shared" si="30"/>
        <v>-1.062933965560009E-2</v>
      </c>
      <c r="S141">
        <f t="shared" si="33"/>
        <v>2.5405999888403308E-2</v>
      </c>
      <c r="T141">
        <f t="shared" si="34"/>
        <v>-1.0934010346078327E-2</v>
      </c>
      <c r="U141">
        <f t="shared" si="35"/>
        <v>1.1636189421617704E-3</v>
      </c>
      <c r="V141">
        <f t="shared" si="36"/>
        <v>-3.6290158214302703E-3</v>
      </c>
      <c r="W141">
        <f t="shared" si="37"/>
        <v>-8.6731640103167029E-3</v>
      </c>
    </row>
    <row r="142" spans="1:23" x14ac:dyDescent="0.3">
      <c r="A142" t="s">
        <v>367</v>
      </c>
      <c r="B142" s="1">
        <v>20.576253999999999</v>
      </c>
      <c r="C142" s="1">
        <v>13.641211999999999</v>
      </c>
      <c r="D142" s="1">
        <v>17.709696000000001</v>
      </c>
      <c r="E142" s="1">
        <v>28.871528999999999</v>
      </c>
      <c r="F142" s="1">
        <v>10.374935000000001</v>
      </c>
      <c r="G142" s="1">
        <v>6.9898980000000002</v>
      </c>
      <c r="H142" s="1">
        <v>4756.0498049999997</v>
      </c>
      <c r="I142" s="1">
        <v>36.542313</v>
      </c>
      <c r="J142" s="1">
        <v>15.716100000000001</v>
      </c>
      <c r="K142" s="1">
        <v>2.5214439999999998</v>
      </c>
      <c r="L142" s="1">
        <v>24.066029</v>
      </c>
      <c r="M142">
        <f t="shared" si="32"/>
        <v>1.1220198834811068E-2</v>
      </c>
      <c r="N142">
        <f t="shared" si="32"/>
        <v>9.413423813336097E-3</v>
      </c>
      <c r="O142">
        <f t="shared" si="32"/>
        <v>-5.4882715235462509E-3</v>
      </c>
      <c r="P142">
        <f t="shared" si="31"/>
        <v>-5.9172166054336506E-3</v>
      </c>
      <c r="Q142">
        <f t="shared" si="30"/>
        <v>-2.6182845617616968E-2</v>
      </c>
      <c r="R142">
        <f t="shared" si="30"/>
        <v>1.5836526701049625E-2</v>
      </c>
      <c r="S142">
        <f t="shared" si="33"/>
        <v>7.3878704779686277E-3</v>
      </c>
      <c r="T142">
        <f t="shared" si="34"/>
        <v>-2.0801480975376707E-2</v>
      </c>
      <c r="U142">
        <f t="shared" si="35"/>
        <v>1.9572671691521215E-2</v>
      </c>
      <c r="V142">
        <f t="shared" si="36"/>
        <v>2.7766224591632582E-2</v>
      </c>
      <c r="W142">
        <f t="shared" si="37"/>
        <v>7.050935366047284E-3</v>
      </c>
    </row>
    <row r="143" spans="1:23" x14ac:dyDescent="0.3">
      <c r="A143" t="s">
        <v>366</v>
      </c>
      <c r="B143" s="1">
        <v>20.347946</v>
      </c>
      <c r="C143" s="1">
        <v>13.513999</v>
      </c>
      <c r="D143" s="1">
        <v>17.807428000000002</v>
      </c>
      <c r="E143" s="1">
        <v>29.043385000000001</v>
      </c>
      <c r="F143" s="1">
        <v>10.653884</v>
      </c>
      <c r="G143" s="1">
        <v>6.8809279999999999</v>
      </c>
      <c r="H143" s="1">
        <v>4722.75</v>
      </c>
      <c r="I143" s="1">
        <v>36.274323000000003</v>
      </c>
      <c r="J143" s="1">
        <v>16.049963000000002</v>
      </c>
      <c r="K143" s="1">
        <v>2.4730400000000001</v>
      </c>
      <c r="L143" s="1">
        <v>23.415859000000001</v>
      </c>
      <c r="M143">
        <f t="shared" si="32"/>
        <v>7.5364401070285858E-3</v>
      </c>
      <c r="N143">
        <f t="shared" si="32"/>
        <v>-3.8970072242944798E-2</v>
      </c>
      <c r="O143">
        <f t="shared" si="32"/>
        <v>1.1098651774058998E-2</v>
      </c>
      <c r="P143">
        <f t="shared" si="31"/>
        <v>-1.6806751990040225E-2</v>
      </c>
      <c r="Q143">
        <f t="shared" si="30"/>
        <v>-3.2874193209584512E-2</v>
      </c>
      <c r="R143">
        <f t="shared" si="30"/>
        <v>-7.2888068153128538E-3</v>
      </c>
      <c r="S143">
        <f t="shared" si="33"/>
        <v>2.1563402210099003E-2</v>
      </c>
      <c r="T143">
        <f t="shared" si="34"/>
        <v>1.0510021008583337E-2</v>
      </c>
      <c r="U143">
        <f t="shared" si="35"/>
        <v>-2.3667689025848038E-3</v>
      </c>
      <c r="V143">
        <f t="shared" si="36"/>
        <v>-2.0678577486384908E-3</v>
      </c>
      <c r="W143">
        <f t="shared" si="37"/>
        <v>-5.3871735072752447E-3</v>
      </c>
    </row>
    <row r="144" spans="1:23" x14ac:dyDescent="0.3">
      <c r="A144" t="s">
        <v>365</v>
      </c>
      <c r="B144" s="1">
        <v>20.195741999999999</v>
      </c>
      <c r="C144" s="1">
        <v>14.061996000000001</v>
      </c>
      <c r="D144" s="1">
        <v>17.611958999999999</v>
      </c>
      <c r="E144" s="1">
        <v>29.539853999999998</v>
      </c>
      <c r="F144" s="1">
        <v>11.016026999999999</v>
      </c>
      <c r="G144" s="1">
        <v>6.9314499999999999</v>
      </c>
      <c r="H144" s="1">
        <v>4748.330078</v>
      </c>
      <c r="I144" s="1">
        <v>35.508636000000003</v>
      </c>
      <c r="J144" s="1">
        <v>15.883032</v>
      </c>
      <c r="K144" s="1">
        <v>2.478907</v>
      </c>
      <c r="L144" s="1">
        <v>23.464379999999998</v>
      </c>
      <c r="M144">
        <f t="shared" si="32"/>
        <v>-1.8805668319330504E-3</v>
      </c>
      <c r="N144">
        <f t="shared" si="32"/>
        <v>0.10114948073214958</v>
      </c>
      <c r="O144">
        <f t="shared" si="32"/>
        <v>6.7039827833326182E-3</v>
      </c>
      <c r="P144">
        <f t="shared" si="31"/>
        <v>2.1122193256868371E-2</v>
      </c>
      <c r="Q144">
        <f t="shared" si="30"/>
        <v>-3.9824330273408037E-3</v>
      </c>
      <c r="R144">
        <f t="shared" si="30"/>
        <v>3.0486045335766265E-2</v>
      </c>
      <c r="S144">
        <f t="shared" si="33"/>
        <v>-8.5516057822955238E-3</v>
      </c>
      <c r="T144">
        <f t="shared" si="34"/>
        <v>-1.0097878766745061E-2</v>
      </c>
      <c r="U144">
        <f t="shared" si="35"/>
        <v>-2.9498347103117384E-3</v>
      </c>
      <c r="V144">
        <f t="shared" si="36"/>
        <v>2.3275566124231206E-2</v>
      </c>
      <c r="W144">
        <f t="shared" si="37"/>
        <v>1.260115520880345E-2</v>
      </c>
    </row>
    <row r="145" spans="1:23" x14ac:dyDescent="0.3">
      <c r="A145" t="s">
        <v>364</v>
      </c>
      <c r="B145" s="1">
        <v>20.233792999999999</v>
      </c>
      <c r="C145" s="1">
        <v>12.770288000000001</v>
      </c>
      <c r="D145" s="1">
        <v>17.494675000000001</v>
      </c>
      <c r="E145" s="1">
        <v>28.928813999999999</v>
      </c>
      <c r="F145" s="1">
        <v>11.060072999999999</v>
      </c>
      <c r="G145" s="1">
        <v>6.7263890000000002</v>
      </c>
      <c r="H145" s="1">
        <v>4689.2402339999999</v>
      </c>
      <c r="I145" s="1">
        <v>35.814911000000002</v>
      </c>
      <c r="J145" s="1">
        <v>16.045052999999999</v>
      </c>
      <c r="K145" s="1">
        <v>2.4862410000000001</v>
      </c>
      <c r="L145" s="1">
        <v>22.930655999999999</v>
      </c>
      <c r="M145">
        <f t="shared" si="32"/>
        <v>-2.6098882057510209E-2</v>
      </c>
      <c r="N145">
        <f t="shared" si="32"/>
        <v>-4.5766615361038099E-3</v>
      </c>
      <c r="O145">
        <f t="shared" si="32"/>
        <v>-6.6593386913970098E-3</v>
      </c>
      <c r="P145">
        <f t="shared" si="31"/>
        <v>-1.174172749845559E-2</v>
      </c>
      <c r="Q145">
        <f t="shared" si="30"/>
        <v>-6.1564874459343333E-3</v>
      </c>
      <c r="R145">
        <f t="shared" si="30"/>
        <v>-4.4179522516396563E-4</v>
      </c>
      <c r="S145">
        <f t="shared" si="33"/>
        <v>-2.6652559791360275E-3</v>
      </c>
      <c r="T145">
        <f t="shared" si="34"/>
        <v>-8.7959570128365305E-3</v>
      </c>
      <c r="U145">
        <f t="shared" si="35"/>
        <v>-3.8200558944616603E-3</v>
      </c>
      <c r="V145">
        <f t="shared" si="36"/>
        <v>-1.0054544736332605E-2</v>
      </c>
      <c r="W145">
        <f t="shared" si="37"/>
        <v>-8.749289211725797E-3</v>
      </c>
    </row>
    <row r="146" spans="1:23" x14ac:dyDescent="0.3">
      <c r="A146" t="s">
        <v>363</v>
      </c>
      <c r="B146" s="1">
        <v>20.776024</v>
      </c>
      <c r="C146" s="1">
        <v>12.829001999999999</v>
      </c>
      <c r="D146" s="1">
        <v>17.611958999999999</v>
      </c>
      <c r="E146" s="1">
        <v>29.272524000000001</v>
      </c>
      <c r="F146" s="1">
        <v>11.128586</v>
      </c>
      <c r="G146" s="1">
        <v>6.7293620000000001</v>
      </c>
      <c r="H146" s="1">
        <v>4730.6298829999996</v>
      </c>
      <c r="I146" s="1">
        <v>35.910621999999996</v>
      </c>
      <c r="J146" s="1">
        <v>16.187436999999999</v>
      </c>
      <c r="K146" s="1">
        <v>2.4957750000000001</v>
      </c>
      <c r="L146" s="1">
        <v>23.163554999999999</v>
      </c>
      <c r="M146">
        <f t="shared" si="32"/>
        <v>4.0495438722872423E-2</v>
      </c>
      <c r="N146">
        <f t="shared" si="32"/>
        <v>-2.2831062657373558E-3</v>
      </c>
      <c r="O146">
        <f t="shared" si="32"/>
        <v>2.1542047179204271E-2</v>
      </c>
      <c r="P146">
        <f t="shared" si="31"/>
        <v>1.1213798247527995E-2</v>
      </c>
      <c r="Q146">
        <f t="shared" si="30"/>
        <v>1.0217749103193174E-2</v>
      </c>
      <c r="R146">
        <f t="shared" si="30"/>
        <v>-1.7926653910664281E-2</v>
      </c>
      <c r="S146">
        <f t="shared" si="33"/>
        <v>2.9403993929395522E-3</v>
      </c>
      <c r="T146">
        <f t="shared" si="34"/>
        <v>3.6530322467920318E-3</v>
      </c>
      <c r="U146">
        <f t="shared" si="35"/>
        <v>-9.6044489277287148E-3</v>
      </c>
      <c r="V146">
        <f t="shared" si="36"/>
        <v>1.7910453008296523E-2</v>
      </c>
      <c r="W146">
        <f t="shared" si="37"/>
        <v>-1.6061555818531748E-3</v>
      </c>
    </row>
    <row r="147" spans="1:23" x14ac:dyDescent="0.3">
      <c r="A147" t="s">
        <v>362</v>
      </c>
      <c r="B147" s="1">
        <v>19.967434000000001</v>
      </c>
      <c r="C147" s="1">
        <v>12.858359</v>
      </c>
      <c r="D147" s="1">
        <v>17.240562000000001</v>
      </c>
      <c r="E147" s="1">
        <v>28.947908000000002</v>
      </c>
      <c r="F147" s="1">
        <v>11.016026999999999</v>
      </c>
      <c r="G147" s="1">
        <v>6.8521989999999997</v>
      </c>
      <c r="H147" s="1">
        <v>4738.2402339999999</v>
      </c>
      <c r="I147" s="1">
        <v>35.805340000000001</v>
      </c>
      <c r="J147" s="1">
        <v>16.128519000000001</v>
      </c>
      <c r="K147" s="1">
        <v>2.5199780000000001</v>
      </c>
      <c r="L147" s="1">
        <v>22.755984999999999</v>
      </c>
      <c r="M147">
        <f t="shared" si="32"/>
        <v>3.5009858737987232E-2</v>
      </c>
      <c r="N147">
        <f t="shared" si="32"/>
        <v>2.5761056678297534E-2</v>
      </c>
      <c r="O147">
        <f t="shared" si="32"/>
        <v>-1.8910006990891848E-2</v>
      </c>
      <c r="P147">
        <f t="shared" si="31"/>
        <v>4.6238745660280411E-2</v>
      </c>
      <c r="Q147">
        <f t="shared" si="30"/>
        <v>3.351688157873256E-2</v>
      </c>
      <c r="R147">
        <f t="shared" si="30"/>
        <v>4.8030266577691716E-2</v>
      </c>
      <c r="S147">
        <f t="shared" si="33"/>
        <v>-1.334748548908915E-3</v>
      </c>
      <c r="T147">
        <f t="shared" si="34"/>
        <v>5.7970982169945007E-2</v>
      </c>
      <c r="U147">
        <f t="shared" si="35"/>
        <v>1.3868800208569176E-2</v>
      </c>
      <c r="V147">
        <f t="shared" si="36"/>
        <v>1.427338001745504E-2</v>
      </c>
      <c r="W147">
        <f t="shared" si="37"/>
        <v>3.0188806094750165E-2</v>
      </c>
    </row>
    <row r="148" spans="1:23" x14ac:dyDescent="0.3">
      <c r="A148" t="s">
        <v>361</v>
      </c>
      <c r="B148" s="1">
        <v>19.292023</v>
      </c>
      <c r="C148" s="1">
        <v>12.535432999999999</v>
      </c>
      <c r="D148" s="1">
        <v>17.572865</v>
      </c>
      <c r="E148" s="1">
        <v>27.668548999999999</v>
      </c>
      <c r="F148" s="1">
        <v>10.658778</v>
      </c>
      <c r="G148" s="1">
        <v>6.5381689999999999</v>
      </c>
      <c r="H148" s="1">
        <v>4599.3901370000003</v>
      </c>
      <c r="I148" s="1">
        <v>35.853194999999999</v>
      </c>
      <c r="J148" s="1">
        <v>15.244764999999999</v>
      </c>
      <c r="K148" s="1">
        <v>2.4855070000000001</v>
      </c>
      <c r="L148" s="1">
        <v>22.435751</v>
      </c>
      <c r="M148">
        <f t="shared" si="32"/>
        <v>3.4637454941841561E-3</v>
      </c>
      <c r="N148">
        <f t="shared" si="32"/>
        <v>-1.2336114323326264E-2</v>
      </c>
      <c r="O148">
        <f t="shared" si="32"/>
        <v>-2.2826107809137963E-2</v>
      </c>
      <c r="P148">
        <f t="shared" si="31"/>
        <v>-1.3783650252019441E-3</v>
      </c>
      <c r="Q148">
        <f t="shared" si="30"/>
        <v>-1.5815606595788623E-2</v>
      </c>
      <c r="R148">
        <f t="shared" si="30"/>
        <v>-4.8252096312407788E-3</v>
      </c>
      <c r="S148">
        <f t="shared" si="33"/>
        <v>-1.2130725146328736E-2</v>
      </c>
      <c r="T148">
        <f t="shared" si="34"/>
        <v>-8.9371260540891395E-3</v>
      </c>
      <c r="U148">
        <f t="shared" si="35"/>
        <v>-4.1141529184320902E-3</v>
      </c>
      <c r="V148">
        <f t="shared" si="36"/>
        <v>-2.3648627624914487E-2</v>
      </c>
      <c r="W148">
        <f t="shared" si="37"/>
        <v>-2.5286363177765558E-3</v>
      </c>
    </row>
    <row r="149" spans="1:23" x14ac:dyDescent="0.3">
      <c r="A149" t="s">
        <v>360</v>
      </c>
      <c r="B149" s="1">
        <v>19.225431</v>
      </c>
      <c r="C149" s="1">
        <v>12.692003</v>
      </c>
      <c r="D149" s="1">
        <v>17.983355</v>
      </c>
      <c r="E149" s="1">
        <v>27.706738999999999</v>
      </c>
      <c r="F149" s="1">
        <v>10.830062</v>
      </c>
      <c r="G149" s="1">
        <v>6.5698699999999999</v>
      </c>
      <c r="H149" s="1">
        <v>4611.0498049999997</v>
      </c>
      <c r="I149" s="1">
        <v>36.293461000000001</v>
      </c>
      <c r="J149" s="1">
        <v>15.382237999999999</v>
      </c>
      <c r="K149" s="1">
        <v>2.4957750000000001</v>
      </c>
      <c r="L149" s="1">
        <v>22.979177</v>
      </c>
    </row>
    <row r="150" spans="1:23" x14ac:dyDescent="0.3">
      <c r="A150" t="s">
        <v>359</v>
      </c>
      <c r="B150" s="1">
        <v>18.740278</v>
      </c>
      <c r="C150" s="1">
        <v>12.662646000000001</v>
      </c>
      <c r="D150" s="1">
        <v>17.690147</v>
      </c>
      <c r="E150" s="1">
        <v>27.477599999999999</v>
      </c>
      <c r="F150" s="1">
        <v>10.62452</v>
      </c>
      <c r="G150" s="1">
        <v>6.6094949999999999</v>
      </c>
      <c r="H150" s="1"/>
      <c r="I150" s="1">
        <v>35.920192999999998</v>
      </c>
      <c r="J150" s="1">
        <v>15.362598999999999</v>
      </c>
      <c r="K150" s="1">
        <v>2.478907</v>
      </c>
      <c r="L150" s="1">
        <v>22.668648000000001</v>
      </c>
    </row>
    <row r="151" spans="1:23" x14ac:dyDescent="0.3">
      <c r="A151" t="s">
        <v>358</v>
      </c>
      <c r="B151" s="1">
        <v>18.8687</v>
      </c>
      <c r="C151" s="1">
        <v>12.819217</v>
      </c>
      <c r="D151" s="1">
        <v>17.748788999999999</v>
      </c>
      <c r="E151" s="1">
        <v>27.611263000000001</v>
      </c>
      <c r="F151" s="1">
        <v>10.668564999999999</v>
      </c>
      <c r="G151" s="1">
        <v>6.6649700000000003</v>
      </c>
      <c r="H151" s="1">
        <v>4622.8398440000001</v>
      </c>
      <c r="I151" s="1">
        <v>35.948906000000001</v>
      </c>
      <c r="J151" s="1">
        <v>15.460793000000001</v>
      </c>
      <c r="K151" s="1">
        <v>2.4935749999999999</v>
      </c>
      <c r="L151" s="1">
        <v>22.600721</v>
      </c>
      <c r="M151">
        <f t="shared" si="32"/>
        <v>8.1320777136917322E-3</v>
      </c>
      <c r="N151">
        <f t="shared" si="32"/>
        <v>1.4717307583163919E-2</v>
      </c>
      <c r="O151">
        <f t="shared" si="32"/>
        <v>1.5660028355729105E-2</v>
      </c>
      <c r="P151">
        <f t="shared" si="31"/>
        <v>-4.1323551073446652E-3</v>
      </c>
      <c r="Q151">
        <f t="shared" si="30"/>
        <v>6.4634588585037456E-3</v>
      </c>
      <c r="R151">
        <f t="shared" si="30"/>
        <v>2.3837740934138374E-3</v>
      </c>
      <c r="S151">
        <f t="shared" si="33"/>
        <v>1.1308574376948322E-2</v>
      </c>
      <c r="T151">
        <f t="shared" si="34"/>
        <v>4.1452966584070161E-3</v>
      </c>
      <c r="U151">
        <f t="shared" si="35"/>
        <v>1.0401125488572083E-2</v>
      </c>
      <c r="V151">
        <f t="shared" si="36"/>
        <v>1.3931285466835419E-2</v>
      </c>
      <c r="W151">
        <f t="shared" si="37"/>
        <v>8.4707668574368622E-3</v>
      </c>
    </row>
    <row r="152" spans="1:23" x14ac:dyDescent="0.3">
      <c r="A152" t="s">
        <v>357</v>
      </c>
      <c r="B152" s="1">
        <v>18.716495999999999</v>
      </c>
      <c r="C152" s="1">
        <v>12.633289</v>
      </c>
      <c r="D152" s="1">
        <v>17.475128000000002</v>
      </c>
      <c r="E152" s="1">
        <v>27.725836000000001</v>
      </c>
      <c r="F152" s="1">
        <v>10.600052</v>
      </c>
      <c r="G152" s="1">
        <v>6.6491199999999999</v>
      </c>
      <c r="H152" s="1">
        <v>4584.0097660000001</v>
      </c>
      <c r="I152" s="1">
        <v>35.546920999999998</v>
      </c>
      <c r="J152" s="1">
        <v>15.396967999999999</v>
      </c>
      <c r="K152" s="1">
        <v>2.4679060000000002</v>
      </c>
      <c r="L152" s="1">
        <v>22.290189999999999</v>
      </c>
      <c r="M152">
        <f t="shared" si="32"/>
        <v>1.9166032155153889E-2</v>
      </c>
      <c r="N152">
        <f t="shared" si="32"/>
        <v>1.4937060559498505E-2</v>
      </c>
      <c r="O152">
        <f t="shared" si="32"/>
        <v>-1.1173114104719994E-3</v>
      </c>
      <c r="P152">
        <f t="shared" si="31"/>
        <v>7.633616638533125E-3</v>
      </c>
      <c r="Q152">
        <f t="shared" si="30"/>
        <v>4.172600887115907E-3</v>
      </c>
      <c r="R152">
        <f t="shared" si="30"/>
        <v>8.2620190503339686E-3</v>
      </c>
      <c r="S152">
        <f t="shared" si="33"/>
        <v>1.0781884159107857E-3</v>
      </c>
      <c r="T152">
        <f t="shared" si="34"/>
        <v>2.5171655186589037E-2</v>
      </c>
      <c r="U152">
        <f t="shared" si="35"/>
        <v>2.0846428333600731E-3</v>
      </c>
      <c r="V152">
        <f t="shared" si="36"/>
        <v>1.772269753845146E-2</v>
      </c>
      <c r="W152">
        <f t="shared" si="37"/>
        <v>1.1875786213697781E-2</v>
      </c>
    </row>
    <row r="153" spans="1:23" x14ac:dyDescent="0.3">
      <c r="A153" t="s">
        <v>356</v>
      </c>
      <c r="B153" s="1">
        <v>18.364521</v>
      </c>
      <c r="C153" s="1">
        <v>12.447362</v>
      </c>
      <c r="D153" s="1">
        <v>17.494675000000001</v>
      </c>
      <c r="E153" s="1">
        <v>27.515791</v>
      </c>
      <c r="F153" s="1">
        <v>10.556006</v>
      </c>
      <c r="G153" s="1">
        <v>6.5946350000000002</v>
      </c>
      <c r="H153" s="1">
        <v>4530.2099609999996</v>
      </c>
      <c r="I153" s="1">
        <v>35.508636000000003</v>
      </c>
      <c r="J153" s="1">
        <v>15.018917</v>
      </c>
      <c r="K153" s="1">
        <v>2.4627720000000002</v>
      </c>
      <c r="L153" s="1">
        <v>21.902027</v>
      </c>
      <c r="M153">
        <f t="shared" si="32"/>
        <v>1.5518118803290903E-2</v>
      </c>
      <c r="N153">
        <f t="shared" si="32"/>
        <v>1.6786578970864108E-2</v>
      </c>
      <c r="O153">
        <f t="shared" si="32"/>
        <v>1.2443418292388486E-2</v>
      </c>
      <c r="P153">
        <f t="shared" si="31"/>
        <v>4.8814690283727202E-3</v>
      </c>
      <c r="Q153">
        <f t="shared" si="30"/>
        <v>-1.0096429269057627E-2</v>
      </c>
      <c r="R153">
        <f t="shared" si="30"/>
        <v>1.6180742563364214E-2</v>
      </c>
      <c r="S153">
        <f t="shared" si="33"/>
        <v>-5.89498085063489E-3</v>
      </c>
      <c r="T153">
        <f t="shared" si="34"/>
        <v>6.5811158468069841E-3</v>
      </c>
      <c r="U153">
        <f t="shared" si="35"/>
        <v>8.7114371761984888E-3</v>
      </c>
      <c r="V153">
        <f t="shared" si="36"/>
        <v>1.3308695863474274E-3</v>
      </c>
      <c r="W153">
        <f t="shared" si="37"/>
        <v>6.6529210173924547E-3</v>
      </c>
    </row>
    <row r="154" spans="1:23" x14ac:dyDescent="0.3">
      <c r="A154" t="s">
        <v>355</v>
      </c>
      <c r="B154" s="1">
        <v>18.083893</v>
      </c>
      <c r="C154" s="1">
        <v>12.241863</v>
      </c>
      <c r="D154" s="1">
        <v>17.279657</v>
      </c>
      <c r="E154" s="1">
        <v>27.382126</v>
      </c>
      <c r="F154" s="1">
        <v>10.663671000000001</v>
      </c>
      <c r="G154" s="1">
        <v>6.4896279999999997</v>
      </c>
      <c r="H154" s="1">
        <v>4500.2700199999999</v>
      </c>
      <c r="I154" s="1">
        <v>35.719200000000001</v>
      </c>
      <c r="J154" s="1">
        <v>14.920722</v>
      </c>
      <c r="K154" s="1">
        <v>2.441503</v>
      </c>
      <c r="L154" s="1">
        <v>21.872917000000001</v>
      </c>
      <c r="M154">
        <f t="shared" si="32"/>
        <v>2.3418505150455848E-2</v>
      </c>
      <c r="N154">
        <f t="shared" si="32"/>
        <v>6.4360174284245897E-3</v>
      </c>
      <c r="O154">
        <f t="shared" si="32"/>
        <v>-1.1300518648081903E-3</v>
      </c>
      <c r="P154">
        <f t="shared" si="31"/>
        <v>7.0224617345544527E-3</v>
      </c>
      <c r="Q154">
        <f t="shared" si="30"/>
        <v>5.0737810441801035E-3</v>
      </c>
      <c r="R154">
        <f t="shared" si="30"/>
        <v>1.0696170450124054E-3</v>
      </c>
      <c r="S154">
        <f t="shared" si="33"/>
        <v>3.4955691250873056E-3</v>
      </c>
      <c r="T154">
        <f t="shared" si="34"/>
        <v>5.6255014825854488E-3</v>
      </c>
      <c r="U154">
        <f t="shared" si="35"/>
        <v>4.8292656627029196E-3</v>
      </c>
      <c r="V154">
        <f t="shared" si="36"/>
        <v>3.1107091152088984E-2</v>
      </c>
      <c r="W154">
        <f t="shared" si="37"/>
        <v>7.0106287875038031E-3</v>
      </c>
    </row>
    <row r="155" spans="1:23" x14ac:dyDescent="0.3">
      <c r="A155" t="s">
        <v>354</v>
      </c>
      <c r="B155" s="1">
        <v>17.670086000000001</v>
      </c>
      <c r="C155" s="1">
        <v>12.163577999999999</v>
      </c>
      <c r="D155" s="1">
        <v>17.299206000000002</v>
      </c>
      <c r="E155" s="1">
        <v>27.191177</v>
      </c>
      <c r="F155" s="1">
        <v>10.609838999999999</v>
      </c>
      <c r="G155" s="1">
        <v>6.4826940000000004</v>
      </c>
      <c r="H155" s="1">
        <v>4468.9399409999996</v>
      </c>
      <c r="I155" s="1">
        <v>35.594776000000003</v>
      </c>
      <c r="J155" s="1">
        <v>14.837255000000001</v>
      </c>
      <c r="K155" s="1">
        <v>2.4297689999999998</v>
      </c>
      <c r="L155" s="1">
        <v>21.213041</v>
      </c>
      <c r="M155">
        <f t="shared" si="32"/>
        <v>-3.4814249895916527E-2</v>
      </c>
      <c r="N155">
        <f t="shared" si="32"/>
        <v>-1.1137527218237575E-2</v>
      </c>
      <c r="O155">
        <f t="shared" si="32"/>
        <v>-1.3377954270193393E-2</v>
      </c>
      <c r="P155">
        <f t="shared" si="31"/>
        <v>-1.3850359956238401E-2</v>
      </c>
      <c r="Q155">
        <f t="shared" si="30"/>
        <v>-2.8238481039509433E-2</v>
      </c>
      <c r="R155">
        <f t="shared" si="30"/>
        <v>-3.2668056678210489E-2</v>
      </c>
      <c r="S155">
        <f t="shared" si="33"/>
        <v>-1.8474551224686331E-2</v>
      </c>
      <c r="T155">
        <f t="shared" si="34"/>
        <v>-3.6352157126000262E-2</v>
      </c>
      <c r="U155">
        <f t="shared" si="35"/>
        <v>-3.128644234230904E-2</v>
      </c>
      <c r="V155">
        <f t="shared" si="36"/>
        <v>-3.7852077061672262E-2</v>
      </c>
      <c r="W155">
        <f t="shared" si="37"/>
        <v>-2.327217672153159E-2</v>
      </c>
    </row>
    <row r="156" spans="1:23" x14ac:dyDescent="0.3">
      <c r="A156" t="s">
        <v>353</v>
      </c>
      <c r="B156" s="1">
        <v>18.307445999999999</v>
      </c>
      <c r="C156" s="1">
        <v>12.300576</v>
      </c>
      <c r="D156" s="1">
        <v>17.533771999999999</v>
      </c>
      <c r="E156" s="1">
        <v>27.573073999999998</v>
      </c>
      <c r="F156" s="1">
        <v>10.918151</v>
      </c>
      <c r="G156" s="1">
        <v>6.7016229999999997</v>
      </c>
      <c r="H156" s="1">
        <v>4575.419922</v>
      </c>
      <c r="I156" s="1">
        <v>36.264750999999997</v>
      </c>
      <c r="J156" s="1">
        <v>15.396967999999999</v>
      </c>
      <c r="K156" s="1">
        <v>2.5082430000000002</v>
      </c>
      <c r="L156" s="1">
        <v>22.047588000000001</v>
      </c>
      <c r="M156">
        <f t="shared" si="32"/>
        <v>-9.7760797326380544E-3</v>
      </c>
      <c r="N156">
        <f t="shared" si="32"/>
        <v>1.4527769747621155E-2</v>
      </c>
      <c r="O156">
        <f t="shared" si="32"/>
        <v>1.1161785481432762E-3</v>
      </c>
      <c r="P156">
        <f t="shared" si="31"/>
        <v>2.1939071276213529E-2</v>
      </c>
      <c r="Q156">
        <f t="shared" si="30"/>
        <v>1.9186922625477942E-2</v>
      </c>
      <c r="R156">
        <f t="shared" si="30"/>
        <v>-1.5283940966610121E-2</v>
      </c>
      <c r="S156">
        <f t="shared" si="33"/>
        <v>5.5732404378590061E-3</v>
      </c>
      <c r="T156">
        <f t="shared" si="34"/>
        <v>9.3338500741808605E-3</v>
      </c>
      <c r="U156">
        <f t="shared" si="35"/>
        <v>1.7554357615421345E-2</v>
      </c>
      <c r="V156">
        <f t="shared" si="36"/>
        <v>1.3380848398738321E-2</v>
      </c>
      <c r="W156">
        <f t="shared" si="37"/>
        <v>-7.7097868499531597E-4</v>
      </c>
    </row>
    <row r="157" spans="1:23" x14ac:dyDescent="0.3">
      <c r="A157" t="s">
        <v>352</v>
      </c>
      <c r="B157" s="1">
        <v>18.488188000000001</v>
      </c>
      <c r="C157" s="1">
        <v>12.124435</v>
      </c>
      <c r="D157" s="1">
        <v>17.514223000000001</v>
      </c>
      <c r="E157" s="1">
        <v>26.981133</v>
      </c>
      <c r="F157" s="1">
        <v>10.712609</v>
      </c>
      <c r="G157" s="1">
        <v>6.8056400000000004</v>
      </c>
      <c r="H157" s="1">
        <v>4578.9501950000003</v>
      </c>
      <c r="I157" s="1">
        <v>36.063758999999997</v>
      </c>
      <c r="J157" s="1">
        <v>15.254583999999999</v>
      </c>
      <c r="K157" s="1">
        <v>2.4649719999999999</v>
      </c>
      <c r="L157" s="1">
        <v>21.756468000000002</v>
      </c>
      <c r="M157">
        <f t="shared" si="32"/>
        <v>1.8605897077554223E-2</v>
      </c>
      <c r="N157">
        <f t="shared" si="32"/>
        <v>-4.8191977968254918E-3</v>
      </c>
      <c r="O157">
        <f t="shared" si="32"/>
        <v>1.818181923881057E-2</v>
      </c>
      <c r="P157">
        <f t="shared" si="31"/>
        <v>-2.282148411682583E-2</v>
      </c>
      <c r="Q157">
        <f t="shared" si="30"/>
        <v>-1.4407944200554579E-2</v>
      </c>
      <c r="R157">
        <f t="shared" si="30"/>
        <v>-1.2647370827829962E-2</v>
      </c>
      <c r="S157">
        <f t="shared" si="33"/>
        <v>-1.5673909234177996E-2</v>
      </c>
      <c r="T157">
        <f t="shared" si="34"/>
        <v>4.851149194394333E-3</v>
      </c>
      <c r="U157">
        <f t="shared" si="35"/>
        <v>0</v>
      </c>
      <c r="V157">
        <f t="shared" si="36"/>
        <v>-2.0532935492298288E-2</v>
      </c>
      <c r="W157">
        <f t="shared" si="37"/>
        <v>-5.2334639272947348E-3</v>
      </c>
    </row>
    <row r="158" spans="1:23" x14ac:dyDescent="0.3">
      <c r="A158" t="s">
        <v>351</v>
      </c>
      <c r="B158" s="1">
        <v>18.150482</v>
      </c>
      <c r="C158" s="1">
        <v>12.183147999999999</v>
      </c>
      <c r="D158" s="1">
        <v>17.201468999999999</v>
      </c>
      <c r="E158" s="1">
        <v>27.611263000000001</v>
      </c>
      <c r="F158" s="1">
        <v>10.869211999999999</v>
      </c>
      <c r="G158" s="1">
        <v>6.8928159999999998</v>
      </c>
      <c r="H158" s="1">
        <v>4603.0400390000004</v>
      </c>
      <c r="I158" s="1">
        <v>36.638019999999997</v>
      </c>
      <c r="J158" s="1">
        <v>15.180939</v>
      </c>
      <c r="K158" s="1">
        <v>2.4649719999999999</v>
      </c>
      <c r="L158" s="1">
        <v>22.212557</v>
      </c>
      <c r="M158">
        <f t="shared" si="32"/>
        <v>1.0593185185977072E-2</v>
      </c>
      <c r="N158">
        <f t="shared" si="32"/>
        <v>1.7988506553884509E-2</v>
      </c>
      <c r="O158">
        <f t="shared" si="32"/>
        <v>1.2658265853076944E-2</v>
      </c>
      <c r="P158">
        <f t="shared" si="31"/>
        <v>3.5075107739792166E-2</v>
      </c>
      <c r="Q158">
        <f t="shared" si="30"/>
        <v>1.5082208007758169E-2</v>
      </c>
      <c r="R158">
        <f t="shared" si="30"/>
        <v>-2.5080415686369983E-2</v>
      </c>
      <c r="S158">
        <f t="shared" si="33"/>
        <v>2.847927107869741E-2</v>
      </c>
      <c r="T158">
        <f t="shared" si="34"/>
        <v>1.643652967449527E-2</v>
      </c>
      <c r="U158">
        <f t="shared" si="35"/>
        <v>-2.97683503223789E-4</v>
      </c>
      <c r="V158">
        <f t="shared" si="36"/>
        <v>3.2476310859238522E-2</v>
      </c>
      <c r="W158">
        <f t="shared" si="37"/>
        <v>1.821701480648974E-3</v>
      </c>
    </row>
    <row r="159" spans="1:23" x14ac:dyDescent="0.3">
      <c r="A159" t="s">
        <v>350</v>
      </c>
      <c r="B159" s="1">
        <v>17.960225999999999</v>
      </c>
      <c r="C159" s="1">
        <v>11.967864000000001</v>
      </c>
      <c r="D159" s="1">
        <v>16.986450000000001</v>
      </c>
      <c r="E159" s="1">
        <v>26.675612999999998</v>
      </c>
      <c r="F159" s="1">
        <v>10.707716</v>
      </c>
      <c r="G159" s="1">
        <v>7.070138</v>
      </c>
      <c r="H159" s="1">
        <v>4594.669922</v>
      </c>
      <c r="I159" s="1">
        <v>35.623488999999999</v>
      </c>
      <c r="J159" s="1">
        <v>14.935452</v>
      </c>
      <c r="K159" s="1">
        <v>2.465706</v>
      </c>
      <c r="L159" s="1">
        <v>21.513866</v>
      </c>
      <c r="M159">
        <f t="shared" si="32"/>
        <v>4.7897545854282964E-3</v>
      </c>
      <c r="N159">
        <f t="shared" si="32"/>
        <v>-8.1702170292174969E-4</v>
      </c>
      <c r="O159">
        <f t="shared" si="32"/>
        <v>-1.2500037060788172E-2</v>
      </c>
      <c r="P159">
        <f t="shared" si="31"/>
        <v>2.1521638888937211E-3</v>
      </c>
      <c r="Q159">
        <f t="shared" si="30"/>
        <v>1.7674436286739148E-2</v>
      </c>
      <c r="R159">
        <f t="shared" si="30"/>
        <v>-3.9079296397964702E-3</v>
      </c>
      <c r="S159">
        <f t="shared" si="33"/>
        <v>-2.1556310291510949E-2</v>
      </c>
      <c r="T159">
        <f t="shared" si="34"/>
        <v>2.2521072470622183E-2</v>
      </c>
      <c r="U159">
        <f t="shared" si="35"/>
        <v>-1.0303145853193585E-2</v>
      </c>
      <c r="V159">
        <f t="shared" si="36"/>
        <v>6.8119107423905145E-3</v>
      </c>
      <c r="W159">
        <f t="shared" si="37"/>
        <v>9.0701620862769783E-3</v>
      </c>
    </row>
    <row r="160" spans="1:23" x14ac:dyDescent="0.3">
      <c r="A160" t="s">
        <v>349</v>
      </c>
      <c r="B160" s="1">
        <v>17.874611000000002</v>
      </c>
      <c r="C160" s="1">
        <v>11.977650000000001</v>
      </c>
      <c r="D160" s="1">
        <v>17.201468999999999</v>
      </c>
      <c r="E160" s="1">
        <v>26.618326</v>
      </c>
      <c r="F160" s="1">
        <v>10.521750000000001</v>
      </c>
      <c r="G160" s="1">
        <v>7.0978760000000003</v>
      </c>
      <c r="H160" s="1">
        <v>4553.3701170000004</v>
      </c>
      <c r="I160" s="1">
        <v>36.408318000000001</v>
      </c>
      <c r="J160" s="1">
        <v>14.606498</v>
      </c>
      <c r="K160" s="1">
        <v>2.4913750000000001</v>
      </c>
      <c r="L160" s="1">
        <v>21.368307000000001</v>
      </c>
      <c r="M160">
        <f t="shared" si="32"/>
        <v>9.4010459373026212E-3</v>
      </c>
      <c r="N160">
        <f t="shared" si="32"/>
        <v>-1.2106543521409385E-2</v>
      </c>
      <c r="O160">
        <f t="shared" si="32"/>
        <v>1.7341049009058418E-2</v>
      </c>
      <c r="P160">
        <f t="shared" si="31"/>
        <v>2.8023512862939359E-2</v>
      </c>
      <c r="Q160">
        <f t="shared" si="30"/>
        <v>7.0258037112491678E-3</v>
      </c>
      <c r="R160">
        <f t="shared" si="30"/>
        <v>1.0008479495174694E-2</v>
      </c>
      <c r="S160">
        <f t="shared" si="33"/>
        <v>1.1971303604054517E-2</v>
      </c>
      <c r="T160">
        <f t="shared" si="34"/>
        <v>1.6398982076958557E-2</v>
      </c>
      <c r="U160">
        <f t="shared" si="35"/>
        <v>6.8171182450154078E-3</v>
      </c>
      <c r="V160">
        <f t="shared" si="36"/>
        <v>9.0913357682453899E-4</v>
      </c>
      <c r="W160">
        <f t="shared" si="37"/>
        <v>1.1917285299118952E-3</v>
      </c>
    </row>
    <row r="161" spans="1:23" x14ac:dyDescent="0.3">
      <c r="A161" t="s">
        <v>348</v>
      </c>
      <c r="B161" s="1">
        <v>17.708136</v>
      </c>
      <c r="C161" s="1">
        <v>12.124435</v>
      </c>
      <c r="D161" s="1">
        <v>16.908262000000001</v>
      </c>
      <c r="E161" s="1">
        <v>25.892721000000002</v>
      </c>
      <c r="F161" s="1">
        <v>10.448342</v>
      </c>
      <c r="G161" s="1">
        <v>7.0275410000000003</v>
      </c>
      <c r="H161" s="1">
        <v>4547.9501950000003</v>
      </c>
      <c r="I161" s="1">
        <v>35.977618999999997</v>
      </c>
      <c r="J161" s="1">
        <v>14.370831000000001</v>
      </c>
      <c r="K161" s="1">
        <v>2.4745059999999999</v>
      </c>
      <c r="L161" s="1">
        <v>21.348897999999998</v>
      </c>
      <c r="M161">
        <f t="shared" si="32"/>
        <v>-8.05082651315292E-4</v>
      </c>
      <c r="N161">
        <f t="shared" si="32"/>
        <v>-2.2099484499413347E-2</v>
      </c>
      <c r="O161">
        <f t="shared" si="32"/>
        <v>-2.3068493807028023E-3</v>
      </c>
      <c r="P161">
        <f t="shared" si="31"/>
        <v>-1.3818233921498946E-2</v>
      </c>
      <c r="Q161">
        <f t="shared" si="30"/>
        <v>-3.7332083336590882E-3</v>
      </c>
      <c r="R161">
        <f t="shared" si="30"/>
        <v>-1.3626264856400061E-2</v>
      </c>
      <c r="S161">
        <f t="shared" si="33"/>
        <v>-2.5155629788566003E-2</v>
      </c>
      <c r="T161">
        <f t="shared" si="34"/>
        <v>2.3973139258488541E-3</v>
      </c>
      <c r="U161">
        <f t="shared" si="35"/>
        <v>-1.6326671773513657E-2</v>
      </c>
      <c r="V161">
        <f t="shared" si="36"/>
        <v>-2.3524218512622097E-2</v>
      </c>
      <c r="W161">
        <f t="shared" si="37"/>
        <v>-8.1498413271858805E-3</v>
      </c>
    </row>
    <row r="162" spans="1:23" x14ac:dyDescent="0.3">
      <c r="A162" t="s">
        <v>347</v>
      </c>
      <c r="B162" s="1">
        <v>17.722404000000001</v>
      </c>
      <c r="C162" s="1">
        <v>12.398434</v>
      </c>
      <c r="D162" s="1">
        <v>16.947357</v>
      </c>
      <c r="E162" s="1">
        <v>26.255526</v>
      </c>
      <c r="F162" s="1">
        <v>10.487494</v>
      </c>
      <c r="G162" s="1">
        <v>7.1246229999999997</v>
      </c>
      <c r="H162" s="1">
        <v>4585.3198240000002</v>
      </c>
      <c r="I162" s="1">
        <v>36.906013000000002</v>
      </c>
      <c r="J162" s="1">
        <v>14.336461999999999</v>
      </c>
      <c r="K162" s="1">
        <v>2.515577</v>
      </c>
      <c r="L162" s="1">
        <v>21.863212999999998</v>
      </c>
      <c r="M162">
        <f t="shared" si="32"/>
        <v>1.030358468883974E-2</v>
      </c>
      <c r="N162">
        <f t="shared" si="32"/>
        <v>-7.8308041826814501E-3</v>
      </c>
      <c r="O162">
        <f t="shared" si="32"/>
        <v>8.1394825909095747E-3</v>
      </c>
      <c r="P162">
        <f t="shared" si="31"/>
        <v>-3.2371544782444084E-2</v>
      </c>
      <c r="Q162">
        <f t="shared" si="30"/>
        <v>-1.6972385695733117E-2</v>
      </c>
      <c r="R162">
        <f t="shared" si="30"/>
        <v>-3.7401225219783063E-3</v>
      </c>
      <c r="S162">
        <f t="shared" si="33"/>
        <v>-1.1281979649283014E-2</v>
      </c>
      <c r="T162">
        <f t="shared" si="34"/>
        <v>-9.4979015380338705E-3</v>
      </c>
      <c r="U162">
        <f t="shared" si="35"/>
        <v>1.1672962823225941E-3</v>
      </c>
      <c r="V162">
        <f t="shared" si="36"/>
        <v>1.5780002305379348E-2</v>
      </c>
      <c r="W162">
        <f t="shared" si="37"/>
        <v>-1.9959581004519444E-3</v>
      </c>
    </row>
    <row r="163" spans="1:23" x14ac:dyDescent="0.3">
      <c r="A163" t="s">
        <v>346</v>
      </c>
      <c r="B163" s="1">
        <v>17.541661999999999</v>
      </c>
      <c r="C163" s="1">
        <v>12.49629</v>
      </c>
      <c r="D163" s="1">
        <v>16.810528000000001</v>
      </c>
      <c r="E163" s="1">
        <v>27.133891999999999</v>
      </c>
      <c r="F163" s="1">
        <v>10.668564999999999</v>
      </c>
      <c r="G163" s="1">
        <v>7.15137</v>
      </c>
      <c r="H163" s="1">
        <v>4594.4902339999999</v>
      </c>
      <c r="I163" s="1">
        <v>37.327137</v>
      </c>
      <c r="J163" s="1">
        <v>14.473934</v>
      </c>
      <c r="K163" s="1">
        <v>2.5126439999999999</v>
      </c>
      <c r="L163" s="1">
        <v>21.523571</v>
      </c>
      <c r="M163">
        <f t="shared" si="32"/>
        <v>1.0964991651396083E-2</v>
      </c>
      <c r="N163">
        <f t="shared" si="32"/>
        <v>5.5117598936127443E-3</v>
      </c>
      <c r="O163">
        <f t="shared" si="32"/>
        <v>-1.3761380695393122E-2</v>
      </c>
      <c r="P163">
        <f t="shared" si="31"/>
        <v>-1.4563089695126763E-2</v>
      </c>
      <c r="Q163">
        <f t="shared" si="30"/>
        <v>-1.7132568878378995E-2</v>
      </c>
      <c r="R163">
        <f t="shared" si="30"/>
        <v>1.191481847178899E-2</v>
      </c>
      <c r="S163">
        <f t="shared" si="33"/>
        <v>-6.1163281358522781E-3</v>
      </c>
      <c r="T163">
        <f t="shared" si="34"/>
        <v>3.0408949064931967E-2</v>
      </c>
      <c r="U163">
        <f t="shared" si="35"/>
        <v>-9.2535345442158468E-3</v>
      </c>
      <c r="V163">
        <f t="shared" si="36"/>
        <v>2.1178634623171932E-2</v>
      </c>
      <c r="W163">
        <f t="shared" si="37"/>
        <v>-2.8647125064875656E-3</v>
      </c>
    </row>
    <row r="164" spans="1:23" x14ac:dyDescent="0.3">
      <c r="A164" t="s">
        <v>345</v>
      </c>
      <c r="B164" s="1">
        <v>17.351403999999999</v>
      </c>
      <c r="C164" s="1">
        <v>12.427790999999999</v>
      </c>
      <c r="D164" s="1">
        <v>17.045092</v>
      </c>
      <c r="E164" s="1">
        <v>27.534884999999999</v>
      </c>
      <c r="F164" s="1">
        <v>10.854531</v>
      </c>
      <c r="G164" s="1">
        <v>7.0671660000000003</v>
      </c>
      <c r="H164" s="1">
        <v>4607.6899409999996</v>
      </c>
      <c r="I164" s="1">
        <v>37.556846999999998</v>
      </c>
      <c r="J164" s="1">
        <v>14.046786000000001</v>
      </c>
      <c r="K164" s="1">
        <v>2.5361120000000001</v>
      </c>
      <c r="L164" s="1">
        <v>21.077185</v>
      </c>
      <c r="M164">
        <f t="shared" si="32"/>
        <v>-4.0951050672133338E-3</v>
      </c>
      <c r="N164">
        <f t="shared" si="32"/>
        <v>6.3392014497745119E-3</v>
      </c>
      <c r="O164">
        <f t="shared" si="32"/>
        <v>1.5133900173420534E-2</v>
      </c>
      <c r="P164">
        <f t="shared" si="31"/>
        <v>2.7797608840432586E-2</v>
      </c>
      <c r="Q164">
        <f t="shared" si="30"/>
        <v>1.3248126576821617E-2</v>
      </c>
      <c r="R164">
        <f t="shared" si="30"/>
        <v>-1.3005067116034219E-2</v>
      </c>
      <c r="S164">
        <f t="shared" si="33"/>
        <v>7.4454754161727976E-3</v>
      </c>
      <c r="T164">
        <f t="shared" si="34"/>
        <v>2.4087828369976139E-2</v>
      </c>
      <c r="U164">
        <f t="shared" si="35"/>
        <v>1.3481587099620551E-2</v>
      </c>
      <c r="V164">
        <f t="shared" si="36"/>
        <v>8.8248545229125952E-3</v>
      </c>
      <c r="W164">
        <f t="shared" si="37"/>
        <v>8.0001888079894723E-3</v>
      </c>
    </row>
    <row r="165" spans="1:23" x14ac:dyDescent="0.3">
      <c r="A165" t="s">
        <v>344</v>
      </c>
      <c r="B165" s="1">
        <v>17.422751999999999</v>
      </c>
      <c r="C165" s="1">
        <v>12.349505000000001</v>
      </c>
      <c r="D165" s="1">
        <v>16.790979</v>
      </c>
      <c r="E165" s="1">
        <v>26.790182000000001</v>
      </c>
      <c r="F165" s="1">
        <v>10.712609</v>
      </c>
      <c r="G165" s="1">
        <v>7.1602860000000002</v>
      </c>
      <c r="H165" s="1">
        <v>4571.1201170000004</v>
      </c>
      <c r="I165" s="1">
        <v>37.279285000000002</v>
      </c>
      <c r="J165" s="1">
        <v>13.716388</v>
      </c>
      <c r="K165" s="1">
        <v>2.5023759999999999</v>
      </c>
      <c r="L165" s="1">
        <v>20.892809</v>
      </c>
      <c r="M165">
        <f t="shared" si="32"/>
        <v>-7.3170034095725311E-3</v>
      </c>
      <c r="N165">
        <f t="shared" si="32"/>
        <v>1.5285551669089514E-2</v>
      </c>
      <c r="O165">
        <f t="shared" si="32"/>
        <v>8.2159101485215214E-3</v>
      </c>
      <c r="P165">
        <f t="shared" si="31"/>
        <v>-1.4235302304764774E-3</v>
      </c>
      <c r="Q165">
        <f t="shared" si="30"/>
        <v>4.1283902755433477E-3</v>
      </c>
      <c r="R165">
        <f t="shared" si="30"/>
        <v>1.8017720549883265E-3</v>
      </c>
      <c r="S165">
        <f t="shared" si="33"/>
        <v>-2.819356305091858E-2</v>
      </c>
      <c r="T165">
        <f t="shared" si="34"/>
        <v>1.4008535291466728E-2</v>
      </c>
      <c r="U165">
        <f t="shared" si="35"/>
        <v>-2.3390875604956118E-3</v>
      </c>
      <c r="V165">
        <f t="shared" si="36"/>
        <v>-2.7790515150254436E-3</v>
      </c>
      <c r="W165">
        <f t="shared" si="37"/>
        <v>5.2670552037488161E-3</v>
      </c>
    </row>
    <row r="166" spans="1:23" x14ac:dyDescent="0.3">
      <c r="A166" t="s">
        <v>343</v>
      </c>
      <c r="B166" s="1">
        <v>17.551174</v>
      </c>
      <c r="C166" s="1">
        <v>12.163577999999999</v>
      </c>
      <c r="D166" s="1">
        <v>16.654150000000001</v>
      </c>
      <c r="E166" s="1">
        <v>26.828372999999999</v>
      </c>
      <c r="F166" s="1">
        <v>10.668564999999999</v>
      </c>
      <c r="G166" s="1">
        <v>7.1474080000000004</v>
      </c>
      <c r="H166" s="1">
        <v>4547.169922</v>
      </c>
      <c r="I166" s="1">
        <v>38.360813</v>
      </c>
      <c r="J166" s="1">
        <v>13.526896000000001</v>
      </c>
      <c r="K166" s="1">
        <v>2.5082430000000002</v>
      </c>
      <c r="L166" s="1">
        <v>20.951032999999999</v>
      </c>
      <c r="M166">
        <f t="shared" si="32"/>
        <v>8.1966940023834312E-3</v>
      </c>
      <c r="N166">
        <f t="shared" si="32"/>
        <v>1.3866294536043045E-2</v>
      </c>
      <c r="O166">
        <f t="shared" si="32"/>
        <v>-1.502886576988216E-2</v>
      </c>
      <c r="P166">
        <f t="shared" si="31"/>
        <v>-2.8389035944690333E-3</v>
      </c>
      <c r="Q166">
        <f t="shared" si="30"/>
        <v>9.7266698814428842E-3</v>
      </c>
      <c r="R166">
        <f t="shared" si="30"/>
        <v>-2.7643908287464658E-3</v>
      </c>
      <c r="S166">
        <f t="shared" si="33"/>
        <v>2.010692919273005E-2</v>
      </c>
      <c r="T166">
        <f t="shared" si="34"/>
        <v>-1.241575316672594E-2</v>
      </c>
      <c r="U166">
        <f t="shared" si="35"/>
        <v>-8.1205230352366931E-3</v>
      </c>
      <c r="V166">
        <f t="shared" si="36"/>
        <v>-3.2317487053713512E-3</v>
      </c>
      <c r="W166">
        <f t="shared" si="37"/>
        <v>-2.2490795615563997E-3</v>
      </c>
    </row>
    <row r="167" spans="1:23" x14ac:dyDescent="0.3">
      <c r="A167" t="s">
        <v>342</v>
      </c>
      <c r="B167" s="1">
        <v>17.408481999999999</v>
      </c>
      <c r="C167" s="1">
        <v>11.997221</v>
      </c>
      <c r="D167" s="1">
        <v>16.908262000000001</v>
      </c>
      <c r="E167" s="1">
        <v>26.904752999999999</v>
      </c>
      <c r="F167" s="1">
        <v>10.565795</v>
      </c>
      <c r="G167" s="1">
        <v>7.1672209999999996</v>
      </c>
      <c r="H167" s="1">
        <v>4557.419922</v>
      </c>
      <c r="I167" s="1">
        <v>37.604697999999999</v>
      </c>
      <c r="J167" s="1">
        <v>13.696954</v>
      </c>
      <c r="K167" s="1">
        <v>2.528778</v>
      </c>
      <c r="L167" s="1">
        <v>21.018961000000001</v>
      </c>
      <c r="M167">
        <f t="shared" si="32"/>
        <v>-3.7601815237932601E-2</v>
      </c>
      <c r="N167">
        <f t="shared" si="32"/>
        <v>-3.2520618352852582E-3</v>
      </c>
      <c r="O167">
        <f t="shared" si="32"/>
        <v>3.0989196488447224E-2</v>
      </c>
      <c r="P167">
        <f t="shared" si="31"/>
        <v>-1.3305263343193152E-2</v>
      </c>
      <c r="Q167">
        <f t="shared" si="30"/>
        <v>-2.7713602760808254E-3</v>
      </c>
      <c r="R167">
        <f t="shared" si="30"/>
        <v>-4.2663654689613084E-3</v>
      </c>
      <c r="S167">
        <f t="shared" si="33"/>
        <v>-4.0557674983219272E-3</v>
      </c>
      <c r="T167">
        <f t="shared" si="34"/>
        <v>-2.1180504439969328E-2</v>
      </c>
      <c r="U167">
        <f t="shared" si="35"/>
        <v>0.20307031086088689</v>
      </c>
      <c r="V167">
        <f t="shared" si="36"/>
        <v>-2.7624182261529739E-3</v>
      </c>
      <c r="W167">
        <f t="shared" si="37"/>
        <v>-3.1824995167866188E-3</v>
      </c>
    </row>
    <row r="168" spans="1:23" x14ac:dyDescent="0.3">
      <c r="A168" t="s">
        <v>341</v>
      </c>
      <c r="B168" s="1">
        <v>18.088647999999999</v>
      </c>
      <c r="C168" s="1">
        <v>12.036364000000001</v>
      </c>
      <c r="D168" s="1">
        <v>16.400037999999999</v>
      </c>
      <c r="E168" s="1">
        <v>27.267555000000002</v>
      </c>
      <c r="F168" s="1">
        <v>10.595158</v>
      </c>
      <c r="G168" s="1">
        <v>7.1979300000000004</v>
      </c>
      <c r="H168" s="1">
        <v>4571.9702150000003</v>
      </c>
      <c r="I168" s="1">
        <v>37.757835</v>
      </c>
      <c r="J168" s="1">
        <v>13.99334</v>
      </c>
      <c r="K168" s="1">
        <v>2.1019369999999999</v>
      </c>
      <c r="L168" s="1">
        <v>21.077185</v>
      </c>
      <c r="M168">
        <f t="shared" si="32"/>
        <v>-7.8832590478916664E-4</v>
      </c>
      <c r="N168">
        <f t="shared" si="32"/>
        <v>1.628720876586609E-3</v>
      </c>
      <c r="O168">
        <f t="shared" si="32"/>
        <v>-3.3410102396996044E-2</v>
      </c>
      <c r="P168">
        <f t="shared" si="31"/>
        <v>-1.5172400193111391E-2</v>
      </c>
      <c r="Q168">
        <f t="shared" si="30"/>
        <v>-1.0059495518145112E-2</v>
      </c>
      <c r="R168">
        <f t="shared" si="30"/>
        <v>-6.8764132361998076E-4</v>
      </c>
      <c r="S168">
        <f t="shared" si="33"/>
        <v>1.7801879596460513E-2</v>
      </c>
      <c r="T168">
        <f t="shared" si="34"/>
        <v>-5.8680987463785028E-3</v>
      </c>
      <c r="U168">
        <f t="shared" si="35"/>
        <v>-1.1804634220416554E-2</v>
      </c>
      <c r="V168">
        <f t="shared" si="36"/>
        <v>-2.7548554771352762E-3</v>
      </c>
      <c r="W168">
        <f t="shared" si="37"/>
        <v>-3.8543030199902351E-3</v>
      </c>
    </row>
    <row r="169" spans="1:23" x14ac:dyDescent="0.3">
      <c r="A169" t="s">
        <v>340</v>
      </c>
      <c r="B169" s="1">
        <v>18.102919</v>
      </c>
      <c r="C169" s="1">
        <v>12.016792000000001</v>
      </c>
      <c r="D169" s="1">
        <v>16.966904</v>
      </c>
      <c r="E169" s="1">
        <v>27.687643000000001</v>
      </c>
      <c r="F169" s="1">
        <v>10.702823</v>
      </c>
      <c r="G169" s="1">
        <v>7.2028829999999999</v>
      </c>
      <c r="H169" s="1">
        <v>4589.6601559999999</v>
      </c>
      <c r="I169" s="1">
        <v>37.097431</v>
      </c>
      <c r="J169" s="1">
        <v>14.075939</v>
      </c>
      <c r="K169" s="1">
        <v>2.127046</v>
      </c>
      <c r="L169" s="1">
        <v>21.13541</v>
      </c>
      <c r="M169">
        <f t="shared" si="32"/>
        <v>-9.112125898880441E-3</v>
      </c>
      <c r="N169">
        <f t="shared" si="32"/>
        <v>1.9087118912742396E-2</v>
      </c>
      <c r="O169">
        <f t="shared" si="32"/>
        <v>-7.9999494847118324E-3</v>
      </c>
      <c r="P169">
        <f t="shared" si="31"/>
        <v>1.3985957387870007E-2</v>
      </c>
      <c r="Q169">
        <f t="shared" si="30"/>
        <v>1.0628631224739227E-2</v>
      </c>
      <c r="R169">
        <f t="shared" si="30"/>
        <v>1.6780898155521307E-2</v>
      </c>
      <c r="S169">
        <f t="shared" si="33"/>
        <v>-1.773950268122737E-2</v>
      </c>
      <c r="T169">
        <f t="shared" si="34"/>
        <v>2.223004124595529E-2</v>
      </c>
      <c r="U169">
        <f t="shared" si="35"/>
        <v>5.6259849001594198E-4</v>
      </c>
      <c r="V169">
        <f t="shared" si="36"/>
        <v>2.6874237481110619E-2</v>
      </c>
      <c r="W169">
        <f t="shared" si="37"/>
        <v>5.4768589874405471E-3</v>
      </c>
    </row>
    <row r="170" spans="1:23" x14ac:dyDescent="0.3">
      <c r="A170" t="s">
        <v>339</v>
      </c>
      <c r="B170" s="1">
        <v>18.269392</v>
      </c>
      <c r="C170" s="1">
        <v>11.791722</v>
      </c>
      <c r="D170" s="1">
        <v>17.103732999999998</v>
      </c>
      <c r="E170" s="1">
        <v>27.305745999999999</v>
      </c>
      <c r="F170" s="1">
        <v>10.590263</v>
      </c>
      <c r="G170" s="1">
        <v>7.0840069999999997</v>
      </c>
      <c r="H170" s="1">
        <v>4564.6601559999999</v>
      </c>
      <c r="I170" s="1">
        <v>37.767406000000001</v>
      </c>
      <c r="J170" s="1">
        <v>13.769835</v>
      </c>
      <c r="K170" s="1">
        <v>2.1258499999999998</v>
      </c>
      <c r="L170" s="1">
        <v>20.582277000000001</v>
      </c>
      <c r="M170">
        <f t="shared" si="32"/>
        <v>-4.1483208820476403E-3</v>
      </c>
      <c r="N170">
        <f t="shared" si="32"/>
        <v>-2.5869024705194921E-2</v>
      </c>
      <c r="O170">
        <f t="shared" si="32"/>
        <v>-1.141603644768785E-3</v>
      </c>
      <c r="P170">
        <f t="shared" si="31"/>
        <v>-1.9204426085037252E-2</v>
      </c>
      <c r="Q170">
        <f t="shared" si="30"/>
        <v>-1.0064098393632759E-2</v>
      </c>
      <c r="R170">
        <f t="shared" si="30"/>
        <v>-2.5351029441001538E-2</v>
      </c>
      <c r="S170">
        <f t="shared" si="33"/>
        <v>-1.3253333346570972E-2</v>
      </c>
      <c r="T170">
        <f t="shared" si="34"/>
        <v>-2.3095449613468877E-2</v>
      </c>
      <c r="U170">
        <f t="shared" si="35"/>
        <v>-2.0655221436909899E-2</v>
      </c>
      <c r="V170">
        <f t="shared" si="36"/>
        <v>-1.1188903711407461E-2</v>
      </c>
      <c r="W170">
        <f t="shared" si="37"/>
        <v>-1.2856465084380653E-2</v>
      </c>
    </row>
    <row r="171" spans="1:23" x14ac:dyDescent="0.3">
      <c r="A171" t="s">
        <v>338</v>
      </c>
      <c r="B171" s="1">
        <v>18.345495</v>
      </c>
      <c r="C171" s="1">
        <v>12.104863</v>
      </c>
      <c r="D171" s="1">
        <v>17.123280999999999</v>
      </c>
      <c r="E171" s="1">
        <v>27.840405000000001</v>
      </c>
      <c r="F171" s="1">
        <v>10.697927999999999</v>
      </c>
      <c r="G171" s="1">
        <v>7.2682650000000004</v>
      </c>
      <c r="H171" s="1">
        <v>4624.1098629999997</v>
      </c>
      <c r="I171" s="1">
        <v>38.274673</v>
      </c>
      <c r="J171" s="1">
        <v>14.095374</v>
      </c>
      <c r="K171" s="1">
        <v>2.1706859999999999</v>
      </c>
      <c r="L171" s="1">
        <v>20.815176000000001</v>
      </c>
      <c r="M171">
        <f t="shared" si="32"/>
        <v>2.3619958159093901E-2</v>
      </c>
      <c r="N171">
        <f t="shared" si="32"/>
        <v>6.5093329124876753E-3</v>
      </c>
      <c r="O171">
        <f t="shared" si="32"/>
        <v>0</v>
      </c>
      <c r="P171">
        <f t="shared" si="31"/>
        <v>8.2988597805178088E-3</v>
      </c>
      <c r="Q171">
        <f t="shared" si="30"/>
        <v>5.5197748853721418E-3</v>
      </c>
      <c r="R171">
        <f t="shared" si="30"/>
        <v>3.6935625928156135E-3</v>
      </c>
      <c r="S171">
        <f t="shared" si="33"/>
        <v>3.5131782397785916E-3</v>
      </c>
      <c r="T171">
        <f t="shared" si="34"/>
        <v>3.3119639482696028E-2</v>
      </c>
      <c r="U171">
        <f t="shared" si="35"/>
        <v>1.1027097327622748E-3</v>
      </c>
      <c r="V171">
        <f t="shared" si="36"/>
        <v>-6.9444600158858893E-3</v>
      </c>
      <c r="W171">
        <f t="shared" si="37"/>
        <v>1.2362998026610894E-2</v>
      </c>
    </row>
    <row r="172" spans="1:23" x14ac:dyDescent="0.3">
      <c r="A172" t="s">
        <v>337</v>
      </c>
      <c r="B172" s="1">
        <v>17.922173999999998</v>
      </c>
      <c r="C172" s="1">
        <v>12.026578000000001</v>
      </c>
      <c r="D172" s="1">
        <v>17.123280999999999</v>
      </c>
      <c r="E172" s="1">
        <v>27.611263000000001</v>
      </c>
      <c r="F172" s="1">
        <v>10.639201999999999</v>
      </c>
      <c r="G172" s="1">
        <v>7.2415180000000001</v>
      </c>
      <c r="H172" s="1">
        <v>4567.6401370000003</v>
      </c>
      <c r="I172" s="1">
        <v>38.140678000000001</v>
      </c>
      <c r="J172" s="1">
        <v>13.643506</v>
      </c>
      <c r="K172" s="1">
        <v>2.1682950000000001</v>
      </c>
      <c r="L172" s="1">
        <v>20.960737000000002</v>
      </c>
      <c r="M172">
        <f t="shared" si="32"/>
        <v>8.2954307309957009E-3</v>
      </c>
      <c r="N172">
        <f t="shared" si="32"/>
        <v>3.2653357453034104E-3</v>
      </c>
      <c r="O172">
        <f t="shared" si="32"/>
        <v>-1.140243605080915E-3</v>
      </c>
      <c r="P172">
        <f t="shared" si="31"/>
        <v>-4.1323551073446652E-3</v>
      </c>
      <c r="Q172">
        <f t="shared" si="30"/>
        <v>9.2074681438236716E-4</v>
      </c>
      <c r="R172">
        <f t="shared" si="30"/>
        <v>-9.4850648254610759E-3</v>
      </c>
      <c r="S172">
        <f t="shared" si="33"/>
        <v>1.5028029205355509E-2</v>
      </c>
      <c r="T172">
        <f t="shared" si="34"/>
        <v>1.0695631329504796E-3</v>
      </c>
      <c r="U172">
        <f t="shared" si="35"/>
        <v>-8.2669420470771193E-4</v>
      </c>
      <c r="V172">
        <f t="shared" si="36"/>
        <v>5.586614424057279E-3</v>
      </c>
      <c r="W172">
        <f t="shared" si="37"/>
        <v>-1.6261881482196872E-3</v>
      </c>
    </row>
    <row r="173" spans="1:23" x14ac:dyDescent="0.3">
      <c r="A173" t="s">
        <v>336</v>
      </c>
      <c r="B173" s="1">
        <v>17.774725</v>
      </c>
      <c r="C173" s="1">
        <v>11.987435</v>
      </c>
      <c r="D173" s="1">
        <v>17.142828000000002</v>
      </c>
      <c r="E173" s="1">
        <v>27.725836000000001</v>
      </c>
      <c r="F173" s="1">
        <v>10.629415</v>
      </c>
      <c r="G173" s="1">
        <v>7.3108620000000002</v>
      </c>
      <c r="H173" s="1">
        <v>4575.080078</v>
      </c>
      <c r="I173" s="1">
        <v>37.575985000000003</v>
      </c>
      <c r="J173" s="1">
        <v>13.628928999999999</v>
      </c>
      <c r="K173" s="1">
        <v>2.1700889999999999</v>
      </c>
      <c r="L173" s="1">
        <v>20.844287999999999</v>
      </c>
      <c r="M173">
        <f t="shared" si="32"/>
        <v>2.8626347362219917E-2</v>
      </c>
      <c r="N173">
        <f t="shared" si="32"/>
        <v>1.6352959893259911E-3</v>
      </c>
      <c r="O173">
        <f t="shared" si="32"/>
        <v>2.8135991675991345E-2</v>
      </c>
      <c r="P173">
        <f t="shared" si="31"/>
        <v>-1.0899117142151415E-2</v>
      </c>
      <c r="Q173">
        <f t="shared" si="30"/>
        <v>-1.092886056269804E-2</v>
      </c>
      <c r="R173">
        <f t="shared" si="30"/>
        <v>3.9449974416840838E-3</v>
      </c>
      <c r="S173">
        <f t="shared" si="33"/>
        <v>-1.2720390824497718E-3</v>
      </c>
      <c r="T173">
        <f t="shared" si="34"/>
        <v>-4.2598815611772922E-3</v>
      </c>
      <c r="U173">
        <f t="shared" si="35"/>
        <v>8.8941764553280844E-3</v>
      </c>
      <c r="V173">
        <f t="shared" si="36"/>
        <v>8.4507137651088637E-3</v>
      </c>
      <c r="W173">
        <f t="shared" si="37"/>
        <v>3.225606830718375E-3</v>
      </c>
    </row>
    <row r="174" spans="1:23" x14ac:dyDescent="0.3">
      <c r="A174" t="s">
        <v>335</v>
      </c>
      <c r="B174" s="1">
        <v>17.280059999999999</v>
      </c>
      <c r="C174" s="1">
        <v>11.967864000000001</v>
      </c>
      <c r="D174" s="1">
        <v>16.673697000000001</v>
      </c>
      <c r="E174" s="1">
        <v>28.031352999999999</v>
      </c>
      <c r="F174" s="1">
        <v>10.746866000000001</v>
      </c>
      <c r="G174" s="1">
        <v>7.2821340000000001</v>
      </c>
      <c r="H174" s="1">
        <v>4560.3701170000004</v>
      </c>
      <c r="I174" s="1">
        <v>37.623843999999998</v>
      </c>
      <c r="J174" s="1">
        <v>13.687234999999999</v>
      </c>
      <c r="K174" s="1">
        <v>2.1509580000000001</v>
      </c>
      <c r="L174" s="1">
        <v>20.669615</v>
      </c>
      <c r="M174">
        <f t="shared" si="32"/>
        <v>1.5939733347317908E-2</v>
      </c>
      <c r="N174">
        <f t="shared" si="32"/>
        <v>-1.6326261623107463E-3</v>
      </c>
      <c r="O174">
        <f t="shared" si="32"/>
        <v>-2.6255715829226811E-2</v>
      </c>
      <c r="P174">
        <f t="shared" si="31"/>
        <v>4.3354672622421875E-2</v>
      </c>
      <c r="Q174">
        <f t="shared" si="30"/>
        <v>2.6168138986931266E-2</v>
      </c>
      <c r="R174">
        <f t="shared" si="30"/>
        <v>2.5959596927306094E-2</v>
      </c>
      <c r="S174">
        <f t="shared" si="33"/>
        <v>-4.5581393478336674E-3</v>
      </c>
      <c r="T174">
        <f t="shared" si="34"/>
        <v>1.7702303059359714E-2</v>
      </c>
      <c r="U174">
        <f t="shared" si="35"/>
        <v>8.3427749847042598E-4</v>
      </c>
      <c r="V174">
        <f t="shared" si="36"/>
        <v>4.7169593500084872E-3</v>
      </c>
      <c r="W174">
        <f t="shared" si="37"/>
        <v>1.1884250123441964E-2</v>
      </c>
    </row>
    <row r="175" spans="1:23" x14ac:dyDescent="0.3">
      <c r="A175" t="s">
        <v>334</v>
      </c>
      <c r="B175" s="1">
        <v>17.008942000000001</v>
      </c>
      <c r="C175" s="1">
        <v>11.987435</v>
      </c>
      <c r="D175" s="1">
        <v>17.123280999999999</v>
      </c>
      <c r="E175" s="1">
        <v>26.866561999999998</v>
      </c>
      <c r="F175" s="1">
        <v>10.472811999999999</v>
      </c>
      <c r="G175" s="1">
        <v>7.0978760000000003</v>
      </c>
      <c r="H175" s="1">
        <v>4506.8100590000004</v>
      </c>
      <c r="I175" s="1">
        <v>37.796123999999999</v>
      </c>
      <c r="J175" s="1">
        <v>13.449154</v>
      </c>
      <c r="K175" s="1">
        <v>2.149165</v>
      </c>
      <c r="L175" s="1">
        <v>20.572575000000001</v>
      </c>
      <c r="M175">
        <f t="shared" si="32"/>
        <v>-1.9537340107560475E-3</v>
      </c>
      <c r="N175">
        <f t="shared" si="32"/>
        <v>4.7008513415407016E-2</v>
      </c>
      <c r="O175">
        <f t="shared" si="32"/>
        <v>2.0979006385441368E-2</v>
      </c>
      <c r="P175">
        <f t="shared" si="31"/>
        <v>1.1502446534012334E-2</v>
      </c>
      <c r="Q175">
        <f t="shared" si="30"/>
        <v>4.1869521332295712E-2</v>
      </c>
      <c r="R175">
        <f t="shared" si="30"/>
        <v>-5.4137098646662718E-3</v>
      </c>
      <c r="S175">
        <f t="shared" si="33"/>
        <v>-1.0275597382187973E-2</v>
      </c>
      <c r="T175">
        <f t="shared" si="34"/>
        <v>8.0116861761050373E-3</v>
      </c>
      <c r="U175">
        <f t="shared" si="35"/>
        <v>-6.0823644266774224E-3</v>
      </c>
      <c r="V175">
        <f t="shared" si="36"/>
        <v>-4.7137641768213445E-4</v>
      </c>
      <c r="W175">
        <f t="shared" si="37"/>
        <v>3.4198005840293533E-3</v>
      </c>
    </row>
    <row r="176" spans="1:23" x14ac:dyDescent="0.3">
      <c r="A176" t="s">
        <v>333</v>
      </c>
      <c r="B176" s="1">
        <v>17.042238000000001</v>
      </c>
      <c r="C176" s="1">
        <v>11.449223999999999</v>
      </c>
      <c r="D176" s="1">
        <v>16.771432999999998</v>
      </c>
      <c r="E176" s="1">
        <v>26.561045</v>
      </c>
      <c r="F176" s="1">
        <v>10.051942</v>
      </c>
      <c r="G176" s="1">
        <v>7.1365109999999996</v>
      </c>
      <c r="H176" s="1">
        <v>4491.4501950000003</v>
      </c>
      <c r="I176" s="1">
        <v>38.188533999999997</v>
      </c>
      <c r="J176" s="1">
        <v>13.34226</v>
      </c>
      <c r="K176" s="1">
        <v>2.1623169999999998</v>
      </c>
      <c r="L176" s="1">
        <v>20.582277000000001</v>
      </c>
      <c r="M176">
        <f t="shared" si="32"/>
        <v>1.9055753566316502E-2</v>
      </c>
      <c r="N176">
        <f t="shared" si="32"/>
        <v>1.9163803542105784E-2</v>
      </c>
      <c r="O176">
        <f t="shared" si="32"/>
        <v>5.8616874230110749E-3</v>
      </c>
      <c r="P176">
        <f t="shared" si="31"/>
        <v>7.9710447421350583E-3</v>
      </c>
      <c r="Q176">
        <f t="shared" si="30"/>
        <v>1.4822121917265729E-2</v>
      </c>
      <c r="R176">
        <f t="shared" si="30"/>
        <v>5.5562191800184735E-4</v>
      </c>
      <c r="S176">
        <f t="shared" si="33"/>
        <v>8.084812673413877E-3</v>
      </c>
      <c r="T176">
        <f t="shared" si="34"/>
        <v>5.8607473169025592E-3</v>
      </c>
      <c r="U176">
        <f t="shared" si="35"/>
        <v>2.1174215966990761E-2</v>
      </c>
      <c r="V176">
        <f t="shared" si="36"/>
        <v>-3.757760439637714E-3</v>
      </c>
      <c r="W176">
        <f t="shared" si="37"/>
        <v>6.0387546140616699E-3</v>
      </c>
    </row>
    <row r="177" spans="1:23" x14ac:dyDescent="0.3">
      <c r="A177" t="s">
        <v>332</v>
      </c>
      <c r="B177" s="1">
        <v>16.723558000000001</v>
      </c>
      <c r="C177" s="1">
        <v>11.233938999999999</v>
      </c>
      <c r="D177" s="1">
        <v>16.673697000000001</v>
      </c>
      <c r="E177" s="1">
        <v>26.350999999999999</v>
      </c>
      <c r="F177" s="1">
        <v>9.9051270000000002</v>
      </c>
      <c r="G177" s="1">
        <v>7.1325479999999999</v>
      </c>
      <c r="H177" s="1">
        <v>4464.4902339999999</v>
      </c>
      <c r="I177" s="1">
        <v>37.882263000000002</v>
      </c>
      <c r="J177" s="1">
        <v>13.264519999999999</v>
      </c>
      <c r="K177" s="1">
        <v>2.1174810000000002</v>
      </c>
      <c r="L177" s="1">
        <v>20.659911999999998</v>
      </c>
      <c r="M177">
        <f t="shared" si="32"/>
        <v>-5.0934091110008684E-3</v>
      </c>
      <c r="N177">
        <f t="shared" si="32"/>
        <v>-6.9204776248704691E-3</v>
      </c>
      <c r="O177">
        <f t="shared" si="32"/>
        <v>-1.5011511531114241E-2</v>
      </c>
      <c r="P177">
        <f t="shared" si="31"/>
        <v>-1.9189727364446574E-2</v>
      </c>
      <c r="Q177">
        <f t="shared" si="30"/>
        <v>-1.972451971610556E-3</v>
      </c>
      <c r="R177">
        <f t="shared" si="30"/>
        <v>-7.9912322731348073E-3</v>
      </c>
      <c r="S177">
        <f t="shared" si="33"/>
        <v>1.6174612790990972E-2</v>
      </c>
      <c r="T177">
        <f t="shared" si="34"/>
        <v>-9.4339059034947992E-3</v>
      </c>
      <c r="U177">
        <f t="shared" si="35"/>
        <v>-6.4512042341745568E-3</v>
      </c>
      <c r="V177">
        <f t="shared" si="36"/>
        <v>-3.2712392285207059E-2</v>
      </c>
      <c r="W177">
        <f t="shared" si="37"/>
        <v>-8.9371809756368936E-3</v>
      </c>
    </row>
    <row r="178" spans="1:23" x14ac:dyDescent="0.3">
      <c r="A178" t="s">
        <v>331</v>
      </c>
      <c r="B178" s="1">
        <v>16.809173999999999</v>
      </c>
      <c r="C178" s="1">
        <v>11.312225</v>
      </c>
      <c r="D178" s="1">
        <v>16.927809</v>
      </c>
      <c r="E178" s="1">
        <v>26.866561999999998</v>
      </c>
      <c r="F178" s="1">
        <v>9.9247029999999992</v>
      </c>
      <c r="G178" s="1">
        <v>7.1900050000000002</v>
      </c>
      <c r="H178" s="1">
        <v>4504.75</v>
      </c>
      <c r="I178" s="1">
        <v>37.279285000000002</v>
      </c>
      <c r="J178" s="1">
        <v>13.390848</v>
      </c>
      <c r="K178" s="1">
        <v>2.13123</v>
      </c>
      <c r="L178" s="1">
        <v>21.358602999999999</v>
      </c>
      <c r="M178">
        <f t="shared" si="32"/>
        <v>2.5532666144389982E-3</v>
      </c>
      <c r="N178">
        <f t="shared" si="32"/>
        <v>5.2173939315471873E-3</v>
      </c>
      <c r="O178">
        <f t="shared" si="32"/>
        <v>2.3147408008992176E-3</v>
      </c>
      <c r="P178">
        <f t="shared" si="31"/>
        <v>1.2958937224478051E-2</v>
      </c>
      <c r="Q178">
        <f t="shared" si="30"/>
        <v>5.4537239372010049E-3</v>
      </c>
      <c r="R178">
        <f t="shared" si="30"/>
        <v>1.0722649322921773E-2</v>
      </c>
      <c r="S178">
        <f t="shared" si="33"/>
        <v>6.4599336355453119E-3</v>
      </c>
      <c r="T178">
        <f t="shared" si="34"/>
        <v>1.2490728243980564E-2</v>
      </c>
      <c r="U178">
        <f t="shared" si="35"/>
        <v>6.4930925000035167E-3</v>
      </c>
      <c r="V178">
        <f t="shared" si="36"/>
        <v>-9.4508557633650181E-3</v>
      </c>
      <c r="W178">
        <f t="shared" si="37"/>
        <v>7.618524086772549E-3</v>
      </c>
    </row>
    <row r="179" spans="1:23" x14ac:dyDescent="0.3">
      <c r="A179" t="s">
        <v>330</v>
      </c>
      <c r="B179" s="1">
        <v>16.766365</v>
      </c>
      <c r="C179" s="1">
        <v>11.253511</v>
      </c>
      <c r="D179" s="1">
        <v>16.888715999999999</v>
      </c>
      <c r="E179" s="1">
        <v>26.522853999999999</v>
      </c>
      <c r="F179" s="1">
        <v>9.87087</v>
      </c>
      <c r="G179" s="1">
        <v>7.1137269999999999</v>
      </c>
      <c r="H179" s="1">
        <v>4470.6899409999996</v>
      </c>
      <c r="I179" s="1">
        <v>37.040008999999998</v>
      </c>
      <c r="J179" s="1">
        <v>13.22565</v>
      </c>
      <c r="K179" s="1">
        <v>2.1174810000000002</v>
      </c>
      <c r="L179" s="1">
        <v>21.562386</v>
      </c>
      <c r="M179">
        <f t="shared" si="32"/>
        <v>1.5557387495215069E-2</v>
      </c>
      <c r="N179">
        <f t="shared" si="32"/>
        <v>1.2324010654062301E-2</v>
      </c>
      <c r="O179">
        <f t="shared" si="32"/>
        <v>1.1588598298895025E-3</v>
      </c>
      <c r="P179">
        <f t="shared" si="31"/>
        <v>-6.4377553783319108E-3</v>
      </c>
      <c r="Q179">
        <f t="shared" si="30"/>
        <v>-5.4241421632464926E-3</v>
      </c>
      <c r="R179">
        <f t="shared" si="30"/>
        <v>1.3406858722756265E-2</v>
      </c>
      <c r="S179">
        <f t="shared" si="33"/>
        <v>-1.1241598358533333E-2</v>
      </c>
      <c r="T179">
        <f t="shared" si="34"/>
        <v>-2.9303736584511686E-3</v>
      </c>
      <c r="U179">
        <f t="shared" si="35"/>
        <v>1.696868433327392E-3</v>
      </c>
      <c r="V179">
        <f t="shared" si="36"/>
        <v>-9.8040138635978602E-3</v>
      </c>
      <c r="W179">
        <f t="shared" si="37"/>
        <v>1.4290857748864294E-3</v>
      </c>
    </row>
    <row r="180" spans="1:23" x14ac:dyDescent="0.3">
      <c r="A180" t="s">
        <v>329</v>
      </c>
      <c r="B180" s="1">
        <v>16.509519999999998</v>
      </c>
      <c r="C180" s="1">
        <v>11.116510999999999</v>
      </c>
      <c r="D180" s="1">
        <v>16.869167000000001</v>
      </c>
      <c r="E180" s="1">
        <v>26.694707999999999</v>
      </c>
      <c r="F180" s="1">
        <v>9.9247029999999992</v>
      </c>
      <c r="G180" s="1">
        <v>7.0196160000000001</v>
      </c>
      <c r="H180" s="1">
        <v>4464.3100590000004</v>
      </c>
      <c r="I180" s="1">
        <v>37.461131999999999</v>
      </c>
      <c r="J180" s="1">
        <v>13.264519999999999</v>
      </c>
      <c r="K180" s="1">
        <v>2.1138940000000002</v>
      </c>
      <c r="L180" s="1">
        <v>21.775877000000001</v>
      </c>
      <c r="M180">
        <f t="shared" si="32"/>
        <v>6.0870339947860508E-3</v>
      </c>
      <c r="N180">
        <f t="shared" si="32"/>
        <v>1.6100095334984132E-2</v>
      </c>
      <c r="O180">
        <f t="shared" si="32"/>
        <v>-2.3121832391761465E-3</v>
      </c>
      <c r="P180">
        <f t="shared" si="31"/>
        <v>4.3103235840866727E-3</v>
      </c>
      <c r="Q180">
        <f t="shared" si="30"/>
        <v>4.9345713142834313E-4</v>
      </c>
      <c r="R180">
        <f t="shared" si="30"/>
        <v>5.1064203897135396E-3</v>
      </c>
      <c r="S180">
        <f t="shared" si="33"/>
        <v>-1.5345945356032287E-2</v>
      </c>
      <c r="T180">
        <f t="shared" si="34"/>
        <v>1.751766260562837E-2</v>
      </c>
      <c r="U180">
        <f t="shared" si="35"/>
        <v>5.1171300707706369E-3</v>
      </c>
      <c r="V180">
        <f t="shared" si="36"/>
        <v>3.5533070479418116E-2</v>
      </c>
      <c r="W180">
        <f t="shared" si="37"/>
        <v>9.7210523172344132E-3</v>
      </c>
    </row>
    <row r="181" spans="1:23" x14ac:dyDescent="0.3">
      <c r="A181" t="s">
        <v>328</v>
      </c>
      <c r="B181" s="1">
        <v>16.409634</v>
      </c>
      <c r="C181" s="1">
        <v>10.94037</v>
      </c>
      <c r="D181" s="1">
        <v>16.908262000000001</v>
      </c>
      <c r="E181" s="1">
        <v>26.580138999999999</v>
      </c>
      <c r="F181" s="1">
        <v>9.9198079999999997</v>
      </c>
      <c r="G181" s="1">
        <v>6.9839529999999996</v>
      </c>
      <c r="H181" s="1">
        <v>4421.330078</v>
      </c>
      <c r="I181" s="1">
        <v>38.044967999999997</v>
      </c>
      <c r="J181" s="1">
        <v>13.036156999999999</v>
      </c>
      <c r="K181" s="1">
        <v>2.103132</v>
      </c>
      <c r="L181" s="1">
        <v>21.028663999999999</v>
      </c>
      <c r="M181">
        <f t="shared" si="32"/>
        <v>5.7999568539801594E-4</v>
      </c>
      <c r="N181">
        <f t="shared" si="32"/>
        <v>1.8214913700828284E-2</v>
      </c>
      <c r="O181">
        <f t="shared" si="32"/>
        <v>-1.255711449225172E-2</v>
      </c>
      <c r="P181">
        <f t="shared" si="31"/>
        <v>2.1598354385241603E-3</v>
      </c>
      <c r="Q181">
        <f t="shared" si="30"/>
        <v>-4.9092428567001356E-3</v>
      </c>
      <c r="R181">
        <f t="shared" si="30"/>
        <v>8.5837058624320672E-3</v>
      </c>
      <c r="S181">
        <f t="shared" si="33"/>
        <v>1.5066432011676234E-2</v>
      </c>
      <c r="T181">
        <f t="shared" si="34"/>
        <v>-1.1168721327760034E-3</v>
      </c>
      <c r="U181">
        <f t="shared" si="35"/>
        <v>-1.0964763775084041E-2</v>
      </c>
      <c r="V181">
        <f t="shared" si="36"/>
        <v>1.025636295364496E-2</v>
      </c>
      <c r="W181">
        <f t="shared" si="37"/>
        <v>-1.7678471141742147E-3</v>
      </c>
    </row>
    <row r="182" spans="1:23" x14ac:dyDescent="0.3">
      <c r="A182" t="s">
        <v>327</v>
      </c>
      <c r="B182" s="1">
        <v>16.400122</v>
      </c>
      <c r="C182" s="1">
        <v>10.744657</v>
      </c>
      <c r="D182" s="1">
        <v>17.123280999999999</v>
      </c>
      <c r="E182" s="1">
        <v>26.522853999999999</v>
      </c>
      <c r="F182" s="1">
        <v>9.9687470000000005</v>
      </c>
      <c r="G182" s="1">
        <v>6.9245150000000004</v>
      </c>
      <c r="H182" s="1">
        <v>4429.1601559999999</v>
      </c>
      <c r="I182" s="1">
        <v>37.480274000000001</v>
      </c>
      <c r="J182" s="1">
        <v>13.050732999999999</v>
      </c>
      <c r="K182" s="1">
        <v>2.1264479999999999</v>
      </c>
      <c r="L182" s="1">
        <v>20.815176000000001</v>
      </c>
      <c r="M182">
        <f t="shared" si="32"/>
        <v>-1.8781988441457398E-2</v>
      </c>
      <c r="N182">
        <f t="shared" si="32"/>
        <v>-1.70097956339752E-2</v>
      </c>
      <c r="O182">
        <f t="shared" si="32"/>
        <v>-1.0169541885332922E-2</v>
      </c>
      <c r="P182">
        <f t="shared" si="31"/>
        <v>-6.4377553783319108E-3</v>
      </c>
      <c r="Q182">
        <f t="shared" si="30"/>
        <v>1.9927926947202135E-2</v>
      </c>
      <c r="R182">
        <f t="shared" si="30"/>
        <v>-2.7275285203898103E-2</v>
      </c>
      <c r="S182">
        <f t="shared" si="33"/>
        <v>-7.8541744773092947E-3</v>
      </c>
      <c r="T182">
        <f t="shared" si="34"/>
        <v>-2.1493616223009715E-2</v>
      </c>
      <c r="U182">
        <f t="shared" si="35"/>
        <v>2.8196592357634387E-3</v>
      </c>
      <c r="V182">
        <f t="shared" si="36"/>
        <v>-1.650611495087051E-2</v>
      </c>
      <c r="W182">
        <f t="shared" si="37"/>
        <v>-1.1012625761475436E-2</v>
      </c>
    </row>
    <row r="183" spans="1:23" x14ac:dyDescent="0.3">
      <c r="A183" t="s">
        <v>326</v>
      </c>
      <c r="B183" s="1">
        <v>16.714044999999999</v>
      </c>
      <c r="C183" s="1">
        <v>10.930584</v>
      </c>
      <c r="D183" s="1">
        <v>17.299206000000002</v>
      </c>
      <c r="E183" s="1">
        <v>26.694707999999999</v>
      </c>
      <c r="F183" s="1">
        <v>9.7739720000000005</v>
      </c>
      <c r="G183" s="1">
        <v>7.1186790000000002</v>
      </c>
      <c r="H183" s="1">
        <v>4478.4799800000001</v>
      </c>
      <c r="I183" s="1">
        <v>37.776980999999999</v>
      </c>
      <c r="J183" s="1">
        <v>13.337402000000001</v>
      </c>
      <c r="K183" s="1">
        <v>2.1204689999999999</v>
      </c>
      <c r="L183" s="1">
        <v>21.16452</v>
      </c>
      <c r="M183">
        <f t="shared" si="32"/>
        <v>1.9960133687033643E-3</v>
      </c>
      <c r="N183">
        <f t="shared" si="32"/>
        <v>-1.062888056240352E-2</v>
      </c>
      <c r="O183">
        <f t="shared" si="32"/>
        <v>6.8260702630400516E-3</v>
      </c>
      <c r="P183">
        <f t="shared" si="31"/>
        <v>-2.5104624819855204E-2</v>
      </c>
      <c r="Q183">
        <f t="shared" si="30"/>
        <v>-1.5672742375419824E-2</v>
      </c>
      <c r="R183">
        <f t="shared" si="30"/>
        <v>-5.2853654833877273E-2</v>
      </c>
      <c r="S183">
        <f t="shared" si="33"/>
        <v>1.2830379875527154E-2</v>
      </c>
      <c r="T183">
        <f t="shared" si="34"/>
        <v>-1.1879097120162885E-2</v>
      </c>
      <c r="U183">
        <f t="shared" si="35"/>
        <v>1.3428300512528191E-2</v>
      </c>
      <c r="V183">
        <f t="shared" si="36"/>
        <v>-3.0666753808640923E-2</v>
      </c>
      <c r="W183">
        <f t="shared" si="37"/>
        <v>-5.5048975277747214E-3</v>
      </c>
    </row>
    <row r="184" spans="1:23" x14ac:dyDescent="0.3">
      <c r="A184" t="s">
        <v>325</v>
      </c>
      <c r="B184" s="1">
        <v>16.68075</v>
      </c>
      <c r="C184" s="1">
        <v>11.048012</v>
      </c>
      <c r="D184" s="1">
        <v>17.181920999999999</v>
      </c>
      <c r="E184" s="1">
        <v>27.382126</v>
      </c>
      <c r="F184" s="1">
        <v>9.9295960000000001</v>
      </c>
      <c r="G184" s="1">
        <v>7.5159229999999999</v>
      </c>
      <c r="H184" s="1">
        <v>4503.2700199999999</v>
      </c>
      <c r="I184" s="1">
        <v>37.298428000000001</v>
      </c>
      <c r="J184" s="1">
        <v>13.497743</v>
      </c>
      <c r="K184" s="1">
        <v>2.0923720000000001</v>
      </c>
      <c r="L184" s="1">
        <v>21.834101</v>
      </c>
      <c r="M184">
        <f t="shared" si="32"/>
        <v>-1.044015813973953E-2</v>
      </c>
      <c r="N184">
        <f t="shared" si="32"/>
        <v>4.4483704279374425E-3</v>
      </c>
      <c r="O184">
        <f t="shared" si="32"/>
        <v>5.7207287651439565E-3</v>
      </c>
      <c r="P184">
        <f t="shared" si="31"/>
        <v>3.3886140065289894E-2</v>
      </c>
      <c r="Q184">
        <f t="shared" si="30"/>
        <v>-4.1115325782976053E-2</v>
      </c>
      <c r="R184">
        <f t="shared" si="30"/>
        <v>1.7433404538157005E-2</v>
      </c>
      <c r="S184">
        <f t="shared" si="33"/>
        <v>-1.4166365617917398E-2</v>
      </c>
      <c r="T184">
        <f t="shared" si="34"/>
        <v>2.6228397416300231E-2</v>
      </c>
      <c r="U184">
        <f t="shared" si="35"/>
        <v>5.1695537734957053E-3</v>
      </c>
      <c r="V184">
        <f t="shared" si="36"/>
        <v>1.7179037450454349E-2</v>
      </c>
      <c r="W184">
        <f t="shared" si="37"/>
        <v>1.2881246063877638E-2</v>
      </c>
    </row>
    <row r="185" spans="1:23" x14ac:dyDescent="0.3">
      <c r="A185" t="s">
        <v>324</v>
      </c>
      <c r="B185" s="1">
        <v>16.856736999999999</v>
      </c>
      <c r="C185" s="1">
        <v>10.999084</v>
      </c>
      <c r="D185" s="1">
        <v>17.084187</v>
      </c>
      <c r="E185" s="1">
        <v>26.484663000000001</v>
      </c>
      <c r="F185" s="1">
        <v>10.355359999999999</v>
      </c>
      <c r="G185" s="1">
        <v>7.3871399999999996</v>
      </c>
      <c r="H185" s="1">
        <v>4446</v>
      </c>
      <c r="I185" s="1">
        <v>37.834403999999999</v>
      </c>
      <c r="J185" s="1">
        <v>13.152767000000001</v>
      </c>
      <c r="K185" s="1">
        <v>2.0816110000000001</v>
      </c>
      <c r="L185" s="1">
        <v>21.465347000000001</v>
      </c>
      <c r="M185">
        <f t="shared" si="32"/>
        <v>5.038525631650792E-2</v>
      </c>
      <c r="N185">
        <f t="shared" si="32"/>
        <v>4.4609688023179217E-2</v>
      </c>
      <c r="O185">
        <f t="shared" si="32"/>
        <v>-5.6881881833817927E-3</v>
      </c>
      <c r="P185">
        <f t="shared" si="31"/>
        <v>5.3151107176716783E-2</v>
      </c>
      <c r="Q185">
        <f t="shared" si="30"/>
        <v>1.8286832037385681E-2</v>
      </c>
      <c r="R185">
        <f t="shared" si="30"/>
        <v>7.6978522361569102E-2</v>
      </c>
      <c r="S185">
        <f t="shared" si="33"/>
        <v>1.0128022651212376E-3</v>
      </c>
      <c r="T185">
        <f t="shared" si="34"/>
        <v>1.0828887454471525E-2</v>
      </c>
      <c r="U185">
        <f t="shared" si="35"/>
        <v>2.956827704024434E-2</v>
      </c>
      <c r="V185">
        <f t="shared" si="36"/>
        <v>4.4874810055149927E-2</v>
      </c>
      <c r="W185">
        <f t="shared" si="37"/>
        <v>3.8355628451058221E-2</v>
      </c>
    </row>
    <row r="186" spans="1:23" x14ac:dyDescent="0.3">
      <c r="A186" t="s">
        <v>323</v>
      </c>
      <c r="B186" s="1">
        <v>16.048147</v>
      </c>
      <c r="C186" s="1">
        <v>10.529372</v>
      </c>
      <c r="D186" s="1">
        <v>17.181920999999999</v>
      </c>
      <c r="E186" s="1">
        <v>25.148018</v>
      </c>
      <c r="F186" s="1">
        <v>10.169394</v>
      </c>
      <c r="G186" s="1">
        <v>6.8591340000000001</v>
      </c>
      <c r="H186" s="1">
        <v>4281.7700199999999</v>
      </c>
      <c r="I186" s="1">
        <v>37.796123999999999</v>
      </c>
      <c r="J186" s="1">
        <v>13.011863</v>
      </c>
      <c r="K186" s="1">
        <v>2.0218289999999999</v>
      </c>
      <c r="L186" s="1">
        <v>20.543462999999999</v>
      </c>
      <c r="M186">
        <f t="shared" si="32"/>
        <v>-1.1716423098995676E-2</v>
      </c>
      <c r="N186">
        <f t="shared" si="32"/>
        <v>9.3016959696234913E-4</v>
      </c>
      <c r="O186">
        <f t="shared" si="32"/>
        <v>2.2804288767288572E-3</v>
      </c>
      <c r="P186">
        <f t="shared" si="31"/>
        <v>-9.029418935350475E-3</v>
      </c>
      <c r="Q186">
        <f t="shared" si="30"/>
        <v>-3.8408189884188815E-2</v>
      </c>
      <c r="R186">
        <f t="shared" si="30"/>
        <v>-4.3140708620142965E-3</v>
      </c>
      <c r="S186">
        <f t="shared" si="33"/>
        <v>-3.7839532989282221E-3</v>
      </c>
      <c r="T186">
        <f t="shared" si="34"/>
        <v>8.2831659649860168E-3</v>
      </c>
      <c r="U186">
        <f t="shared" si="35"/>
        <v>-1.857248955142754E-2</v>
      </c>
      <c r="V186">
        <f t="shared" si="36"/>
        <v>-4.2332342161461867E-3</v>
      </c>
      <c r="W186">
        <f t="shared" si="37"/>
        <v>-3.1429921604788635E-3</v>
      </c>
    </row>
    <row r="187" spans="1:23" x14ac:dyDescent="0.3">
      <c r="A187" t="s">
        <v>322</v>
      </c>
      <c r="B187" s="1">
        <v>16.238403000000002</v>
      </c>
      <c r="C187" s="1">
        <v>10.519587</v>
      </c>
      <c r="D187" s="1">
        <v>17.142828000000002</v>
      </c>
      <c r="E187" s="1">
        <v>25.377158999999999</v>
      </c>
      <c r="F187" s="1">
        <v>10.575583</v>
      </c>
      <c r="G187" s="1">
        <v>6.8888530000000001</v>
      </c>
      <c r="H187" s="1">
        <v>4295.2700199999999</v>
      </c>
      <c r="I187" s="1">
        <v>37.939686000000002</v>
      </c>
      <c r="J187" s="1">
        <v>12.904968999999999</v>
      </c>
      <c r="K187" s="1">
        <v>2.0600900000000002</v>
      </c>
      <c r="L187" s="1">
        <v>20.630797999999999</v>
      </c>
      <c r="M187">
        <f t="shared" si="32"/>
        <v>7.3767828802062674E-3</v>
      </c>
      <c r="N187">
        <f t="shared" si="32"/>
        <v>3.734860851315025E-3</v>
      </c>
      <c r="O187">
        <f t="shared" si="32"/>
        <v>-3.7321504262153971E-2</v>
      </c>
      <c r="P187">
        <f t="shared" si="31"/>
        <v>-1.0424384781025364E-2</v>
      </c>
      <c r="Q187">
        <f t="shared" si="30"/>
        <v>4.396143310678724E-2</v>
      </c>
      <c r="R187">
        <f t="shared" si="30"/>
        <v>-4.3123555807056402E-4</v>
      </c>
      <c r="S187">
        <f t="shared" si="33"/>
        <v>7.5737966419398006E-4</v>
      </c>
      <c r="T187">
        <f t="shared" si="34"/>
        <v>1.6456233597247572E-2</v>
      </c>
      <c r="U187">
        <f t="shared" si="35"/>
        <v>1.5022164454984166E-2</v>
      </c>
      <c r="V187">
        <f t="shared" si="36"/>
        <v>1.2863208860221853E-2</v>
      </c>
      <c r="W187">
        <f t="shared" si="37"/>
        <v>9.2199155039514036E-3</v>
      </c>
    </row>
    <row r="188" spans="1:23" x14ac:dyDescent="0.3">
      <c r="A188" t="s">
        <v>321</v>
      </c>
      <c r="B188" s="1">
        <v>16.119492999999999</v>
      </c>
      <c r="C188" s="1">
        <v>10.480444</v>
      </c>
      <c r="D188" s="1">
        <v>17.807428000000002</v>
      </c>
      <c r="E188" s="1">
        <v>25.644487000000002</v>
      </c>
      <c r="F188" s="1">
        <v>10.130243</v>
      </c>
      <c r="G188" s="1">
        <v>6.8918249999999999</v>
      </c>
      <c r="H188" s="1">
        <v>4256.0297849999997</v>
      </c>
      <c r="I188" s="1">
        <v>37.910972999999998</v>
      </c>
      <c r="J188" s="1">
        <v>12.69604</v>
      </c>
      <c r="K188" s="1">
        <v>2.029601</v>
      </c>
      <c r="L188" s="1">
        <v>20.368790000000001</v>
      </c>
      <c r="M188">
        <f t="shared" si="32"/>
        <v>4.7435735215561881E-3</v>
      </c>
      <c r="N188">
        <f t="shared" si="32"/>
        <v>2.8089901079189072E-3</v>
      </c>
      <c r="O188">
        <f t="shared" si="32"/>
        <v>1.3348022647416968E-2</v>
      </c>
      <c r="P188">
        <f t="shared" si="31"/>
        <v>-1.4869556427842268E-3</v>
      </c>
      <c r="Q188">
        <f t="shared" si="30"/>
        <v>-1.0516211956213328E-2</v>
      </c>
      <c r="R188">
        <f t="shared" si="30"/>
        <v>8.1148577990970416E-3</v>
      </c>
      <c r="S188">
        <f t="shared" si="33"/>
        <v>2.1929874335503197E-2</v>
      </c>
      <c r="T188">
        <f t="shared" si="34"/>
        <v>1.3576339677293214E-2</v>
      </c>
      <c r="U188">
        <f t="shared" si="35"/>
        <v>1.6771511575188525E-2</v>
      </c>
      <c r="V188">
        <f t="shared" si="36"/>
        <v>7.6812929798881768E-3</v>
      </c>
      <c r="W188">
        <f t="shared" si="37"/>
        <v>1.0136890334484949E-2</v>
      </c>
    </row>
    <row r="189" spans="1:23" x14ac:dyDescent="0.3">
      <c r="A189" t="s">
        <v>320</v>
      </c>
      <c r="B189" s="1">
        <v>16.043389999999999</v>
      </c>
      <c r="C189" s="1">
        <v>10.451086999999999</v>
      </c>
      <c r="D189" s="1">
        <v>17.572865</v>
      </c>
      <c r="E189" s="1">
        <v>25.682676000000001</v>
      </c>
      <c r="F189" s="1">
        <v>10.237907</v>
      </c>
      <c r="G189" s="1">
        <v>6.8363490000000002</v>
      </c>
      <c r="H189" s="1">
        <v>4213.3198240000002</v>
      </c>
      <c r="I189" s="1">
        <v>37.097431</v>
      </c>
      <c r="J189" s="1">
        <v>12.525983</v>
      </c>
      <c r="K189" s="1">
        <v>1.9961230000000001</v>
      </c>
      <c r="L189" s="1">
        <v>20.213524</v>
      </c>
      <c r="M189">
        <f t="shared" si="32"/>
        <v>2.6163691740577644E-2</v>
      </c>
      <c r="N189">
        <f t="shared" si="32"/>
        <v>9.4518329062522888E-3</v>
      </c>
      <c r="O189">
        <f t="shared" si="32"/>
        <v>4.4693599623886193E-3</v>
      </c>
      <c r="P189">
        <f t="shared" si="31"/>
        <v>1.4328744289959783E-2</v>
      </c>
      <c r="Q189">
        <f t="shared" si="30"/>
        <v>-1.7379148438714687E-2</v>
      </c>
      <c r="R189">
        <f t="shared" si="30"/>
        <v>3.8681464539028099E-2</v>
      </c>
      <c r="S189">
        <f t="shared" si="33"/>
        <v>4.0257587858641086E-2</v>
      </c>
      <c r="T189">
        <f t="shared" si="34"/>
        <v>2.7501071511333297E-2</v>
      </c>
      <c r="U189">
        <f t="shared" si="35"/>
        <v>-2.0921778046180117E-3</v>
      </c>
      <c r="V189">
        <f t="shared" si="36"/>
        <v>1.4612745259695803E-2</v>
      </c>
      <c r="W189">
        <f t="shared" si="37"/>
        <v>2.6167336615190662E-2</v>
      </c>
    </row>
    <row r="190" spans="1:23" x14ac:dyDescent="0.3">
      <c r="A190" t="s">
        <v>319</v>
      </c>
      <c r="B190" s="1">
        <v>15.634338</v>
      </c>
      <c r="C190" s="1">
        <v>10.35323</v>
      </c>
      <c r="D190" s="1">
        <v>17.494675000000001</v>
      </c>
      <c r="E190" s="1">
        <v>25.319873999999999</v>
      </c>
      <c r="F190" s="1">
        <v>10.418979999999999</v>
      </c>
      <c r="G190" s="1">
        <v>6.5817569999999996</v>
      </c>
      <c r="H190" s="1">
        <v>4105.8798829999996</v>
      </c>
      <c r="I190" s="1">
        <v>35.661774000000001</v>
      </c>
      <c r="J190" s="1">
        <v>12.190725</v>
      </c>
      <c r="K190" s="1">
        <v>2.000308</v>
      </c>
      <c r="L190" s="1">
        <v>19.922402999999999</v>
      </c>
      <c r="M190">
        <f t="shared" si="32"/>
        <v>1.7647013260173372E-2</v>
      </c>
      <c r="N190">
        <f t="shared" si="32"/>
        <v>-2.8274266160664974E-3</v>
      </c>
      <c r="O190">
        <f t="shared" si="32"/>
        <v>1.1299304719534442E-2</v>
      </c>
      <c r="P190">
        <f t="shared" si="31"/>
        <v>-1.7777729675025999E-2</v>
      </c>
      <c r="Q190">
        <f t="shared" si="30"/>
        <v>-7.3945162942945619E-2</v>
      </c>
      <c r="R190">
        <f t="shared" si="30"/>
        <v>2.8482934787992908E-2</v>
      </c>
      <c r="S190">
        <f t="shared" si="33"/>
        <v>1.3877576364055955E-2</v>
      </c>
      <c r="T190">
        <f t="shared" si="34"/>
        <v>1.5967904798914745E-3</v>
      </c>
      <c r="U190">
        <f t="shared" si="35"/>
        <v>1.1181950350522829E-2</v>
      </c>
      <c r="V190">
        <f t="shared" si="36"/>
        <v>2.4414455112493627E-3</v>
      </c>
      <c r="W190">
        <f t="shared" si="37"/>
        <v>1.2048282721222492E-2</v>
      </c>
    </row>
    <row r="191" spans="1:23" x14ac:dyDescent="0.3">
      <c r="A191" t="s">
        <v>318</v>
      </c>
      <c r="B191" s="1">
        <v>15.363223</v>
      </c>
      <c r="C191" s="1">
        <v>10.382586</v>
      </c>
      <c r="D191" s="1">
        <v>17.299206000000002</v>
      </c>
      <c r="E191" s="1">
        <v>25.778151000000001</v>
      </c>
      <c r="F191" s="1">
        <v>11.250932000000001</v>
      </c>
      <c r="G191" s="1">
        <v>6.3994809999999998</v>
      </c>
      <c r="H191" s="1">
        <v>4057</v>
      </c>
      <c r="I191" s="1">
        <v>35.173648999999997</v>
      </c>
      <c r="J191" s="1">
        <v>12.171290000000001</v>
      </c>
      <c r="K191" s="1">
        <v>1.9781880000000001</v>
      </c>
      <c r="L191" s="1">
        <v>19.873881999999998</v>
      </c>
      <c r="M191">
        <f t="shared" si="32"/>
        <v>8.4296484646761982E-3</v>
      </c>
      <c r="N191">
        <f t="shared" si="32"/>
        <v>-4.6905933902608998E-3</v>
      </c>
      <c r="O191">
        <f t="shared" si="32"/>
        <v>7.972789778383893E-3</v>
      </c>
      <c r="P191">
        <f t="shared" si="31"/>
        <v>5.0583561964403057E-2</v>
      </c>
      <c r="Q191">
        <f t="shared" si="30"/>
        <v>3.0541136299304661E-3</v>
      </c>
      <c r="R191">
        <f t="shared" si="30"/>
        <v>2.0376010353829743E-2</v>
      </c>
      <c r="S191">
        <f t="shared" si="33"/>
        <v>-7.0251399837792938E-3</v>
      </c>
      <c r="T191">
        <f t="shared" si="34"/>
        <v>1.4991850487615643E-2</v>
      </c>
      <c r="U191">
        <f t="shared" si="35"/>
        <v>7.612404577528098E-3</v>
      </c>
      <c r="V191">
        <f t="shared" si="36"/>
        <v>2.7596565902246795E-2</v>
      </c>
      <c r="W191">
        <f t="shared" si="37"/>
        <v>4.9741085748491454E-3</v>
      </c>
    </row>
    <row r="192" spans="1:23" x14ac:dyDescent="0.3">
      <c r="A192" t="s">
        <v>317</v>
      </c>
      <c r="B192" s="1">
        <v>15.234799000000001</v>
      </c>
      <c r="C192" s="1">
        <v>10.431516</v>
      </c>
      <c r="D192" s="1">
        <v>17.162374</v>
      </c>
      <c r="E192" s="1">
        <v>24.536982999999999</v>
      </c>
      <c r="F192" s="1">
        <v>11.216675</v>
      </c>
      <c r="G192" s="1">
        <v>6.2716890000000003</v>
      </c>
      <c r="H192" s="1">
        <v>4036.919922</v>
      </c>
      <c r="I192" s="1">
        <v>35.422497</v>
      </c>
      <c r="J192" s="1">
        <v>11.991515</v>
      </c>
      <c r="K192" s="1">
        <v>1.9632430000000001</v>
      </c>
      <c r="L192" s="1">
        <v>19.340160000000001</v>
      </c>
      <c r="M192">
        <f t="shared" si="32"/>
        <v>-8.6661356925242794E-3</v>
      </c>
      <c r="N192">
        <f t="shared" si="32"/>
        <v>1.0426512373165275E-2</v>
      </c>
      <c r="O192">
        <f t="shared" si="32"/>
        <v>9.1954032451022627E-3</v>
      </c>
      <c r="P192">
        <f t="shared" si="31"/>
        <v>1.5589340714812217E-3</v>
      </c>
      <c r="Q192">
        <f t="shared" si="30"/>
        <v>7.9155608807803812E-3</v>
      </c>
      <c r="R192">
        <f t="shared" si="30"/>
        <v>-2.2064866794642146E-3</v>
      </c>
      <c r="S192">
        <f t="shared" si="33"/>
        <v>-2.6947023903909351E-3</v>
      </c>
      <c r="T192">
        <f t="shared" si="34"/>
        <v>4.8860285611356247E-3</v>
      </c>
      <c r="U192">
        <f t="shared" si="35"/>
        <v>-1.8237468413639935E-3</v>
      </c>
      <c r="V192">
        <f t="shared" si="36"/>
        <v>-9.4433988655709955E-3</v>
      </c>
      <c r="W192">
        <f t="shared" si="37"/>
        <v>-1.8585780716411149E-2</v>
      </c>
    </row>
    <row r="193" spans="1:23" x14ac:dyDescent="0.3">
      <c r="A193" t="s">
        <v>316</v>
      </c>
      <c r="B193" s="1">
        <v>15.367979999999999</v>
      </c>
      <c r="C193" s="1">
        <v>10.323874</v>
      </c>
      <c r="D193" s="1">
        <v>17.005997000000001</v>
      </c>
      <c r="E193" s="1">
        <v>24.498791000000001</v>
      </c>
      <c r="F193" s="1">
        <v>11.128586</v>
      </c>
      <c r="G193" s="1">
        <v>6.285558</v>
      </c>
      <c r="H193" s="1">
        <v>4113.3701170000004</v>
      </c>
      <c r="I193" s="1">
        <v>35.518208000000001</v>
      </c>
      <c r="J193" s="1">
        <v>11.933209</v>
      </c>
      <c r="K193" s="1">
        <v>1.9668300000000001</v>
      </c>
      <c r="L193" s="1">
        <v>19.524538</v>
      </c>
      <c r="M193">
        <f t="shared" si="32"/>
        <v>-3.0893769599864784E-2</v>
      </c>
      <c r="N193">
        <f t="shared" si="32"/>
        <v>-6.0552087990325965E-2</v>
      </c>
      <c r="O193">
        <f t="shared" si="32"/>
        <v>-1.5837119915053877E-2</v>
      </c>
      <c r="P193">
        <f t="shared" si="31"/>
        <v>-4.6096637281878294E-2</v>
      </c>
      <c r="Q193">
        <f t="shared" si="31"/>
        <v>-1.3020822940133181E-2</v>
      </c>
      <c r="R193">
        <f t="shared" si="31"/>
        <v>-4.269768060985335E-2</v>
      </c>
      <c r="S193">
        <f t="shared" si="33"/>
        <v>-2.2392013112278231E-2</v>
      </c>
      <c r="T193">
        <f t="shared" si="34"/>
        <v>-1.3258308210435166E-2</v>
      </c>
      <c r="U193">
        <f t="shared" si="35"/>
        <v>-3.2921375661635777E-2</v>
      </c>
      <c r="V193">
        <f t="shared" si="36"/>
        <v>-6.4197236840030092E-3</v>
      </c>
      <c r="W193">
        <f t="shared" si="37"/>
        <v>-2.9277192507537242E-2</v>
      </c>
    </row>
    <row r="194" spans="1:23" x14ac:dyDescent="0.3">
      <c r="A194" t="s">
        <v>315</v>
      </c>
      <c r="B194" s="1">
        <v>15.857889999999999</v>
      </c>
      <c r="C194" s="1">
        <v>10.989299000000001</v>
      </c>
      <c r="D194" s="1">
        <v>17.279657</v>
      </c>
      <c r="E194" s="1">
        <v>25.682676000000001</v>
      </c>
      <c r="F194" s="1">
        <v>11.275401</v>
      </c>
      <c r="G194" s="1">
        <v>6.5659070000000002</v>
      </c>
      <c r="H194" s="1">
        <v>4237.4301759999998</v>
      </c>
      <c r="I194" s="1">
        <v>36.331749000000002</v>
      </c>
      <c r="J194" s="1">
        <v>12.093548999999999</v>
      </c>
      <c r="K194" s="1">
        <v>2.033785</v>
      </c>
      <c r="L194" s="1">
        <v>19.650690000000001</v>
      </c>
      <c r="M194">
        <f t="shared" si="32"/>
        <v>-2.3432907780401968E-2</v>
      </c>
      <c r="N194">
        <f t="shared" si="32"/>
        <v>4.3630889927943617E-3</v>
      </c>
      <c r="O194">
        <f t="shared" si="32"/>
        <v>-4.5044762181020159E-3</v>
      </c>
      <c r="P194">
        <f t="shared" si="31"/>
        <v>-2.1818264086577388E-2</v>
      </c>
      <c r="Q194">
        <f t="shared" si="31"/>
        <v>1.7390993784018871E-3</v>
      </c>
      <c r="R194">
        <f t="shared" si="31"/>
        <v>-1.4423750952792136E-2</v>
      </c>
      <c r="S194">
        <f t="shared" si="33"/>
        <v>1.1188077940061047E-2</v>
      </c>
      <c r="T194">
        <f t="shared" si="34"/>
        <v>-9.1561028149897972E-3</v>
      </c>
      <c r="U194">
        <f t="shared" si="35"/>
        <v>-8.7414462012360694E-3</v>
      </c>
      <c r="V194">
        <f t="shared" si="36"/>
        <v>-1.2195116433977637E-2</v>
      </c>
      <c r="W194">
        <f t="shared" si="37"/>
        <v>-1.4519005034839161E-2</v>
      </c>
    </row>
    <row r="195" spans="1:23" x14ac:dyDescent="0.3">
      <c r="A195" t="s">
        <v>314</v>
      </c>
      <c r="B195" s="1">
        <v>16.238403000000002</v>
      </c>
      <c r="C195" s="1">
        <v>10.941560000000001</v>
      </c>
      <c r="D195" s="1">
        <v>17.357845000000001</v>
      </c>
      <c r="E195" s="1">
        <v>26.255526</v>
      </c>
      <c r="F195" s="1">
        <v>11.255826000000001</v>
      </c>
      <c r="G195" s="1">
        <v>6.6619979999999996</v>
      </c>
      <c r="H195" s="1">
        <v>4299.8598629999997</v>
      </c>
      <c r="I195" s="1">
        <v>35.929763999999999</v>
      </c>
      <c r="J195" s="1">
        <v>12.205302</v>
      </c>
      <c r="K195" s="1">
        <v>2.05172</v>
      </c>
      <c r="L195" s="1">
        <v>19.893291000000001</v>
      </c>
      <c r="M195">
        <f t="shared" si="32"/>
        <v>-1.8119057154053597E-2</v>
      </c>
      <c r="N195">
        <f t="shared" si="32"/>
        <v>-3.3955320776631881E-3</v>
      </c>
      <c r="O195">
        <f t="shared" si="32"/>
        <v>-1.003360828462907E-2</v>
      </c>
      <c r="P195">
        <f t="shared" si="31"/>
        <v>-2.6893125651913929E-2</v>
      </c>
      <c r="Q195">
        <f t="shared" si="31"/>
        <v>-8.620711674420134E-3</v>
      </c>
      <c r="R195">
        <f t="shared" si="31"/>
        <v>-1.1174826183718567E-2</v>
      </c>
      <c r="S195">
        <f t="shared" si="33"/>
        <v>-1.3921743514173746E-2</v>
      </c>
      <c r="T195">
        <f t="shared" si="34"/>
        <v>-3.9388126233790954E-2</v>
      </c>
      <c r="U195">
        <f t="shared" si="35"/>
        <v>-1.294222807225176E-2</v>
      </c>
      <c r="V195">
        <f t="shared" si="36"/>
        <v>3.9177097264340155E-3</v>
      </c>
      <c r="W195">
        <f t="shared" si="37"/>
        <v>-1.9449743088851057E-2</v>
      </c>
    </row>
    <row r="196" spans="1:23" x14ac:dyDescent="0.3">
      <c r="A196" t="s">
        <v>313</v>
      </c>
      <c r="B196" s="1">
        <v>16.538056999999998</v>
      </c>
      <c r="C196" s="1">
        <v>10.978839000000001</v>
      </c>
      <c r="D196" s="1">
        <v>17.533771999999999</v>
      </c>
      <c r="E196" s="1">
        <v>26.981133</v>
      </c>
      <c r="F196" s="1">
        <v>11.353702999999999</v>
      </c>
      <c r="G196" s="1">
        <v>6.7372860000000001</v>
      </c>
      <c r="H196" s="1">
        <v>4385.1499020000001</v>
      </c>
      <c r="I196" s="1">
        <v>36.437030999999998</v>
      </c>
      <c r="J196" s="1">
        <v>12.705757999999999</v>
      </c>
      <c r="K196" s="1">
        <v>2.0786220000000002</v>
      </c>
      <c r="L196" s="1">
        <v>19.815659</v>
      </c>
      <c r="M196">
        <f t="shared" si="32"/>
        <v>-5.7494843200867063E-4</v>
      </c>
      <c r="N196">
        <f t="shared" si="32"/>
        <v>1.4642525725248046E-2</v>
      </c>
      <c r="O196">
        <f t="shared" si="32"/>
        <v>2.2347943016944871E-3</v>
      </c>
      <c r="P196">
        <f t="shared" si="31"/>
        <v>-1.4644334044770613E-2</v>
      </c>
      <c r="Q196">
        <f t="shared" si="31"/>
        <v>-4.2917254249893455E-3</v>
      </c>
      <c r="R196">
        <f t="shared" si="31"/>
        <v>3.5002237519319968E-2</v>
      </c>
      <c r="S196">
        <f t="shared" si="33"/>
        <v>-2.6260335600014617E-4</v>
      </c>
      <c r="T196">
        <f t="shared" si="34"/>
        <v>-1.7655933661364975E-2</v>
      </c>
      <c r="U196">
        <f t="shared" si="35"/>
        <v>1.1638144379569226E-2</v>
      </c>
      <c r="V196">
        <f t="shared" si="36"/>
        <v>6.9033723001887815E-3</v>
      </c>
      <c r="W196">
        <f t="shared" si="37"/>
        <v>4.3815378565306151E-3</v>
      </c>
    </row>
    <row r="197" spans="1:23" x14ac:dyDescent="0.3">
      <c r="A197" t="s">
        <v>312</v>
      </c>
      <c r="B197" s="1">
        <v>16.547571000000001</v>
      </c>
      <c r="C197" s="1">
        <v>10.820401</v>
      </c>
      <c r="D197" s="1">
        <v>17.494675000000001</v>
      </c>
      <c r="E197" s="1">
        <v>27.382126</v>
      </c>
      <c r="F197" s="1">
        <v>11.40264</v>
      </c>
      <c r="G197" s="1">
        <v>6.5094409999999998</v>
      </c>
      <c r="H197" s="1">
        <v>4366.0200199999999</v>
      </c>
      <c r="I197" s="1">
        <v>36.446601999999999</v>
      </c>
      <c r="J197" s="1">
        <v>12.934122</v>
      </c>
      <c r="K197" s="1">
        <v>2.0547089999999999</v>
      </c>
      <c r="L197" s="1">
        <v>19.679801999999999</v>
      </c>
      <c r="M197">
        <f t="shared" si="32"/>
        <v>8.6316706283695588E-4</v>
      </c>
      <c r="N197">
        <f t="shared" si="32"/>
        <v>-1.1073283882737095E-2</v>
      </c>
      <c r="O197">
        <f t="shared" si="32"/>
        <v>0</v>
      </c>
      <c r="P197">
        <f t="shared" si="32"/>
        <v>-3.9517725204556653E-2</v>
      </c>
      <c r="Q197">
        <f t="shared" si="32"/>
        <v>3.4452443747474693E-3</v>
      </c>
      <c r="R197">
        <f t="shared" si="32"/>
        <v>-4.2431146523600471E-3</v>
      </c>
      <c r="S197">
        <f t="shared" si="33"/>
        <v>4.87468752270519E-2</v>
      </c>
      <c r="T197">
        <f t="shared" si="34"/>
        <v>-1.2611188977748489E-2</v>
      </c>
      <c r="U197">
        <f t="shared" si="35"/>
        <v>0.27202068208536923</v>
      </c>
      <c r="V197">
        <f t="shared" si="36"/>
        <v>1.046338170684491E-2</v>
      </c>
      <c r="W197">
        <f t="shared" si="37"/>
        <v>-4.1262293978238107E-3</v>
      </c>
    </row>
    <row r="198" spans="1:23" x14ac:dyDescent="0.3">
      <c r="A198" t="s">
        <v>311</v>
      </c>
      <c r="B198" s="1">
        <v>16.533300000000001</v>
      </c>
      <c r="C198" s="1">
        <v>10.941560000000001</v>
      </c>
      <c r="D198" s="1">
        <v>17.494675000000001</v>
      </c>
      <c r="E198" s="1">
        <v>28.508725999999999</v>
      </c>
      <c r="F198" s="1">
        <v>11.363490000000001</v>
      </c>
      <c r="G198" s="1">
        <v>6.5371790000000001</v>
      </c>
      <c r="H198" s="1">
        <v>4384.1098629999997</v>
      </c>
      <c r="I198" s="1">
        <v>34.752524999999999</v>
      </c>
      <c r="J198" s="1">
        <v>13.099320000000001</v>
      </c>
      <c r="K198" s="1">
        <v>1.6153109999999999</v>
      </c>
      <c r="L198" s="1">
        <v>19.476016999999999</v>
      </c>
      <c r="M198">
        <f t="shared" ref="M198:P261" si="38">+B198/B199-1</f>
        <v>-3.0404503936546035E-2</v>
      </c>
      <c r="N198">
        <f t="shared" si="38"/>
        <v>-9.2828012835834972E-3</v>
      </c>
      <c r="O198">
        <f t="shared" si="38"/>
        <v>-1.6483635715186629E-2</v>
      </c>
      <c r="P198">
        <f t="shared" si="38"/>
        <v>6.743114289766261E-3</v>
      </c>
      <c r="Q198">
        <f t="shared" ref="Q198:R261" si="39">+F198/F199-1</f>
        <v>-3.4334154195869715E-3</v>
      </c>
      <c r="R198">
        <f t="shared" si="39"/>
        <v>-1.7128439768327119E-2</v>
      </c>
      <c r="S198">
        <f t="shared" ref="S198:S261" si="40">+I198/I199-1</f>
        <v>-4.6981495507838256E-2</v>
      </c>
      <c r="T198">
        <f t="shared" ref="T198:T261" si="41">+J198/J199-1</f>
        <v>-1.3538270978686984E-2</v>
      </c>
      <c r="U198">
        <f t="shared" ref="U198:U261" si="42">+K198/K199-1</f>
        <v>-2.03972843242195E-2</v>
      </c>
      <c r="V198">
        <f t="shared" ref="V198:V261" si="43">+L198/L199-1</f>
        <v>-1.6658475527106753E-2</v>
      </c>
      <c r="W198">
        <f t="shared" ref="W198:W261" si="44">+H198/H199-1</f>
        <v>-1.0153398495406529E-2</v>
      </c>
    </row>
    <row r="199" spans="1:23" x14ac:dyDescent="0.3">
      <c r="A199" t="s">
        <v>310</v>
      </c>
      <c r="B199" s="1">
        <v>17.051749999999998</v>
      </c>
      <c r="C199" s="1">
        <v>11.044079999999999</v>
      </c>
      <c r="D199" s="1">
        <v>17.787883999999998</v>
      </c>
      <c r="E199" s="1">
        <v>28.317775999999999</v>
      </c>
      <c r="F199" s="1">
        <v>11.40264</v>
      </c>
      <c r="G199" s="1">
        <v>6.6511019999999998</v>
      </c>
      <c r="H199" s="1">
        <v>4429.080078</v>
      </c>
      <c r="I199" s="1">
        <v>36.465739999999997</v>
      </c>
      <c r="J199" s="1">
        <v>13.279095999999999</v>
      </c>
      <c r="K199" s="1">
        <v>1.6489450000000001</v>
      </c>
      <c r="L199" s="1">
        <v>19.805954</v>
      </c>
      <c r="M199">
        <f t="shared" si="38"/>
        <v>-9.1210777424830525E-3</v>
      </c>
      <c r="N199">
        <f t="shared" si="38"/>
        <v>-1.9039589513143773E-2</v>
      </c>
      <c r="O199">
        <f t="shared" si="38"/>
        <v>-5.4643904392904785E-3</v>
      </c>
      <c r="P199">
        <f t="shared" si="38"/>
        <v>2.7045405262542399E-3</v>
      </c>
      <c r="Q199">
        <f t="shared" si="39"/>
        <v>-1.4382449143752862E-2</v>
      </c>
      <c r="R199">
        <f t="shared" si="39"/>
        <v>-1.9324787889518635E-3</v>
      </c>
      <c r="S199">
        <f t="shared" si="40"/>
        <v>-7.8688662226156225E-4</v>
      </c>
      <c r="T199">
        <f t="shared" si="41"/>
        <v>-3.9029562201128187E-2</v>
      </c>
      <c r="U199">
        <f t="shared" si="42"/>
        <v>-1.2090167003669494E-2</v>
      </c>
      <c r="V199">
        <f t="shared" si="43"/>
        <v>-1.5911309185822953E-2</v>
      </c>
      <c r="W199">
        <f t="shared" si="44"/>
        <v>-4.1461178178124891E-3</v>
      </c>
    </row>
    <row r="200" spans="1:23" x14ac:dyDescent="0.3">
      <c r="A200" t="s">
        <v>309</v>
      </c>
      <c r="B200" s="1">
        <v>17.208711999999998</v>
      </c>
      <c r="C200" s="1">
        <v>11.258436</v>
      </c>
      <c r="D200" s="1">
        <v>17.885618000000001</v>
      </c>
      <c r="E200" s="1">
        <v>28.241396000000002</v>
      </c>
      <c r="F200" s="1">
        <v>11.569031000000001</v>
      </c>
      <c r="G200" s="1">
        <v>6.6639799999999996</v>
      </c>
      <c r="H200" s="1">
        <v>4447.5200199999999</v>
      </c>
      <c r="I200" s="1">
        <v>36.494456999999997</v>
      </c>
      <c r="J200" s="1">
        <v>13.818422999999999</v>
      </c>
      <c r="K200" s="1">
        <v>1.669125</v>
      </c>
      <c r="L200" s="1">
        <v>20.126187999999999</v>
      </c>
      <c r="M200">
        <f t="shared" si="38"/>
        <v>-1.6556584341669289E-3</v>
      </c>
      <c r="N200">
        <f t="shared" si="38"/>
        <v>1.0033375205600992E-2</v>
      </c>
      <c r="O200">
        <f t="shared" si="38"/>
        <v>3.2894528331977035E-3</v>
      </c>
      <c r="P200">
        <f t="shared" si="38"/>
        <v>-1.857996235342052E-2</v>
      </c>
      <c r="Q200">
        <f t="shared" si="39"/>
        <v>-7.5567543649928126E-3</v>
      </c>
      <c r="R200">
        <f t="shared" si="39"/>
        <v>3.8801046605394518E-3</v>
      </c>
      <c r="S200">
        <f t="shared" si="40"/>
        <v>-1.0381428182803965E-2</v>
      </c>
      <c r="T200">
        <f t="shared" si="41"/>
        <v>-3.8528333853211638E-3</v>
      </c>
      <c r="U200">
        <f t="shared" si="42"/>
        <v>-5.3711867268813052E-4</v>
      </c>
      <c r="V200">
        <f t="shared" si="43"/>
        <v>-1.9249685283986295E-3</v>
      </c>
      <c r="W200">
        <f t="shared" si="44"/>
        <v>1.8087180231873834E-3</v>
      </c>
    </row>
    <row r="201" spans="1:23" x14ac:dyDescent="0.3">
      <c r="A201" t="s">
        <v>308</v>
      </c>
      <c r="B201" s="1">
        <v>17.237251000000001</v>
      </c>
      <c r="C201" s="1">
        <v>11.146597999999999</v>
      </c>
      <c r="D201" s="1">
        <v>17.826976999999999</v>
      </c>
      <c r="E201" s="1">
        <v>28.776053999999998</v>
      </c>
      <c r="F201" s="1">
        <v>11.657121</v>
      </c>
      <c r="G201" s="1">
        <v>6.638223</v>
      </c>
      <c r="H201" s="1">
        <v>4439.4902339999999</v>
      </c>
      <c r="I201" s="1">
        <v>36.877296000000001</v>
      </c>
      <c r="J201" s="1">
        <v>13.871869</v>
      </c>
      <c r="K201" s="1">
        <v>1.6700219999999999</v>
      </c>
      <c r="L201" s="1">
        <v>20.165005000000001</v>
      </c>
      <c r="M201">
        <f t="shared" si="38"/>
        <v>1.116067670577725E-2</v>
      </c>
      <c r="N201">
        <f t="shared" si="38"/>
        <v>2.3972683278153495E-2</v>
      </c>
      <c r="O201">
        <f t="shared" si="38"/>
        <v>-8.6957077808895722E-3</v>
      </c>
      <c r="P201">
        <f t="shared" si="38"/>
        <v>2.9371480389447591E-2</v>
      </c>
      <c r="Q201">
        <f t="shared" si="39"/>
        <v>-2.0946634833099997E-3</v>
      </c>
      <c r="R201">
        <f t="shared" si="39"/>
        <v>6.760752209134635E-3</v>
      </c>
      <c r="S201">
        <f t="shared" si="40"/>
        <v>-3.6204086039470784E-3</v>
      </c>
      <c r="T201">
        <f t="shared" si="41"/>
        <v>1.4209522517170114E-2</v>
      </c>
      <c r="U201">
        <f t="shared" si="42"/>
        <v>5.6714303952054568E-3</v>
      </c>
      <c r="V201">
        <f t="shared" si="43"/>
        <v>1.2177346276952772E-2</v>
      </c>
      <c r="W201">
        <f t="shared" si="44"/>
        <v>8.2829998124787085E-3</v>
      </c>
    </row>
    <row r="202" spans="1:23" x14ac:dyDescent="0.3">
      <c r="A202" t="s">
        <v>307</v>
      </c>
      <c r="B202" s="1">
        <v>17.046994999999999</v>
      </c>
      <c r="C202" s="1">
        <v>10.88564</v>
      </c>
      <c r="D202" s="1">
        <v>17.983355</v>
      </c>
      <c r="E202" s="1">
        <v>27.954975000000001</v>
      </c>
      <c r="F202" s="1">
        <v>11.68159</v>
      </c>
      <c r="G202" s="1">
        <v>6.5936450000000004</v>
      </c>
      <c r="H202" s="1">
        <v>4403.0200199999999</v>
      </c>
      <c r="I202" s="1">
        <v>37.011291999999997</v>
      </c>
      <c r="J202" s="1">
        <v>13.677517999999999</v>
      </c>
      <c r="K202" s="1">
        <v>1.660604</v>
      </c>
      <c r="L202" s="1">
        <v>19.922402999999999</v>
      </c>
      <c r="M202">
        <f t="shared" si="38"/>
        <v>-3.0827450849741811E-2</v>
      </c>
      <c r="N202">
        <f t="shared" si="38"/>
        <v>-1.5177141438574737E-2</v>
      </c>
      <c r="O202">
        <f t="shared" si="38"/>
        <v>2.1786911246270968E-3</v>
      </c>
      <c r="P202">
        <f t="shared" si="38"/>
        <v>-1.0141885337396239E-2</v>
      </c>
      <c r="Q202">
        <f t="shared" si="39"/>
        <v>3.5574959305138654E-2</v>
      </c>
      <c r="R202">
        <f t="shared" si="39"/>
        <v>-1.9012455076563906E-2</v>
      </c>
      <c r="S202">
        <f t="shared" si="40"/>
        <v>-3.3008276778746182E-2</v>
      </c>
      <c r="T202">
        <f t="shared" si="41"/>
        <v>-1.9505348178192827E-2</v>
      </c>
      <c r="U202">
        <f t="shared" si="42"/>
        <v>-6.4396389302888712E-3</v>
      </c>
      <c r="V202">
        <f t="shared" si="43"/>
        <v>-2.977316670431196E-2</v>
      </c>
      <c r="W202">
        <f t="shared" si="44"/>
        <v>-1.45941368935536E-2</v>
      </c>
    </row>
    <row r="203" spans="1:23" x14ac:dyDescent="0.3">
      <c r="A203" t="s">
        <v>306</v>
      </c>
      <c r="B203" s="1">
        <v>17.589226</v>
      </c>
      <c r="C203" s="1">
        <v>11.053399000000001</v>
      </c>
      <c r="D203" s="1">
        <v>17.94426</v>
      </c>
      <c r="E203" s="1">
        <v>28.241396000000002</v>
      </c>
      <c r="F203" s="1">
        <v>11.280294</v>
      </c>
      <c r="G203" s="1">
        <v>6.7214359999999997</v>
      </c>
      <c r="H203" s="1">
        <v>4468.2299800000001</v>
      </c>
      <c r="I203" s="1">
        <v>38.274673</v>
      </c>
      <c r="J203" s="1">
        <v>13.94961</v>
      </c>
      <c r="K203" s="1">
        <v>1.671367</v>
      </c>
      <c r="L203" s="1">
        <v>20.533757999999999</v>
      </c>
      <c r="M203">
        <f t="shared" si="38"/>
        <v>2.4376814869084829E-2</v>
      </c>
      <c r="N203">
        <f t="shared" si="38"/>
        <v>3.3841319252270186E-3</v>
      </c>
      <c r="O203">
        <f t="shared" si="38"/>
        <v>-1.0775794347545387E-2</v>
      </c>
      <c r="P203">
        <f t="shared" si="38"/>
        <v>3.0661992422235329E-2</v>
      </c>
      <c r="Q203">
        <f t="shared" si="39"/>
        <v>-1.299869959883071E-3</v>
      </c>
      <c r="R203">
        <f t="shared" si="39"/>
        <v>5.9302784828842992E-3</v>
      </c>
      <c r="S203">
        <f t="shared" si="40"/>
        <v>-1.3323405730965687E-2</v>
      </c>
      <c r="T203">
        <f t="shared" si="41"/>
        <v>4.9002322284907862E-3</v>
      </c>
      <c r="U203">
        <f t="shared" si="42"/>
        <v>2.150763290122093E-3</v>
      </c>
      <c r="V203">
        <f t="shared" si="43"/>
        <v>4.7483162413848312E-3</v>
      </c>
      <c r="W203">
        <f t="shared" si="44"/>
        <v>6.4532909637045055E-3</v>
      </c>
    </row>
    <row r="204" spans="1:23" x14ac:dyDescent="0.3">
      <c r="A204" t="s">
        <v>305</v>
      </c>
      <c r="B204" s="1">
        <v>17.170660000000002</v>
      </c>
      <c r="C204" s="1">
        <v>11.016119</v>
      </c>
      <c r="D204" s="1">
        <v>18.13973</v>
      </c>
      <c r="E204" s="1">
        <v>27.401219999999999</v>
      </c>
      <c r="F204" s="1">
        <v>11.294976</v>
      </c>
      <c r="G204" s="1">
        <v>6.6818109999999997</v>
      </c>
      <c r="H204" s="1">
        <v>4439.580078</v>
      </c>
      <c r="I204" s="1">
        <v>38.791508</v>
      </c>
      <c r="J204" s="1">
        <v>13.881587</v>
      </c>
      <c r="K204" s="1">
        <v>1.66778</v>
      </c>
      <c r="L204" s="1">
        <v>20.436717999999999</v>
      </c>
      <c r="M204">
        <f t="shared" si="38"/>
        <v>-1.982083561600112E-2</v>
      </c>
      <c r="N204">
        <f t="shared" si="38"/>
        <v>-1.3355560656706178E-2</v>
      </c>
      <c r="O204">
        <f t="shared" si="38"/>
        <v>-3.2224857011950991E-3</v>
      </c>
      <c r="P204">
        <f t="shared" si="38"/>
        <v>-1.0344795329815692E-2</v>
      </c>
      <c r="Q204">
        <f t="shared" si="39"/>
        <v>-1.1986349899807514E-2</v>
      </c>
      <c r="R204">
        <f t="shared" si="39"/>
        <v>-1.947962567187056E-2</v>
      </c>
      <c r="S204">
        <f t="shared" si="40"/>
        <v>-1.0014668771543667E-2</v>
      </c>
      <c r="T204">
        <f t="shared" si="41"/>
        <v>-1.312612583535222E-2</v>
      </c>
      <c r="U204">
        <f t="shared" si="42"/>
        <v>7.3136510816460554E-3</v>
      </c>
      <c r="V204">
        <f t="shared" si="43"/>
        <v>-9.4072948608192597E-3</v>
      </c>
      <c r="W204">
        <f t="shared" si="44"/>
        <v>-6.8142479114828847E-3</v>
      </c>
    </row>
    <row r="205" spans="1:23" x14ac:dyDescent="0.3">
      <c r="A205" t="s">
        <v>304</v>
      </c>
      <c r="B205" s="1">
        <v>17.517879000000001</v>
      </c>
      <c r="C205" s="1">
        <v>11.165236999999999</v>
      </c>
      <c r="D205" s="1">
        <v>18.198374000000001</v>
      </c>
      <c r="E205" s="1">
        <v>27.687643000000001</v>
      </c>
      <c r="F205" s="1">
        <v>11.432003999999999</v>
      </c>
      <c r="G205" s="1">
        <v>6.8145559999999996</v>
      </c>
      <c r="H205" s="1">
        <v>4470.0400390000004</v>
      </c>
      <c r="I205" s="1">
        <v>39.183922000000003</v>
      </c>
      <c r="J205" s="1">
        <v>14.066222</v>
      </c>
      <c r="K205" s="1">
        <v>1.6556709999999999</v>
      </c>
      <c r="L205" s="1">
        <v>20.630797999999999</v>
      </c>
      <c r="M205">
        <f t="shared" si="38"/>
        <v>6.0092209151898501E-3</v>
      </c>
      <c r="N205">
        <f t="shared" si="38"/>
        <v>3.0981038200337707E-2</v>
      </c>
      <c r="O205">
        <f t="shared" si="38"/>
        <v>1.3057811913577799E-2</v>
      </c>
      <c r="P205">
        <f t="shared" si="38"/>
        <v>3.7938397141988878E-2</v>
      </c>
      <c r="Q205">
        <f t="shared" si="39"/>
        <v>9.5073981801496732E-3</v>
      </c>
      <c r="R205">
        <f t="shared" si="39"/>
        <v>3.3547950895280731E-3</v>
      </c>
      <c r="S205">
        <f t="shared" si="40"/>
        <v>7.3818167991381856E-3</v>
      </c>
      <c r="T205">
        <f t="shared" si="41"/>
        <v>1.9366276669439575E-2</v>
      </c>
      <c r="U205">
        <f t="shared" si="42"/>
        <v>9.8467423836263723E-3</v>
      </c>
      <c r="V205">
        <f t="shared" si="43"/>
        <v>-2.8142461253123363E-3</v>
      </c>
      <c r="W205">
        <f t="shared" si="44"/>
        <v>1.1502073549023883E-2</v>
      </c>
    </row>
    <row r="206" spans="1:23" x14ac:dyDescent="0.3">
      <c r="A206" t="s">
        <v>303</v>
      </c>
      <c r="B206" s="1">
        <v>17.413239000000001</v>
      </c>
      <c r="C206" s="1">
        <v>10.829720999999999</v>
      </c>
      <c r="D206" s="1">
        <v>17.963806000000002</v>
      </c>
      <c r="E206" s="1">
        <v>26.675612999999998</v>
      </c>
      <c r="F206" s="1">
        <v>11.324339</v>
      </c>
      <c r="G206" s="1">
        <v>6.7917709999999998</v>
      </c>
      <c r="H206" s="1">
        <v>4419.2099609999996</v>
      </c>
      <c r="I206" s="1">
        <v>38.896793000000002</v>
      </c>
      <c r="J206" s="1">
        <v>13.798987</v>
      </c>
      <c r="K206" s="1">
        <v>1.639527</v>
      </c>
      <c r="L206" s="1">
        <v>20.689022000000001</v>
      </c>
      <c r="M206">
        <f t="shared" si="38"/>
        <v>5.4930359028786402E-3</v>
      </c>
      <c r="N206">
        <f t="shared" si="38"/>
        <v>6.5077833821744147E-2</v>
      </c>
      <c r="O206">
        <f t="shared" si="38"/>
        <v>6.5716434992246775E-3</v>
      </c>
      <c r="P206">
        <f t="shared" si="38"/>
        <v>-1.4809610376957494E-2</v>
      </c>
      <c r="Q206">
        <f t="shared" si="39"/>
        <v>-8.6358658236318497E-4</v>
      </c>
      <c r="R206">
        <f t="shared" si="39"/>
        <v>-2.4734850509913198E-3</v>
      </c>
      <c r="S206">
        <f t="shared" si="40"/>
        <v>2.8079971868989917E-2</v>
      </c>
      <c r="T206">
        <f t="shared" si="41"/>
        <v>8.5226419356811967E-3</v>
      </c>
      <c r="U206">
        <f t="shared" si="42"/>
        <v>8.2103209533501698E-4</v>
      </c>
      <c r="V206">
        <f t="shared" si="43"/>
        <v>-4.6686087370845231E-3</v>
      </c>
      <c r="W206">
        <f t="shared" si="44"/>
        <v>9.0465359568496773E-3</v>
      </c>
    </row>
    <row r="207" spans="1:23" x14ac:dyDescent="0.3">
      <c r="A207" t="s">
        <v>302</v>
      </c>
      <c r="B207" s="1">
        <v>17.318110000000001</v>
      </c>
      <c r="C207" s="1">
        <v>10.168009</v>
      </c>
      <c r="D207" s="1">
        <v>17.846525</v>
      </c>
      <c r="E207" s="1">
        <v>27.076606999999999</v>
      </c>
      <c r="F207" s="1">
        <v>11.334127000000001</v>
      </c>
      <c r="G207" s="1">
        <v>6.8086120000000001</v>
      </c>
      <c r="H207" s="1">
        <v>4379.5898440000001</v>
      </c>
      <c r="I207" s="1">
        <v>37.834403999999999</v>
      </c>
      <c r="J207" s="1">
        <v>13.682377000000001</v>
      </c>
      <c r="K207" s="1">
        <v>1.638182</v>
      </c>
      <c r="L207" s="1">
        <v>20.786064</v>
      </c>
      <c r="M207">
        <f t="shared" si="38"/>
        <v>2.8531012495580654E-2</v>
      </c>
      <c r="N207">
        <f t="shared" si="38"/>
        <v>9.1744121707026949E-4</v>
      </c>
      <c r="O207">
        <f t="shared" si="38"/>
        <v>1.0965403724927381E-3</v>
      </c>
      <c r="P207">
        <f t="shared" si="38"/>
        <v>-2.1111973173624232E-3</v>
      </c>
      <c r="Q207">
        <f t="shared" si="39"/>
        <v>2.5973118415112406E-3</v>
      </c>
      <c r="R207">
        <f t="shared" si="39"/>
        <v>1.222394363454149E-2</v>
      </c>
      <c r="S207">
        <f t="shared" si="40"/>
        <v>-5.2844455428364689E-3</v>
      </c>
      <c r="T207">
        <f t="shared" si="41"/>
        <v>-1.2276397615292867E-2</v>
      </c>
      <c r="U207">
        <f t="shared" si="42"/>
        <v>1.5286482881804009E-2</v>
      </c>
      <c r="V207">
        <f t="shared" si="43"/>
        <v>2.980775461777152E-2</v>
      </c>
      <c r="W207">
        <f t="shared" si="44"/>
        <v>3.4205842989807334E-3</v>
      </c>
    </row>
    <row r="208" spans="1:23" x14ac:dyDescent="0.3">
      <c r="A208" t="s">
        <v>301</v>
      </c>
      <c r="B208" s="1">
        <v>16.837713000000001</v>
      </c>
      <c r="C208" s="1">
        <v>10.158689000000001</v>
      </c>
      <c r="D208" s="1">
        <v>17.826976999999999</v>
      </c>
      <c r="E208" s="1">
        <v>27.133891999999999</v>
      </c>
      <c r="F208" s="1">
        <v>11.304765</v>
      </c>
      <c r="G208" s="1">
        <v>6.7263890000000002</v>
      </c>
      <c r="H208" s="1">
        <v>4364.6601559999999</v>
      </c>
      <c r="I208" s="1">
        <v>38.035400000000003</v>
      </c>
      <c r="J208" s="1">
        <v>13.852435</v>
      </c>
      <c r="K208" s="1">
        <v>1.6135170000000001</v>
      </c>
      <c r="L208" s="1">
        <v>20.184411999999998</v>
      </c>
      <c r="M208">
        <f t="shared" si="38"/>
        <v>-1.3102723585160292E-2</v>
      </c>
      <c r="N208">
        <f t="shared" si="38"/>
        <v>-1.6245471457898231E-2</v>
      </c>
      <c r="O208">
        <f t="shared" si="38"/>
        <v>-1.0953392887410596E-3</v>
      </c>
      <c r="P208">
        <f t="shared" si="38"/>
        <v>-1.250866160072206E-2</v>
      </c>
      <c r="Q208">
        <f t="shared" si="39"/>
        <v>-4.310311798714439E-3</v>
      </c>
      <c r="R208">
        <f t="shared" si="39"/>
        <v>-8.4696792940168741E-3</v>
      </c>
      <c r="S208">
        <f t="shared" si="40"/>
        <v>5.8214061825092589E-3</v>
      </c>
      <c r="T208">
        <f t="shared" si="41"/>
        <v>1.821438061366587E-2</v>
      </c>
      <c r="U208">
        <f t="shared" si="42"/>
        <v>-1.7745532113325524E-2</v>
      </c>
      <c r="V208">
        <f t="shared" si="43"/>
        <v>-4.3082619219615426E-3</v>
      </c>
      <c r="W208">
        <f t="shared" si="44"/>
        <v>-1.7381423809941232E-3</v>
      </c>
    </row>
    <row r="209" spans="1:23" x14ac:dyDescent="0.3">
      <c r="A209" t="s">
        <v>300</v>
      </c>
      <c r="B209" s="1">
        <v>17.061261999999999</v>
      </c>
      <c r="C209" s="1">
        <v>10.326447</v>
      </c>
      <c r="D209" s="1">
        <v>17.846525</v>
      </c>
      <c r="E209" s="1">
        <v>27.477599999999999</v>
      </c>
      <c r="F209" s="1">
        <v>11.353702999999999</v>
      </c>
      <c r="G209" s="1">
        <v>6.7838459999999996</v>
      </c>
      <c r="H209" s="1">
        <v>4372.2597660000001</v>
      </c>
      <c r="I209" s="1">
        <v>37.815261999999997</v>
      </c>
      <c r="J209" s="1">
        <v>13.604635</v>
      </c>
      <c r="K209" s="1">
        <v>1.6426670000000001</v>
      </c>
      <c r="L209" s="1">
        <v>20.271747999999999</v>
      </c>
      <c r="M209">
        <f t="shared" si="38"/>
        <v>9.5693706291719582E-3</v>
      </c>
      <c r="N209">
        <f t="shared" si="38"/>
        <v>0</v>
      </c>
      <c r="O209">
        <f t="shared" si="38"/>
        <v>1.0965403724927381E-3</v>
      </c>
      <c r="P209">
        <f t="shared" si="38"/>
        <v>4.8882869272472984E-3</v>
      </c>
      <c r="Q209">
        <f t="shared" si="39"/>
        <v>6.5077204548036338E-3</v>
      </c>
      <c r="R209">
        <f t="shared" si="39"/>
        <v>1.4969645973423429E-2</v>
      </c>
      <c r="S209">
        <f t="shared" si="40"/>
        <v>-5.0365089739613511E-3</v>
      </c>
      <c r="T209">
        <f t="shared" si="41"/>
        <v>-1.4266659776900337E-3</v>
      </c>
      <c r="U209">
        <f t="shared" si="42"/>
        <v>3.8265599579300424E-2</v>
      </c>
      <c r="V209">
        <f t="shared" si="43"/>
        <v>-1.9112219718545598E-3</v>
      </c>
      <c r="W209">
        <f t="shared" si="44"/>
        <v>-1.8765555458605254E-3</v>
      </c>
    </row>
    <row r="210" spans="1:23" x14ac:dyDescent="0.3">
      <c r="A210" t="s">
        <v>299</v>
      </c>
      <c r="B210" s="1">
        <v>16.899543999999999</v>
      </c>
      <c r="C210" s="1">
        <v>10.326447</v>
      </c>
      <c r="D210" s="1">
        <v>17.826976999999999</v>
      </c>
      <c r="E210" s="1">
        <v>27.343934999999998</v>
      </c>
      <c r="F210" s="1">
        <v>11.280294</v>
      </c>
      <c r="G210" s="1">
        <v>6.6837920000000004</v>
      </c>
      <c r="H210" s="1">
        <v>4380.4799800000001</v>
      </c>
      <c r="I210" s="1">
        <v>38.006683000000002</v>
      </c>
      <c r="J210" s="1">
        <v>13.624072</v>
      </c>
      <c r="K210" s="1">
        <v>1.5821259999999999</v>
      </c>
      <c r="L210" s="1">
        <v>20.310566000000001</v>
      </c>
      <c r="M210">
        <f t="shared" si="38"/>
        <v>7.657329068383234E-3</v>
      </c>
      <c r="N210">
        <f t="shared" si="38"/>
        <v>2.6876733388556451E-2</v>
      </c>
      <c r="O210">
        <f t="shared" si="38"/>
        <v>-2.1882258170682345E-3</v>
      </c>
      <c r="P210">
        <f t="shared" si="38"/>
        <v>-2.2525611934596013E-2</v>
      </c>
      <c r="Q210">
        <f t="shared" si="39"/>
        <v>-1.4957325972252522E-2</v>
      </c>
      <c r="R210">
        <f t="shared" si="39"/>
        <v>2.3668710647297697E-2</v>
      </c>
      <c r="S210">
        <f t="shared" si="40"/>
        <v>2.7957474169469254E-2</v>
      </c>
      <c r="T210">
        <f t="shared" si="41"/>
        <v>1.7416671446050414E-2</v>
      </c>
      <c r="U210">
        <f t="shared" si="42"/>
        <v>1.8769756409785732E-2</v>
      </c>
      <c r="V210">
        <f t="shared" si="43"/>
        <v>7.2184956066214667E-3</v>
      </c>
      <c r="W210">
        <f t="shared" si="44"/>
        <v>1.4608253958070305E-2</v>
      </c>
    </row>
    <row r="211" spans="1:23" x14ac:dyDescent="0.3">
      <c r="A211" t="s">
        <v>298</v>
      </c>
      <c r="B211" s="1">
        <v>16.771121999999998</v>
      </c>
      <c r="C211" s="1">
        <v>10.05617</v>
      </c>
      <c r="D211" s="1">
        <v>17.866071999999999</v>
      </c>
      <c r="E211" s="1">
        <v>27.974067999999999</v>
      </c>
      <c r="F211" s="1">
        <v>11.451579000000001</v>
      </c>
      <c r="G211" s="1">
        <v>6.5292529999999998</v>
      </c>
      <c r="H211" s="1">
        <v>4317.4101559999999</v>
      </c>
      <c r="I211" s="1">
        <v>36.973011</v>
      </c>
      <c r="J211" s="1">
        <v>13.390848</v>
      </c>
      <c r="K211" s="1">
        <v>1.5529770000000001</v>
      </c>
      <c r="L211" s="1">
        <v>20.165005000000001</v>
      </c>
      <c r="M211">
        <f t="shared" si="38"/>
        <v>1.1357384771431001E-3</v>
      </c>
      <c r="N211">
        <f t="shared" si="38"/>
        <v>-7.3596875407486717E-3</v>
      </c>
      <c r="O211">
        <f t="shared" si="38"/>
        <v>4.3955762248055752E-3</v>
      </c>
      <c r="P211">
        <f t="shared" si="38"/>
        <v>-3.2364649939029211E-2</v>
      </c>
      <c r="Q211">
        <f t="shared" si="39"/>
        <v>1.7391260312659362E-2</v>
      </c>
      <c r="R211">
        <f t="shared" si="39"/>
        <v>-3.0346481178522566E-4</v>
      </c>
      <c r="S211">
        <f t="shared" si="40"/>
        <v>7.563907786932722E-3</v>
      </c>
      <c r="T211">
        <f t="shared" si="41"/>
        <v>2.9111791526319486E-3</v>
      </c>
      <c r="U211">
        <f t="shared" si="42"/>
        <v>-8.6532906308989244E-4</v>
      </c>
      <c r="V211">
        <f t="shared" si="43"/>
        <v>-1.7494058435044035E-2</v>
      </c>
      <c r="W211">
        <f t="shared" si="44"/>
        <v>-6.3880959541573468E-4</v>
      </c>
    </row>
    <row r="212" spans="1:23" x14ac:dyDescent="0.3">
      <c r="A212" t="s">
        <v>297</v>
      </c>
      <c r="B212" s="1">
        <v>16.752096000000002</v>
      </c>
      <c r="C212" s="1">
        <v>10.130729000000001</v>
      </c>
      <c r="D212" s="1">
        <v>17.787883999999998</v>
      </c>
      <c r="E212" s="1">
        <v>28.909721000000001</v>
      </c>
      <c r="F212" s="1">
        <v>11.255826000000001</v>
      </c>
      <c r="G212" s="1">
        <v>6.5312349999999997</v>
      </c>
      <c r="H212" s="1">
        <v>4320.169922</v>
      </c>
      <c r="I212" s="1">
        <v>36.695450000000001</v>
      </c>
      <c r="J212" s="1">
        <v>13.351978000000001</v>
      </c>
      <c r="K212" s="1">
        <v>1.554322</v>
      </c>
      <c r="L212" s="1">
        <v>20.524054</v>
      </c>
      <c r="M212">
        <f t="shared" si="38"/>
        <v>1.9392194538250696E-2</v>
      </c>
      <c r="N212">
        <f t="shared" si="38"/>
        <v>0</v>
      </c>
      <c r="O212">
        <f t="shared" si="38"/>
        <v>-7.6335392371416066E-3</v>
      </c>
      <c r="P212">
        <f t="shared" si="38"/>
        <v>0.13153964108124261</v>
      </c>
      <c r="Q212">
        <f t="shared" si="39"/>
        <v>-4.7598256286794927E-3</v>
      </c>
      <c r="R212">
        <f t="shared" si="39"/>
        <v>1.6340378834986735E-2</v>
      </c>
      <c r="S212">
        <f t="shared" si="40"/>
        <v>-8.5336658876971061E-3</v>
      </c>
      <c r="T212">
        <f t="shared" si="41"/>
        <v>2.7289697249102574E-2</v>
      </c>
      <c r="U212">
        <f t="shared" si="42"/>
        <v>-9.1484968505226583E-3</v>
      </c>
      <c r="V212">
        <f t="shared" si="43"/>
        <v>9.4661482540248088E-4</v>
      </c>
      <c r="W212">
        <f t="shared" si="44"/>
        <v>9.1567343455576378E-3</v>
      </c>
    </row>
    <row r="213" spans="1:23" x14ac:dyDescent="0.3">
      <c r="A213" t="s">
        <v>296</v>
      </c>
      <c r="B213" s="1">
        <v>16.433416000000001</v>
      </c>
      <c r="C213" s="1">
        <v>10.130729000000001</v>
      </c>
      <c r="D213" s="1">
        <v>17.924713000000001</v>
      </c>
      <c r="E213" s="1">
        <v>25.549012999999999</v>
      </c>
      <c r="F213" s="1">
        <v>11.309658000000001</v>
      </c>
      <c r="G213" s="1">
        <v>6.4262280000000001</v>
      </c>
      <c r="H213" s="1">
        <v>4280.9702150000003</v>
      </c>
      <c r="I213" s="1">
        <v>37.011291999999997</v>
      </c>
      <c r="J213" s="1">
        <v>12.997286000000001</v>
      </c>
      <c r="K213" s="1">
        <v>1.568673</v>
      </c>
      <c r="L213" s="1">
        <v>20.504643999999999</v>
      </c>
      <c r="M213">
        <f t="shared" si="38"/>
        <v>7.8762989962646301E-3</v>
      </c>
      <c r="N213">
        <f t="shared" si="38"/>
        <v>-9.1156754151314745E-3</v>
      </c>
      <c r="O213">
        <f t="shared" si="38"/>
        <v>4.3811330216947386E-3</v>
      </c>
      <c r="P213">
        <f t="shared" si="38"/>
        <v>4.7768224879186194E-2</v>
      </c>
      <c r="Q213">
        <f t="shared" si="39"/>
        <v>-1.6595774207735614E-2</v>
      </c>
      <c r="R213">
        <f t="shared" si="39"/>
        <v>1.1066108255755713E-2</v>
      </c>
      <c r="S213">
        <f t="shared" si="40"/>
        <v>1.2568765272812144E-2</v>
      </c>
      <c r="T213">
        <f t="shared" si="41"/>
        <v>-1.8708751208467045E-2</v>
      </c>
      <c r="U213">
        <f t="shared" si="42"/>
        <v>1.2446196532955867E-2</v>
      </c>
      <c r="V213">
        <f t="shared" si="43"/>
        <v>-2.3116080836606434E-2</v>
      </c>
      <c r="W213">
        <f t="shared" si="44"/>
        <v>-2.4884804781076797E-3</v>
      </c>
    </row>
    <row r="214" spans="1:23" x14ac:dyDescent="0.3">
      <c r="A214" t="s">
        <v>295</v>
      </c>
      <c r="B214" s="1">
        <v>16.304993</v>
      </c>
      <c r="C214" s="1">
        <v>10.223927</v>
      </c>
      <c r="D214" s="1">
        <v>17.846525</v>
      </c>
      <c r="E214" s="1">
        <v>24.384222000000001</v>
      </c>
      <c r="F214" s="1">
        <v>11.500518</v>
      </c>
      <c r="G214" s="1">
        <v>6.355893</v>
      </c>
      <c r="H214" s="1">
        <v>4291.6499020000001</v>
      </c>
      <c r="I214" s="1">
        <v>36.551879999999997</v>
      </c>
      <c r="J214" s="1">
        <v>13.245085</v>
      </c>
      <c r="K214" s="1">
        <v>1.5493889999999999</v>
      </c>
      <c r="L214" s="1">
        <v>20.989847000000001</v>
      </c>
      <c r="M214">
        <f t="shared" si="38"/>
        <v>2.0461908769446868E-3</v>
      </c>
      <c r="N214">
        <f t="shared" si="38"/>
        <v>-1.0820677362405773E-2</v>
      </c>
      <c r="O214">
        <f t="shared" si="38"/>
        <v>-6.5287389543174923E-3</v>
      </c>
      <c r="P214">
        <f t="shared" si="38"/>
        <v>-8.5403243398409767E-3</v>
      </c>
      <c r="Q214">
        <f t="shared" si="39"/>
        <v>2.1739142022984215E-2</v>
      </c>
      <c r="R214">
        <f t="shared" si="39"/>
        <v>-6.8111773439126777E-3</v>
      </c>
      <c r="S214">
        <f t="shared" si="40"/>
        <v>-1.829575494628144E-3</v>
      </c>
      <c r="T214">
        <f t="shared" si="41"/>
        <v>-1.5884466395103547E-2</v>
      </c>
      <c r="U214">
        <f t="shared" si="42"/>
        <v>9.3482966882274532E-3</v>
      </c>
      <c r="V214">
        <f t="shared" si="43"/>
        <v>-4.8812756497281673E-2</v>
      </c>
      <c r="W214">
        <f t="shared" si="44"/>
        <v>-4.0449877199983941E-3</v>
      </c>
    </row>
    <row r="215" spans="1:23" x14ac:dyDescent="0.3">
      <c r="A215" t="s">
        <v>294</v>
      </c>
      <c r="B215" s="1">
        <v>16.271698000000001</v>
      </c>
      <c r="C215" s="1">
        <v>10.335767000000001</v>
      </c>
      <c r="D215" s="1">
        <v>17.963806000000002</v>
      </c>
      <c r="E215" s="1">
        <v>24.594265</v>
      </c>
      <c r="F215" s="1">
        <v>11.255826000000001</v>
      </c>
      <c r="G215" s="1">
        <v>6.3994809999999998</v>
      </c>
      <c r="H215" s="1">
        <v>4309.080078</v>
      </c>
      <c r="I215" s="1">
        <v>36.618876999999998</v>
      </c>
      <c r="J215" s="1">
        <v>13.458872</v>
      </c>
      <c r="K215" s="1">
        <v>1.535039</v>
      </c>
      <c r="L215" s="1">
        <v>22.066998000000002</v>
      </c>
      <c r="M215">
        <f t="shared" si="38"/>
        <v>1.0038373728583183E-2</v>
      </c>
      <c r="N215">
        <f t="shared" si="38"/>
        <v>1.2785529696519138E-2</v>
      </c>
      <c r="O215">
        <f t="shared" si="38"/>
        <v>5.4703686406281093E-3</v>
      </c>
      <c r="P215">
        <f t="shared" si="38"/>
        <v>2.1411620170041612E-2</v>
      </c>
      <c r="Q215">
        <f t="shared" si="39"/>
        <v>8.7043996031677118E-4</v>
      </c>
      <c r="R215">
        <f t="shared" si="39"/>
        <v>3.2938896224963932E-2</v>
      </c>
      <c r="S215">
        <f t="shared" si="40"/>
        <v>5.7832663404004947E-3</v>
      </c>
      <c r="T215">
        <f t="shared" si="41"/>
        <v>3.7064765191093585E-2</v>
      </c>
      <c r="U215">
        <f t="shared" si="42"/>
        <v>2.8545947698929819E-2</v>
      </c>
      <c r="V215">
        <f t="shared" si="43"/>
        <v>1.7905159571536045E-2</v>
      </c>
      <c r="W215">
        <f t="shared" si="44"/>
        <v>2.2162698082607513E-2</v>
      </c>
    </row>
    <row r="216" spans="1:23" x14ac:dyDescent="0.3">
      <c r="A216" t="s">
        <v>293</v>
      </c>
      <c r="B216" s="1">
        <v>16.10998</v>
      </c>
      <c r="C216" s="1">
        <v>10.205287</v>
      </c>
      <c r="D216" s="1">
        <v>17.866071999999999</v>
      </c>
      <c r="E216" s="1">
        <v>24.078700999999999</v>
      </c>
      <c r="F216" s="1">
        <v>11.246036999999999</v>
      </c>
      <c r="G216" s="1">
        <v>6.195411</v>
      </c>
      <c r="H216" s="1">
        <v>4215.6499020000001</v>
      </c>
      <c r="I216" s="1">
        <v>36.408318000000001</v>
      </c>
      <c r="J216" s="1">
        <v>12.977850999999999</v>
      </c>
      <c r="K216" s="1">
        <v>1.4924360000000001</v>
      </c>
      <c r="L216" s="1">
        <v>21.678834999999999</v>
      </c>
      <c r="M216">
        <f t="shared" si="38"/>
        <v>-3.2371630275392915E-3</v>
      </c>
      <c r="N216">
        <f t="shared" si="38"/>
        <v>1.8604657662141921E-2</v>
      </c>
      <c r="O216">
        <f t="shared" si="38"/>
        <v>-3.2804239793205237E-2</v>
      </c>
      <c r="P216">
        <f t="shared" si="38"/>
        <v>2.2708800578184363E-2</v>
      </c>
      <c r="Q216">
        <f t="shared" si="39"/>
        <v>-8.6968295352130021E-4</v>
      </c>
      <c r="R216">
        <f t="shared" si="39"/>
        <v>-2.3926495949452287E-3</v>
      </c>
      <c r="S216">
        <f t="shared" si="40"/>
        <v>-3.0086709618680874E-2</v>
      </c>
      <c r="T216">
        <f t="shared" si="41"/>
        <v>-8.1693605798203173E-3</v>
      </c>
      <c r="U216">
        <f t="shared" si="42"/>
        <v>-6.2709158147196131E-3</v>
      </c>
      <c r="V216">
        <f t="shared" si="43"/>
        <v>4.0449252735996755E-3</v>
      </c>
      <c r="W216">
        <f t="shared" si="44"/>
        <v>-7.8676267300979985E-3</v>
      </c>
    </row>
    <row r="217" spans="1:23" x14ac:dyDescent="0.3">
      <c r="A217" t="s">
        <v>292</v>
      </c>
      <c r="B217" s="1">
        <v>16.162299999999998</v>
      </c>
      <c r="C217" s="1">
        <v>10.018889</v>
      </c>
      <c r="D217" s="1">
        <v>18.472033</v>
      </c>
      <c r="E217" s="1">
        <v>23.544044</v>
      </c>
      <c r="F217" s="1">
        <v>11.255826000000001</v>
      </c>
      <c r="G217" s="1">
        <v>6.2102700000000004</v>
      </c>
      <c r="H217" s="1">
        <v>4249.080078</v>
      </c>
      <c r="I217" s="1">
        <v>37.537703999999998</v>
      </c>
      <c r="J217" s="1">
        <v>13.084745</v>
      </c>
      <c r="K217" s="1">
        <v>1.501854</v>
      </c>
      <c r="L217" s="1">
        <v>21.591498999999999</v>
      </c>
      <c r="M217">
        <f t="shared" si="38"/>
        <v>-7.5935917598763947E-3</v>
      </c>
      <c r="N217">
        <f t="shared" si="38"/>
        <v>-1.01289267264002E-2</v>
      </c>
      <c r="O217">
        <f t="shared" si="38"/>
        <v>-1.1506309288377925E-2</v>
      </c>
      <c r="P217">
        <f t="shared" si="38"/>
        <v>8.1164890892426733E-4</v>
      </c>
      <c r="Q217">
        <f t="shared" si="39"/>
        <v>-8.620711674420134E-3</v>
      </c>
      <c r="R217">
        <f t="shared" si="39"/>
        <v>-9.6367247096375008E-3</v>
      </c>
      <c r="S217">
        <f t="shared" si="40"/>
        <v>-1.0844927915724112E-2</v>
      </c>
      <c r="T217">
        <f t="shared" si="41"/>
        <v>-1.2829915314471307E-2</v>
      </c>
      <c r="U217">
        <f t="shared" si="42"/>
        <v>-1.9326116212663558E-2</v>
      </c>
      <c r="V217">
        <f t="shared" si="43"/>
        <v>-7.5825267226280468E-3</v>
      </c>
      <c r="W217">
        <f t="shared" si="44"/>
        <v>-1.1823439720326956E-2</v>
      </c>
    </row>
    <row r="218" spans="1:23" x14ac:dyDescent="0.3">
      <c r="A218" t="s">
        <v>291</v>
      </c>
      <c r="B218" s="1">
        <v>16.285969000000001</v>
      </c>
      <c r="C218" s="1">
        <v>10.121408000000001</v>
      </c>
      <c r="D218" s="1">
        <v>18.687052000000001</v>
      </c>
      <c r="E218" s="1">
        <v>23.52495</v>
      </c>
      <c r="F218" s="1">
        <v>11.353702999999999</v>
      </c>
      <c r="G218" s="1">
        <v>6.2706989999999996</v>
      </c>
      <c r="H218" s="1">
        <v>4299.919922</v>
      </c>
      <c r="I218" s="1">
        <v>37.949261</v>
      </c>
      <c r="J218" s="1">
        <v>13.254803000000001</v>
      </c>
      <c r="K218" s="1">
        <v>1.5314509999999999</v>
      </c>
      <c r="L218" s="1">
        <v>21.756468000000002</v>
      </c>
      <c r="M218">
        <f t="shared" si="38"/>
        <v>-8.7538599129644012E-4</v>
      </c>
      <c r="N218">
        <f t="shared" si="38"/>
        <v>3.6968987303613865E-3</v>
      </c>
      <c r="O218">
        <f t="shared" si="38"/>
        <v>3.1480951029203563E-3</v>
      </c>
      <c r="P218">
        <f t="shared" si="38"/>
        <v>-1.754384353033811E-2</v>
      </c>
      <c r="Q218">
        <f t="shared" si="39"/>
        <v>2.159899085842687E-3</v>
      </c>
      <c r="R218">
        <f t="shared" si="39"/>
        <v>-2.5212560977414533E-3</v>
      </c>
      <c r="S218">
        <f t="shared" si="40"/>
        <v>1.4585505410706689E-2</v>
      </c>
      <c r="T218">
        <f t="shared" si="41"/>
        <v>2.9411468717344125E-3</v>
      </c>
      <c r="U218">
        <f t="shared" si="42"/>
        <v>2.3477220485592643E-3</v>
      </c>
      <c r="V218">
        <f t="shared" si="43"/>
        <v>-1.4505428800499987E-2</v>
      </c>
      <c r="W218">
        <f t="shared" si="44"/>
        <v>-3.3249467432672208E-4</v>
      </c>
    </row>
    <row r="219" spans="1:23" x14ac:dyDescent="0.3">
      <c r="A219" t="s">
        <v>290</v>
      </c>
      <c r="B219" s="1">
        <v>16.300238</v>
      </c>
      <c r="C219" s="1">
        <v>10.084128</v>
      </c>
      <c r="D219" s="1">
        <v>18.628408</v>
      </c>
      <c r="E219" s="1">
        <v>23.945038</v>
      </c>
      <c r="F219" s="1">
        <v>11.329233</v>
      </c>
      <c r="G219" s="1">
        <v>6.2865489999999999</v>
      </c>
      <c r="H219" s="1">
        <v>4301.3500979999999</v>
      </c>
      <c r="I219" s="1">
        <v>37.403708999999999</v>
      </c>
      <c r="J219" s="1">
        <v>13.215933</v>
      </c>
      <c r="K219" s="1">
        <v>1.5278640000000001</v>
      </c>
      <c r="L219" s="1">
        <v>22.076699999999999</v>
      </c>
      <c r="M219">
        <f t="shared" si="38"/>
        <v>6.7567834652184633E-3</v>
      </c>
      <c r="N219">
        <f t="shared" si="38"/>
        <v>9.2498031476329068E-4</v>
      </c>
      <c r="O219">
        <f t="shared" si="38"/>
        <v>5.2742825516527425E-3</v>
      </c>
      <c r="P219">
        <f t="shared" si="38"/>
        <v>1.1290281028021765E-2</v>
      </c>
      <c r="Q219">
        <f t="shared" si="39"/>
        <v>3.0329413714558218E-3</v>
      </c>
      <c r="R219">
        <f t="shared" si="39"/>
        <v>9.7057236288411453E-3</v>
      </c>
      <c r="S219">
        <f t="shared" si="40"/>
        <v>8.5162368494704488E-3</v>
      </c>
      <c r="T219">
        <f t="shared" si="41"/>
        <v>1.2281404014463648E-2</v>
      </c>
      <c r="U219">
        <f t="shared" si="42"/>
        <v>2.5587600562512414E-2</v>
      </c>
      <c r="V219">
        <f t="shared" si="43"/>
        <v>1.926514402873436E-2</v>
      </c>
      <c r="W219">
        <f t="shared" si="44"/>
        <v>1.0928704637998221E-2</v>
      </c>
    </row>
    <row r="220" spans="1:23" x14ac:dyDescent="0.3">
      <c r="A220" t="s">
        <v>289</v>
      </c>
      <c r="B220" s="1">
        <v>16.190840000000001</v>
      </c>
      <c r="C220" s="1">
        <v>10.074809</v>
      </c>
      <c r="D220" s="1">
        <v>18.530671999999999</v>
      </c>
      <c r="E220" s="1">
        <v>23.677710000000001</v>
      </c>
      <c r="F220" s="1">
        <v>11.294976</v>
      </c>
      <c r="G220" s="1">
        <v>6.2261199999999999</v>
      </c>
      <c r="H220" s="1">
        <v>4254.8500979999999</v>
      </c>
      <c r="I220" s="1">
        <v>37.087859999999999</v>
      </c>
      <c r="J220" s="1">
        <v>13.055592000000001</v>
      </c>
      <c r="K220" s="1">
        <v>1.4897450000000001</v>
      </c>
      <c r="L220" s="1">
        <v>21.659427999999998</v>
      </c>
      <c r="M220">
        <f t="shared" si="38"/>
        <v>-3.2954530794051862E-2</v>
      </c>
      <c r="N220">
        <f t="shared" si="38"/>
        <v>-4.8415461279786909E-2</v>
      </c>
      <c r="O220">
        <f t="shared" si="38"/>
        <v>-5.2466104457236096E-3</v>
      </c>
      <c r="P220">
        <f t="shared" si="38"/>
        <v>-4.8349945278848727E-2</v>
      </c>
      <c r="Q220">
        <f t="shared" si="39"/>
        <v>-1.9124635264693657E-2</v>
      </c>
      <c r="R220">
        <f t="shared" si="39"/>
        <v>-4.4397222880919629E-2</v>
      </c>
      <c r="S220">
        <f t="shared" si="40"/>
        <v>-2.8578644213044901E-2</v>
      </c>
      <c r="T220">
        <f t="shared" si="41"/>
        <v>-4.3772225519774555E-2</v>
      </c>
      <c r="U220">
        <f t="shared" si="42"/>
        <v>-1.5703862470953345E-2</v>
      </c>
      <c r="V220">
        <f t="shared" si="43"/>
        <v>-4.4520520147474318E-2</v>
      </c>
      <c r="W220">
        <f t="shared" si="44"/>
        <v>-3.379010759516099E-2</v>
      </c>
    </row>
    <row r="221" spans="1:23" x14ac:dyDescent="0.3">
      <c r="A221" t="s">
        <v>288</v>
      </c>
      <c r="B221" s="1">
        <v>16.742584000000001</v>
      </c>
      <c r="C221" s="1">
        <v>10.587403</v>
      </c>
      <c r="D221" s="1">
        <v>18.628408</v>
      </c>
      <c r="E221" s="1">
        <v>24.880690000000001</v>
      </c>
      <c r="F221" s="1">
        <v>11.5152</v>
      </c>
      <c r="G221" s="1">
        <v>6.5153850000000002</v>
      </c>
      <c r="H221" s="1">
        <v>4403.6499020000001</v>
      </c>
      <c r="I221" s="1">
        <v>38.178963000000003</v>
      </c>
      <c r="J221" s="1">
        <v>13.653224</v>
      </c>
      <c r="K221" s="1">
        <v>1.5135130000000001</v>
      </c>
      <c r="L221" s="1">
        <v>22.668648000000001</v>
      </c>
      <c r="M221">
        <f t="shared" si="38"/>
        <v>8.5959595399778266E-3</v>
      </c>
      <c r="N221">
        <f t="shared" si="38"/>
        <v>-1.6450303878997485E-2</v>
      </c>
      <c r="O221">
        <f t="shared" si="38"/>
        <v>-9.3555565092364734E-3</v>
      </c>
      <c r="P221">
        <f t="shared" si="38"/>
        <v>-2.0300789242381878E-2</v>
      </c>
      <c r="Q221">
        <f t="shared" si="39"/>
        <v>5.5556530675813232E-3</v>
      </c>
      <c r="R221">
        <f t="shared" si="39"/>
        <v>-1.7771777720490878E-2</v>
      </c>
      <c r="S221">
        <f t="shared" si="40"/>
        <v>1.9943781885963574E-2</v>
      </c>
      <c r="T221">
        <f t="shared" si="41"/>
        <v>2.0334004626813451E-2</v>
      </c>
      <c r="U221">
        <f t="shared" si="42"/>
        <v>-9.9734425285851191E-3</v>
      </c>
      <c r="V221">
        <f t="shared" si="43"/>
        <v>4.2821940739079523E-4</v>
      </c>
      <c r="W221">
        <f t="shared" si="44"/>
        <v>8.3863058589339623E-4</v>
      </c>
    </row>
    <row r="222" spans="1:23" x14ac:dyDescent="0.3">
      <c r="A222" t="s">
        <v>287</v>
      </c>
      <c r="B222" s="1">
        <v>16.599892000000001</v>
      </c>
      <c r="C222" s="1">
        <v>10.764481999999999</v>
      </c>
      <c r="D222" s="1">
        <v>18.804333</v>
      </c>
      <c r="E222" s="1">
        <v>25.396253999999999</v>
      </c>
      <c r="F222" s="1">
        <v>11.451579000000001</v>
      </c>
      <c r="G222" s="1">
        <v>6.6332700000000004</v>
      </c>
      <c r="H222" s="1">
        <v>4399.9599609999996</v>
      </c>
      <c r="I222" s="1">
        <v>37.432419000000003</v>
      </c>
      <c r="J222" s="1">
        <v>13.381131999999999</v>
      </c>
      <c r="K222" s="1">
        <v>1.5287599999999999</v>
      </c>
      <c r="L222" s="1">
        <v>22.658944999999999</v>
      </c>
      <c r="M222">
        <f t="shared" si="38"/>
        <v>2.8736746726714113E-3</v>
      </c>
      <c r="N222">
        <f t="shared" si="38"/>
        <v>-1.282047049415469E-2</v>
      </c>
      <c r="O222">
        <f t="shared" si="38"/>
        <v>-3.1087886777557694E-3</v>
      </c>
      <c r="P222">
        <f t="shared" si="38"/>
        <v>9.1047388270262264E-3</v>
      </c>
      <c r="Q222">
        <f t="shared" si="39"/>
        <v>0</v>
      </c>
      <c r="R222">
        <f t="shared" si="39"/>
        <v>-1.3262473993763457E-2</v>
      </c>
      <c r="S222">
        <f t="shared" si="40"/>
        <v>5.9155459615920503E-3</v>
      </c>
      <c r="T222">
        <f t="shared" si="41"/>
        <v>-5.4171193816211494E-3</v>
      </c>
      <c r="U222">
        <f t="shared" si="42"/>
        <v>5.0113829326352555E-3</v>
      </c>
      <c r="V222">
        <f t="shared" si="43"/>
        <v>2.1460457482835871E-3</v>
      </c>
      <c r="W222">
        <f t="shared" si="44"/>
        <v>5.0029904248294343E-4</v>
      </c>
    </row>
    <row r="223" spans="1:23" x14ac:dyDescent="0.3">
      <c r="A223" t="s">
        <v>286</v>
      </c>
      <c r="B223" s="1">
        <v>16.552326000000001</v>
      </c>
      <c r="C223" s="1">
        <v>10.90428</v>
      </c>
      <c r="D223" s="1">
        <v>18.862974000000001</v>
      </c>
      <c r="E223" s="1">
        <v>25.167114000000002</v>
      </c>
      <c r="F223" s="1">
        <v>11.451579000000001</v>
      </c>
      <c r="G223" s="1">
        <v>6.7224259999999996</v>
      </c>
      <c r="H223" s="1">
        <v>4397.7597660000001</v>
      </c>
      <c r="I223" s="1">
        <v>37.212288000000001</v>
      </c>
      <c r="J223" s="1">
        <v>13.454014000000001</v>
      </c>
      <c r="K223" s="1">
        <v>1.521137</v>
      </c>
      <c r="L223" s="1">
        <v>22.610422</v>
      </c>
      <c r="M223">
        <f t="shared" si="38"/>
        <v>-2.8730906283414015E-4</v>
      </c>
      <c r="N223">
        <f t="shared" si="38"/>
        <v>-2.5575728304537693E-3</v>
      </c>
      <c r="O223">
        <f t="shared" si="38"/>
        <v>-1.0256398147907575E-2</v>
      </c>
      <c r="P223">
        <f t="shared" si="38"/>
        <v>3.0492523404628491E-2</v>
      </c>
      <c r="Q223">
        <f t="shared" si="39"/>
        <v>5.1545468764895297E-3</v>
      </c>
      <c r="R223">
        <f t="shared" si="39"/>
        <v>2.1372560548801767E-2</v>
      </c>
      <c r="S223">
        <f t="shared" si="40"/>
        <v>-8.4161401061016994E-3</v>
      </c>
      <c r="T223">
        <f t="shared" si="41"/>
        <v>4.0195383961895592E-2</v>
      </c>
      <c r="U223">
        <f t="shared" si="42"/>
        <v>1.8007267957409478E-2</v>
      </c>
      <c r="V223">
        <f t="shared" si="43"/>
        <v>5.1768084564867145E-3</v>
      </c>
      <c r="W223">
        <f t="shared" si="44"/>
        <v>1.4142875017204126E-2</v>
      </c>
    </row>
    <row r="224" spans="1:23" x14ac:dyDescent="0.3">
      <c r="A224" t="s">
        <v>285</v>
      </c>
      <c r="B224" s="1">
        <v>16.557082999999999</v>
      </c>
      <c r="C224" s="1">
        <v>10.93224</v>
      </c>
      <c r="D224" s="1">
        <v>19.058444999999999</v>
      </c>
      <c r="E224" s="1">
        <v>24.422412999999999</v>
      </c>
      <c r="F224" s="1">
        <v>11.392854</v>
      </c>
      <c r="G224" s="1">
        <v>6.5817569999999996</v>
      </c>
      <c r="H224" s="1">
        <v>4336.4301759999998</v>
      </c>
      <c r="I224" s="1">
        <v>37.528129999999997</v>
      </c>
      <c r="J224" s="1">
        <v>12.934122</v>
      </c>
      <c r="K224" s="1">
        <v>1.4942299999999999</v>
      </c>
      <c r="L224" s="1">
        <v>22.493974999999999</v>
      </c>
      <c r="M224">
        <f t="shared" si="38"/>
        <v>2.2920925340615073E-2</v>
      </c>
      <c r="N224">
        <f t="shared" si="38"/>
        <v>6.8670286838441452E-3</v>
      </c>
      <c r="O224">
        <f t="shared" si="38"/>
        <v>1.1410715714784025E-2</v>
      </c>
      <c r="P224">
        <f t="shared" si="38"/>
        <v>2.320008942270646E-2</v>
      </c>
      <c r="Q224">
        <f t="shared" si="39"/>
        <v>5.1814312650633187E-3</v>
      </c>
      <c r="R224">
        <f t="shared" si="39"/>
        <v>-1.0131115094929921E-2</v>
      </c>
      <c r="S224">
        <f t="shared" si="40"/>
        <v>1.8441494106680167E-2</v>
      </c>
      <c r="T224">
        <f t="shared" si="41"/>
        <v>3.0143655210743692E-3</v>
      </c>
      <c r="U224">
        <f t="shared" si="42"/>
        <v>3.6142013058408917E-3</v>
      </c>
      <c r="V224">
        <f t="shared" si="43"/>
        <v>1.8901149175374998E-2</v>
      </c>
      <c r="W224">
        <f t="shared" si="44"/>
        <v>6.4662644770914213E-3</v>
      </c>
    </row>
    <row r="225" spans="1:23" x14ac:dyDescent="0.3">
      <c r="A225" t="s">
        <v>284</v>
      </c>
      <c r="B225" s="1">
        <v>16.186083</v>
      </c>
      <c r="C225" s="1">
        <v>10.85768</v>
      </c>
      <c r="D225" s="1">
        <v>18.843427999999999</v>
      </c>
      <c r="E225" s="1">
        <v>23.868658</v>
      </c>
      <c r="F225" s="1">
        <v>11.334127000000001</v>
      </c>
      <c r="G225" s="1">
        <v>6.6491199999999999</v>
      </c>
      <c r="H225" s="1">
        <v>4308.5698240000002</v>
      </c>
      <c r="I225" s="1">
        <v>36.848587000000002</v>
      </c>
      <c r="J225" s="1">
        <v>12.895251</v>
      </c>
      <c r="K225" s="1">
        <v>1.4888490000000001</v>
      </c>
      <c r="L225" s="1">
        <v>22.076699999999999</v>
      </c>
      <c r="M225">
        <f t="shared" si="38"/>
        <v>5.9118302231391251E-3</v>
      </c>
      <c r="N225">
        <f t="shared" si="38"/>
        <v>8.5893151426930103E-4</v>
      </c>
      <c r="O225">
        <f t="shared" si="38"/>
        <v>1.0384149793551956E-3</v>
      </c>
      <c r="P225">
        <f t="shared" si="38"/>
        <v>-9.5087937284230595E-3</v>
      </c>
      <c r="Q225">
        <f t="shared" si="39"/>
        <v>-1.7241951810786915E-3</v>
      </c>
      <c r="R225">
        <f t="shared" si="39"/>
        <v>1.1300228158233283E-2</v>
      </c>
      <c r="S225">
        <f t="shared" si="40"/>
        <v>-5.6818355067010939E-3</v>
      </c>
      <c r="T225">
        <f t="shared" si="41"/>
        <v>-3.7658596528145072E-4</v>
      </c>
      <c r="U225">
        <f t="shared" si="42"/>
        <v>-7.1765277795374782E-3</v>
      </c>
      <c r="V225">
        <f t="shared" si="43"/>
        <v>-1.5151623297715244E-2</v>
      </c>
      <c r="W225">
        <f t="shared" si="44"/>
        <v>-1.9643000157603119E-3</v>
      </c>
    </row>
    <row r="226" spans="1:23" x14ac:dyDescent="0.3">
      <c r="A226" t="s">
        <v>283</v>
      </c>
      <c r="B226" s="1">
        <v>16.090955999999998</v>
      </c>
      <c r="C226" s="1">
        <v>10.848362</v>
      </c>
      <c r="D226" s="1">
        <v>18.823881</v>
      </c>
      <c r="E226" s="1">
        <v>24.097798999999998</v>
      </c>
      <c r="F226" s="1">
        <v>11.353702999999999</v>
      </c>
      <c r="G226" s="1">
        <v>6.5748230000000003</v>
      </c>
      <c r="H226" s="1">
        <v>4317.0498049999997</v>
      </c>
      <c r="I226" s="1">
        <v>37.059151</v>
      </c>
      <c r="J226" s="1">
        <v>12.900109</v>
      </c>
      <c r="K226" s="1">
        <v>1.499611</v>
      </c>
      <c r="L226" s="1">
        <v>22.416343999999999</v>
      </c>
      <c r="M226">
        <f t="shared" si="38"/>
        <v>-9.3703441941100918E-3</v>
      </c>
      <c r="N226">
        <f t="shared" si="38"/>
        <v>1.6593974688891677E-2</v>
      </c>
      <c r="O226">
        <f t="shared" si="38"/>
        <v>5.2192269150965753E-3</v>
      </c>
      <c r="P226">
        <f t="shared" si="38"/>
        <v>-7.0809423670740168E-3</v>
      </c>
      <c r="Q226">
        <f t="shared" si="39"/>
        <v>0</v>
      </c>
      <c r="R226">
        <f t="shared" si="39"/>
        <v>-1.9500607404035919E-2</v>
      </c>
      <c r="S226">
        <f t="shared" si="40"/>
        <v>7.0221157557410763E-3</v>
      </c>
      <c r="T226">
        <f t="shared" si="41"/>
        <v>1.5087718617230461E-3</v>
      </c>
      <c r="U226">
        <f t="shared" si="42"/>
        <v>-2.3869095176353161E-3</v>
      </c>
      <c r="V226">
        <f t="shared" si="43"/>
        <v>-8.1580140739758722E-3</v>
      </c>
      <c r="W226">
        <f t="shared" si="44"/>
        <v>-2.0942736747137092E-3</v>
      </c>
    </row>
    <row r="227" spans="1:23" x14ac:dyDescent="0.3">
      <c r="A227" t="s">
        <v>282</v>
      </c>
      <c r="B227" s="1">
        <v>16.24316</v>
      </c>
      <c r="C227" s="1">
        <v>10.671283000000001</v>
      </c>
      <c r="D227" s="1">
        <v>18.726144999999999</v>
      </c>
      <c r="E227" s="1">
        <v>24.269651</v>
      </c>
      <c r="F227" s="1">
        <v>11.353702999999999</v>
      </c>
      <c r="G227" s="1">
        <v>6.7055860000000003</v>
      </c>
      <c r="H227" s="1">
        <v>4326.1098629999997</v>
      </c>
      <c r="I227" s="1">
        <v>36.800731999999996</v>
      </c>
      <c r="J227" s="1">
        <v>12.880675</v>
      </c>
      <c r="K227" s="1">
        <v>1.503199</v>
      </c>
      <c r="L227" s="1">
        <v>22.600721</v>
      </c>
      <c r="M227">
        <f t="shared" si="38"/>
        <v>-8.1324037075687361E-3</v>
      </c>
      <c r="N227">
        <f t="shared" si="38"/>
        <v>7.0360424599149596E-3</v>
      </c>
      <c r="O227">
        <f t="shared" si="38"/>
        <v>-3.6217230816105506E-2</v>
      </c>
      <c r="P227">
        <f t="shared" si="38"/>
        <v>2.3349356338996152E-2</v>
      </c>
      <c r="Q227">
        <f t="shared" si="39"/>
        <v>-5.9982231118725915E-3</v>
      </c>
      <c r="R227">
        <f t="shared" si="39"/>
        <v>-8.8564008504754543E-4</v>
      </c>
      <c r="S227">
        <f t="shared" si="40"/>
        <v>1.5630332179461526E-3</v>
      </c>
      <c r="T227">
        <f t="shared" si="41"/>
        <v>-7.1161681810820721E-3</v>
      </c>
      <c r="U227">
        <f t="shared" si="42"/>
        <v>-8.2843148897316921E-3</v>
      </c>
      <c r="V227">
        <f t="shared" si="43"/>
        <v>-1.0620172084435553E-2</v>
      </c>
      <c r="W227">
        <f t="shared" si="44"/>
        <v>-3.873033255969216E-3</v>
      </c>
    </row>
    <row r="228" spans="1:23" x14ac:dyDescent="0.3">
      <c r="A228" t="s">
        <v>281</v>
      </c>
      <c r="B228" s="1">
        <v>16.376339000000002</v>
      </c>
      <c r="C228" s="1">
        <v>10.596724</v>
      </c>
      <c r="D228" s="1">
        <v>19.429839999999999</v>
      </c>
      <c r="E228" s="1">
        <v>23.715900000000001</v>
      </c>
      <c r="F228" s="1">
        <v>11.422216000000001</v>
      </c>
      <c r="G228" s="1">
        <v>6.7115299999999998</v>
      </c>
      <c r="H228" s="1">
        <v>4342.9301759999998</v>
      </c>
      <c r="I228" s="1">
        <v>36.743301000000002</v>
      </c>
      <c r="J228" s="1">
        <v>12.972993000000001</v>
      </c>
      <c r="K228" s="1">
        <v>1.5157560000000001</v>
      </c>
      <c r="L228" s="1">
        <v>22.843321</v>
      </c>
      <c r="M228">
        <f t="shared" si="38"/>
        <v>1.6833915701270907E-2</v>
      </c>
      <c r="N228">
        <f t="shared" si="38"/>
        <v>2.7100376597126052E-2</v>
      </c>
      <c r="O228">
        <f t="shared" si="38"/>
        <v>6.0727840365430996E-3</v>
      </c>
      <c r="P228">
        <f t="shared" si="38"/>
        <v>3.5000047132938361E-2</v>
      </c>
      <c r="Q228">
        <f t="shared" si="39"/>
        <v>6.0344189028020967E-3</v>
      </c>
      <c r="R228">
        <f t="shared" si="39"/>
        <v>1.5742231608170787E-2</v>
      </c>
      <c r="S228">
        <f t="shared" si="40"/>
        <v>7.0829062843071888E-3</v>
      </c>
      <c r="T228">
        <f t="shared" si="41"/>
        <v>7.5472498209046002E-3</v>
      </c>
      <c r="U228">
        <f t="shared" si="42"/>
        <v>2.0531744925639472E-2</v>
      </c>
      <c r="V228">
        <f t="shared" si="43"/>
        <v>4.2054042445029527E-2</v>
      </c>
      <c r="W228">
        <f t="shared" si="44"/>
        <v>1.7267882271766455E-2</v>
      </c>
    </row>
    <row r="229" spans="1:23" x14ac:dyDescent="0.3">
      <c r="A229" t="s">
        <v>280</v>
      </c>
      <c r="B229" s="1">
        <v>16.105225000000001</v>
      </c>
      <c r="C229" s="1">
        <v>10.317126</v>
      </c>
      <c r="D229" s="1">
        <v>19.312559</v>
      </c>
      <c r="E229" s="1">
        <v>22.913912</v>
      </c>
      <c r="F229" s="1">
        <v>11.353702999999999</v>
      </c>
      <c r="G229" s="1">
        <v>6.607513</v>
      </c>
      <c r="H229" s="1">
        <v>4269.2099609999996</v>
      </c>
      <c r="I229" s="1">
        <v>36.484881999999999</v>
      </c>
      <c r="J229" s="1">
        <v>12.875816</v>
      </c>
      <c r="K229" s="1">
        <v>1.4852609999999999</v>
      </c>
      <c r="L229" s="1">
        <v>21.921436</v>
      </c>
      <c r="M229">
        <f t="shared" si="38"/>
        <v>-2.4769597845548996E-2</v>
      </c>
      <c r="N229">
        <f t="shared" si="38"/>
        <v>-1.424761220475923E-2</v>
      </c>
      <c r="O229">
        <f t="shared" si="38"/>
        <v>-7.0351824419779829E-3</v>
      </c>
      <c r="P229">
        <f t="shared" si="38"/>
        <v>8.3403156268957446E-4</v>
      </c>
      <c r="Q229">
        <f t="shared" si="39"/>
        <v>4.7640371083914612E-3</v>
      </c>
      <c r="R229">
        <f t="shared" si="39"/>
        <v>-1.9550197373097045E-2</v>
      </c>
      <c r="S229">
        <f t="shared" si="40"/>
        <v>-2.1309502046511941E-2</v>
      </c>
      <c r="T229">
        <f t="shared" si="41"/>
        <v>-7.5410151834620631E-4</v>
      </c>
      <c r="U229">
        <f t="shared" si="42"/>
        <v>-1.3698875747896633E-2</v>
      </c>
      <c r="V229">
        <f t="shared" si="43"/>
        <v>-1.4827802776232857E-2</v>
      </c>
      <c r="W229">
        <f t="shared" si="44"/>
        <v>-1.0173653827555307E-2</v>
      </c>
    </row>
    <row r="230" spans="1:23" x14ac:dyDescent="0.3">
      <c r="A230" t="s">
        <v>279</v>
      </c>
      <c r="B230" s="1">
        <v>16.514277</v>
      </c>
      <c r="C230" s="1">
        <v>10.466245000000001</v>
      </c>
      <c r="D230" s="1">
        <v>19.449389</v>
      </c>
      <c r="E230" s="1">
        <v>22.894817</v>
      </c>
      <c r="F230" s="1">
        <v>11.29987</v>
      </c>
      <c r="G230" s="1">
        <v>6.7392669999999999</v>
      </c>
      <c r="H230" s="1">
        <v>4313.0898440000001</v>
      </c>
      <c r="I230" s="1">
        <v>37.279285000000002</v>
      </c>
      <c r="J230" s="1">
        <v>12.885533000000001</v>
      </c>
      <c r="K230" s="1">
        <v>1.50589</v>
      </c>
      <c r="L230" s="1">
        <v>22.251374999999999</v>
      </c>
      <c r="M230">
        <f t="shared" si="38"/>
        <v>2.5096058468104809E-2</v>
      </c>
      <c r="N230">
        <f t="shared" si="38"/>
        <v>1.6289577294218205E-2</v>
      </c>
      <c r="O230">
        <f t="shared" si="38"/>
        <v>2.2610604463349171E-2</v>
      </c>
      <c r="P230">
        <f t="shared" si="38"/>
        <v>8.4103726990318872E-3</v>
      </c>
      <c r="Q230">
        <f t="shared" si="39"/>
        <v>1.7354157613267418E-3</v>
      </c>
      <c r="R230">
        <f t="shared" si="39"/>
        <v>1.7803685091722476E-2</v>
      </c>
      <c r="S230">
        <f t="shared" si="40"/>
        <v>2.9878400742764155E-2</v>
      </c>
      <c r="T230">
        <f t="shared" si="41"/>
        <v>4.5454091873942115E-3</v>
      </c>
      <c r="U230">
        <f t="shared" si="42"/>
        <v>1.850211087469078E-2</v>
      </c>
      <c r="V230">
        <f t="shared" si="43"/>
        <v>1.685150132845159E-2</v>
      </c>
      <c r="W230">
        <f t="shared" si="44"/>
        <v>1.1674005717287272E-2</v>
      </c>
    </row>
    <row r="231" spans="1:23" x14ac:dyDescent="0.3">
      <c r="A231" t="s">
        <v>278</v>
      </c>
      <c r="B231" s="1">
        <v>16.10998</v>
      </c>
      <c r="C231" s="1">
        <v>10.298487</v>
      </c>
      <c r="D231" s="1">
        <v>19.019349999999999</v>
      </c>
      <c r="E231" s="1">
        <v>22.703869000000001</v>
      </c>
      <c r="F231" s="1">
        <v>11.280294</v>
      </c>
      <c r="G231" s="1">
        <v>6.6213819999999997</v>
      </c>
      <c r="H231" s="1">
        <v>4263.3198240000002</v>
      </c>
      <c r="I231" s="1">
        <v>36.197754000000003</v>
      </c>
      <c r="J231" s="1">
        <v>12.827228</v>
      </c>
      <c r="K231" s="1">
        <v>1.478534</v>
      </c>
      <c r="L231" s="1">
        <v>21.882619999999999</v>
      </c>
      <c r="M231">
        <f t="shared" si="38"/>
        <v>-1.7976298392691659E-2</v>
      </c>
      <c r="N231">
        <f t="shared" si="38"/>
        <v>-3.0701715994726597E-2</v>
      </c>
      <c r="O231">
        <f t="shared" si="38"/>
        <v>-3.9012475277220626E-2</v>
      </c>
      <c r="P231">
        <f t="shared" si="38"/>
        <v>1.0195406129461793E-2</v>
      </c>
      <c r="Q231">
        <f t="shared" si="39"/>
        <v>2.1738075908421806E-3</v>
      </c>
      <c r="R231">
        <f t="shared" si="39"/>
        <v>-2.9909277205564244E-4</v>
      </c>
      <c r="S231">
        <f t="shared" si="40"/>
        <v>-1.8172396786360068E-2</v>
      </c>
      <c r="T231">
        <f t="shared" si="41"/>
        <v>1.9698666791738484E-2</v>
      </c>
      <c r="U231">
        <f t="shared" si="42"/>
        <v>4.2642040514693225E-3</v>
      </c>
      <c r="V231">
        <f t="shared" si="43"/>
        <v>2.7334771836688976E-2</v>
      </c>
      <c r="W231">
        <f t="shared" si="44"/>
        <v>-1.8823136560431886E-3</v>
      </c>
    </row>
    <row r="232" spans="1:23" x14ac:dyDescent="0.3">
      <c r="A232" t="s">
        <v>277</v>
      </c>
      <c r="B232" s="1">
        <v>16.404879000000001</v>
      </c>
      <c r="C232" s="1">
        <v>10.624682999999999</v>
      </c>
      <c r="D232" s="1">
        <v>19.791464000000001</v>
      </c>
      <c r="E232" s="1">
        <v>22.474730000000001</v>
      </c>
      <c r="F232" s="1">
        <v>11.255826000000001</v>
      </c>
      <c r="G232" s="1">
        <v>6.6233630000000003</v>
      </c>
      <c r="H232" s="1">
        <v>4271.3598629999997</v>
      </c>
      <c r="I232" s="1">
        <v>36.867728999999997</v>
      </c>
      <c r="J232" s="1">
        <v>12.57943</v>
      </c>
      <c r="K232" s="1">
        <v>1.472256</v>
      </c>
      <c r="L232" s="1">
        <v>21.300379</v>
      </c>
      <c r="M232">
        <f t="shared" si="38"/>
        <v>-1.457135640252516E-2</v>
      </c>
      <c r="N232">
        <f t="shared" si="38"/>
        <v>-1.6393529129784645E-2</v>
      </c>
      <c r="O232">
        <f t="shared" si="38"/>
        <v>-1.4598448199469982E-2</v>
      </c>
      <c r="P232">
        <f t="shared" si="38"/>
        <v>1.7021787540405509E-3</v>
      </c>
      <c r="Q232">
        <f t="shared" si="39"/>
        <v>1.7422182667705677E-3</v>
      </c>
      <c r="R232">
        <f t="shared" si="39"/>
        <v>-1.3443342778551859E-3</v>
      </c>
      <c r="S232">
        <f t="shared" si="40"/>
        <v>-1.3824902666386363E-2</v>
      </c>
      <c r="T232">
        <f t="shared" si="41"/>
        <v>2.1704820163681582E-2</v>
      </c>
      <c r="U232">
        <f t="shared" si="42"/>
        <v>6.0964047523404119E-4</v>
      </c>
      <c r="V232">
        <f t="shared" si="43"/>
        <v>-1.5253452607904672E-2</v>
      </c>
      <c r="W232">
        <f t="shared" si="44"/>
        <v>-1.3900263287086823E-2</v>
      </c>
    </row>
    <row r="233" spans="1:23" x14ac:dyDescent="0.3">
      <c r="A233" t="s">
        <v>276</v>
      </c>
      <c r="B233" s="1">
        <v>16.647455000000001</v>
      </c>
      <c r="C233" s="1">
        <v>10.801762</v>
      </c>
      <c r="D233" s="1">
        <v>20.084669000000002</v>
      </c>
      <c r="E233" s="1">
        <v>22.436539</v>
      </c>
      <c r="F233" s="1">
        <v>11.23625</v>
      </c>
      <c r="G233" s="1">
        <v>6.6322789999999996</v>
      </c>
      <c r="H233" s="1">
        <v>4331.5698240000002</v>
      </c>
      <c r="I233" s="1">
        <v>37.384566999999997</v>
      </c>
      <c r="J233" s="1">
        <v>12.312196</v>
      </c>
      <c r="K233" s="1">
        <v>1.4713590000000001</v>
      </c>
      <c r="L233" s="1">
        <v>21.630316000000001</v>
      </c>
      <c r="M233">
        <f t="shared" si="38"/>
        <v>4.3041464073385605E-3</v>
      </c>
      <c r="N233">
        <f t="shared" si="38"/>
        <v>-1.7225794127223581E-3</v>
      </c>
      <c r="O233">
        <f t="shared" si="38"/>
        <v>-4.8426339675572416E-3</v>
      </c>
      <c r="P233">
        <f t="shared" si="38"/>
        <v>-8.5038788704938639E-4</v>
      </c>
      <c r="Q233">
        <f t="shared" si="39"/>
        <v>6.5760129386394084E-3</v>
      </c>
      <c r="R233">
        <f t="shared" si="39"/>
        <v>-3.1268215242200581E-3</v>
      </c>
      <c r="S233">
        <f t="shared" si="40"/>
        <v>1.5385589309995229E-3</v>
      </c>
      <c r="T233">
        <f t="shared" si="41"/>
        <v>2.0950885514851469E-2</v>
      </c>
      <c r="U233">
        <f t="shared" si="42"/>
        <v>1.4219737649321385E-2</v>
      </c>
      <c r="V233">
        <f t="shared" si="43"/>
        <v>-1.371679658618763E-2</v>
      </c>
      <c r="W233">
        <f t="shared" si="44"/>
        <v>6.9436798581914427E-3</v>
      </c>
    </row>
    <row r="234" spans="1:23" x14ac:dyDescent="0.3">
      <c r="A234" t="s">
        <v>275</v>
      </c>
      <c r="B234" s="1">
        <v>16.576108999999999</v>
      </c>
      <c r="C234" s="1">
        <v>10.820401</v>
      </c>
      <c r="D234" s="1">
        <v>20.182404999999999</v>
      </c>
      <c r="E234" s="1">
        <v>22.455635000000001</v>
      </c>
      <c r="F234" s="1">
        <v>11.162843000000001</v>
      </c>
      <c r="G234" s="1">
        <v>6.6530820000000004</v>
      </c>
      <c r="H234" s="1">
        <v>4301.7001950000003</v>
      </c>
      <c r="I234" s="1">
        <v>37.327137</v>
      </c>
      <c r="J234" s="1">
        <v>12.059538</v>
      </c>
      <c r="K234" s="1">
        <v>1.4507300000000001</v>
      </c>
      <c r="L234" s="1">
        <v>21.931141</v>
      </c>
      <c r="M234">
        <f t="shared" si="38"/>
        <v>-1.6370359284741731E-2</v>
      </c>
      <c r="N234">
        <f t="shared" si="38"/>
        <v>2.5907021405073838E-3</v>
      </c>
      <c r="O234">
        <f t="shared" si="38"/>
        <v>1.7241396690478306E-2</v>
      </c>
      <c r="P234">
        <f t="shared" si="38"/>
        <v>-1.5075260289321379E-2</v>
      </c>
      <c r="Q234">
        <f t="shared" si="39"/>
        <v>-3.0594528940529608E-3</v>
      </c>
      <c r="R234">
        <f t="shared" si="39"/>
        <v>-5.1845499723001121E-3</v>
      </c>
      <c r="S234">
        <f t="shared" si="40"/>
        <v>-8.1383534434336102E-3</v>
      </c>
      <c r="T234">
        <f t="shared" si="41"/>
        <v>6.4882588146002451E-3</v>
      </c>
      <c r="U234">
        <f t="shared" si="42"/>
        <v>0</v>
      </c>
      <c r="V234">
        <f t="shared" si="43"/>
        <v>-1.3961630850487849E-2</v>
      </c>
      <c r="W234">
        <f t="shared" si="44"/>
        <v>-1.6477001302684924E-3</v>
      </c>
    </row>
    <row r="235" spans="1:23" x14ac:dyDescent="0.3">
      <c r="A235" t="s">
        <v>274</v>
      </c>
      <c r="B235" s="1">
        <v>16.851982</v>
      </c>
      <c r="C235" s="1">
        <v>10.792441</v>
      </c>
      <c r="D235" s="1">
        <v>19.840330000000002</v>
      </c>
      <c r="E235" s="1">
        <v>22.799340999999998</v>
      </c>
      <c r="F235" s="1">
        <v>11.197100000000001</v>
      </c>
      <c r="G235" s="1">
        <v>6.6877550000000001</v>
      </c>
      <c r="H235" s="1">
        <v>4308.7998049999997</v>
      </c>
      <c r="I235" s="1">
        <v>37.633411000000002</v>
      </c>
      <c r="J235" s="1">
        <v>11.981797</v>
      </c>
      <c r="K235" s="1">
        <v>1.4507300000000001</v>
      </c>
      <c r="L235" s="1">
        <v>22.241671</v>
      </c>
      <c r="M235">
        <f t="shared" si="38"/>
        <v>1.6351136303736968E-2</v>
      </c>
      <c r="N235">
        <f t="shared" si="38"/>
        <v>-4.2993652022013107E-3</v>
      </c>
      <c r="O235">
        <f t="shared" si="38"/>
        <v>1.5000007929555803E-2</v>
      </c>
      <c r="P235">
        <f t="shared" si="38"/>
        <v>-1.0770589897584504E-2</v>
      </c>
      <c r="Q235">
        <f t="shared" si="39"/>
        <v>6.1565773046099448E-3</v>
      </c>
      <c r="R235">
        <f t="shared" si="39"/>
        <v>-2.1310400406709507E-2</v>
      </c>
      <c r="S235">
        <f t="shared" si="40"/>
        <v>-7.624105118869684E-4</v>
      </c>
      <c r="T235">
        <f t="shared" si="41"/>
        <v>1.7746652727270718E-2</v>
      </c>
      <c r="U235">
        <f t="shared" si="42"/>
        <v>-9.1887358419432408E-3</v>
      </c>
      <c r="V235">
        <f t="shared" si="43"/>
        <v>5.2632242633869897E-3</v>
      </c>
      <c r="W235">
        <f t="shared" si="44"/>
        <v>-5.5919255583884997E-3</v>
      </c>
    </row>
    <row r="236" spans="1:23" x14ac:dyDescent="0.3">
      <c r="A236" t="s">
        <v>273</v>
      </c>
      <c r="B236" s="1">
        <v>16.580866</v>
      </c>
      <c r="C236" s="1">
        <v>10.839041999999999</v>
      </c>
      <c r="D236" s="1">
        <v>19.547122999999999</v>
      </c>
      <c r="E236" s="1">
        <v>23.047577</v>
      </c>
      <c r="F236" s="1">
        <v>11.128586</v>
      </c>
      <c r="G236" s="1">
        <v>6.8333769999999996</v>
      </c>
      <c r="H236" s="1">
        <v>4333.0297849999997</v>
      </c>
      <c r="I236" s="1">
        <v>37.662125000000003</v>
      </c>
      <c r="J236" s="1">
        <v>11.772868000000001</v>
      </c>
      <c r="K236" s="1">
        <v>1.4641839999999999</v>
      </c>
      <c r="L236" s="1">
        <v>22.125221</v>
      </c>
      <c r="M236">
        <f t="shared" si="38"/>
        <v>2.1688299180554038E-2</v>
      </c>
      <c r="N236">
        <f t="shared" si="38"/>
        <v>-1.1054360321891998E-2</v>
      </c>
      <c r="O236">
        <f t="shared" si="38"/>
        <v>-9.9010788652110771E-3</v>
      </c>
      <c r="P236">
        <f t="shared" si="38"/>
        <v>9.1972714742318828E-3</v>
      </c>
      <c r="Q236">
        <f t="shared" si="39"/>
        <v>-1.3175668035625421E-3</v>
      </c>
      <c r="R236">
        <f t="shared" si="39"/>
        <v>1.8756428374103296E-2</v>
      </c>
      <c r="S236">
        <f t="shared" si="40"/>
        <v>-3.0403700073331485E-3</v>
      </c>
      <c r="T236">
        <f t="shared" si="41"/>
        <v>-2.8806932906914051E-3</v>
      </c>
      <c r="U236">
        <f t="shared" si="42"/>
        <v>-6.3904679760667937E-3</v>
      </c>
      <c r="V236">
        <f t="shared" si="43"/>
        <v>-2.8132995585286147E-2</v>
      </c>
      <c r="W236">
        <f t="shared" si="44"/>
        <v>-1.3482968318438981E-3</v>
      </c>
    </row>
    <row r="237" spans="1:23" x14ac:dyDescent="0.3">
      <c r="A237" t="s">
        <v>272</v>
      </c>
      <c r="B237" s="1">
        <v>16.228888999999999</v>
      </c>
      <c r="C237" s="1">
        <v>10.9602</v>
      </c>
      <c r="D237" s="1">
        <v>19.742595999999999</v>
      </c>
      <c r="E237" s="1">
        <v>22.837534000000002</v>
      </c>
      <c r="F237" s="1">
        <v>11.143268000000001</v>
      </c>
      <c r="G237" s="1">
        <v>6.7075670000000001</v>
      </c>
      <c r="H237" s="1">
        <v>4338.8798829999996</v>
      </c>
      <c r="I237" s="1">
        <v>37.776980999999999</v>
      </c>
      <c r="J237" s="1">
        <v>11.80688</v>
      </c>
      <c r="K237" s="1">
        <v>1.4736009999999999</v>
      </c>
      <c r="L237" s="1">
        <v>22.765688000000001</v>
      </c>
      <c r="M237">
        <f t="shared" si="38"/>
        <v>-1.2731585195021378E-2</v>
      </c>
      <c r="N237">
        <f t="shared" si="38"/>
        <v>1.0309206127155468E-2</v>
      </c>
      <c r="O237">
        <f t="shared" si="38"/>
        <v>-2.1791704209681684E-2</v>
      </c>
      <c r="P237">
        <f t="shared" si="38"/>
        <v>0</v>
      </c>
      <c r="Q237">
        <f t="shared" si="39"/>
        <v>-8.275180776504576E-3</v>
      </c>
      <c r="R237">
        <f t="shared" si="39"/>
        <v>-9.5084759828693022E-3</v>
      </c>
      <c r="S237">
        <f t="shared" si="40"/>
        <v>-8.2913781422816468E-3</v>
      </c>
      <c r="T237">
        <f t="shared" si="41"/>
        <v>-6.135055051182503E-3</v>
      </c>
      <c r="U237">
        <f t="shared" si="42"/>
        <v>3.0410962065730018E-4</v>
      </c>
      <c r="V237">
        <f t="shared" si="43"/>
        <v>-1.469972512835771E-2</v>
      </c>
      <c r="W237">
        <f t="shared" si="44"/>
        <v>-3.3147595288252063E-3</v>
      </c>
    </row>
    <row r="238" spans="1:23" x14ac:dyDescent="0.3">
      <c r="A238" t="s">
        <v>271</v>
      </c>
      <c r="B238" s="1">
        <v>16.438172999999999</v>
      </c>
      <c r="C238" s="1">
        <v>10.848362</v>
      </c>
      <c r="D238" s="1">
        <v>20.182404999999999</v>
      </c>
      <c r="E238" s="1">
        <v>22.837534000000002</v>
      </c>
      <c r="F238" s="1">
        <v>11.23625</v>
      </c>
      <c r="G238" s="1">
        <v>6.7719579999999997</v>
      </c>
      <c r="H238" s="1">
        <v>4353.3100590000004</v>
      </c>
      <c r="I238" s="1">
        <v>38.092823000000003</v>
      </c>
      <c r="J238" s="1">
        <v>11.879763000000001</v>
      </c>
      <c r="K238" s="1">
        <v>1.4731529999999999</v>
      </c>
      <c r="L238" s="1">
        <v>23.105329999999999</v>
      </c>
      <c r="M238">
        <f t="shared" si="38"/>
        <v>8.4621463809300135E-3</v>
      </c>
      <c r="N238">
        <f t="shared" si="38"/>
        <v>-8.5177981933107771E-3</v>
      </c>
      <c r="O238">
        <f t="shared" si="38"/>
        <v>2.4271939898090622E-3</v>
      </c>
      <c r="P238">
        <f t="shared" si="38"/>
        <v>2.9259963751174345E-2</v>
      </c>
      <c r="Q238">
        <f t="shared" si="39"/>
        <v>2.6200853100419863E-3</v>
      </c>
      <c r="R238">
        <f t="shared" si="39"/>
        <v>1.3341262144421107E-2</v>
      </c>
      <c r="S238">
        <f t="shared" si="40"/>
        <v>6.3211251067469831E-3</v>
      </c>
      <c r="T238">
        <f t="shared" si="41"/>
        <v>2.7310931454942677E-2</v>
      </c>
      <c r="U238">
        <f t="shared" si="42"/>
        <v>-2.4289990113357529E-3</v>
      </c>
      <c r="V238">
        <f t="shared" si="43"/>
        <v>1.9263698479062175E-2</v>
      </c>
      <c r="W238">
        <f t="shared" si="44"/>
        <v>1.1891765318595038E-2</v>
      </c>
    </row>
    <row r="239" spans="1:23" x14ac:dyDescent="0.3">
      <c r="A239" t="s">
        <v>270</v>
      </c>
      <c r="B239" s="1">
        <v>16.300238</v>
      </c>
      <c r="C239" s="1">
        <v>10.941560000000001</v>
      </c>
      <c r="D239" s="1">
        <v>20.133537</v>
      </c>
      <c r="E239" s="1">
        <v>22.188305</v>
      </c>
      <c r="F239" s="1">
        <v>11.206887</v>
      </c>
      <c r="G239" s="1">
        <v>6.6828010000000004</v>
      </c>
      <c r="H239" s="1">
        <v>4302.1499020000001</v>
      </c>
      <c r="I239" s="1">
        <v>37.853546000000001</v>
      </c>
      <c r="J239" s="1">
        <v>11.563941</v>
      </c>
      <c r="K239" s="1">
        <v>1.4767399999999999</v>
      </c>
      <c r="L239" s="1">
        <v>22.668648000000001</v>
      </c>
      <c r="M239">
        <f t="shared" si="38"/>
        <v>5.840133317585039E-4</v>
      </c>
      <c r="N239">
        <f t="shared" si="38"/>
        <v>-6.7681730743830437E-3</v>
      </c>
      <c r="O239">
        <f t="shared" si="38"/>
        <v>2.4330995945214262E-3</v>
      </c>
      <c r="P239">
        <f t="shared" si="38"/>
        <v>1.7240993230012158E-3</v>
      </c>
      <c r="Q239">
        <f t="shared" si="39"/>
        <v>-6.9384748452153699E-3</v>
      </c>
      <c r="R239">
        <f t="shared" si="39"/>
        <v>5.2153019293097458E-3</v>
      </c>
      <c r="S239">
        <f t="shared" si="40"/>
        <v>1.7730383370018199E-3</v>
      </c>
      <c r="T239">
        <f t="shared" si="41"/>
        <v>8.4745784883530906E-3</v>
      </c>
      <c r="U239">
        <f t="shared" si="42"/>
        <v>-3.6312800160850367E-3</v>
      </c>
      <c r="V239">
        <f t="shared" si="43"/>
        <v>4.2821940739079523E-4</v>
      </c>
      <c r="W239">
        <f t="shared" si="44"/>
        <v>3.8594364696609151E-3</v>
      </c>
    </row>
    <row r="240" spans="1:23" x14ac:dyDescent="0.3">
      <c r="A240" t="s">
        <v>269</v>
      </c>
      <c r="B240" s="1">
        <v>16.290724000000001</v>
      </c>
      <c r="C240" s="1">
        <v>11.016119</v>
      </c>
      <c r="D240" s="1">
        <v>20.084669000000002</v>
      </c>
      <c r="E240" s="1">
        <v>22.150116000000001</v>
      </c>
      <c r="F240" s="1">
        <v>11.285189000000001</v>
      </c>
      <c r="G240" s="1">
        <v>6.648129</v>
      </c>
      <c r="H240" s="1">
        <v>4285.6098629999997</v>
      </c>
      <c r="I240" s="1">
        <v>37.786549000000001</v>
      </c>
      <c r="J240" s="1">
        <v>11.466765000000001</v>
      </c>
      <c r="K240" s="1">
        <v>1.4821219999999999</v>
      </c>
      <c r="L240" s="1">
        <v>22.658944999999999</v>
      </c>
      <c r="M240">
        <f t="shared" si="38"/>
        <v>2.9765473592999303E-2</v>
      </c>
      <c r="N240">
        <f t="shared" si="38"/>
        <v>2.6041577892582213E-2</v>
      </c>
      <c r="O240">
        <f t="shared" si="38"/>
        <v>-1.4388496622513514E-2</v>
      </c>
      <c r="P240">
        <f t="shared" si="38"/>
        <v>2.56410303901633E-2</v>
      </c>
      <c r="Q240">
        <f t="shared" si="39"/>
        <v>8.3078349344176683E-3</v>
      </c>
      <c r="R240">
        <f t="shared" si="39"/>
        <v>1.6972152667075413E-2</v>
      </c>
      <c r="S240">
        <f t="shared" si="40"/>
        <v>-4.7895092969286734E-3</v>
      </c>
      <c r="T240">
        <f t="shared" si="41"/>
        <v>1.9879111563648966E-2</v>
      </c>
      <c r="U240">
        <f t="shared" si="42"/>
        <v>2.0691754426076958E-2</v>
      </c>
      <c r="V240">
        <f t="shared" si="43"/>
        <v>1.9650745709448803E-2</v>
      </c>
      <c r="W240">
        <f t="shared" si="44"/>
        <v>1.4127064891627628E-2</v>
      </c>
    </row>
    <row r="241" spans="1:23" x14ac:dyDescent="0.3">
      <c r="A241" t="s">
        <v>268</v>
      </c>
      <c r="B241" s="1">
        <v>15.819839</v>
      </c>
      <c r="C241" s="1">
        <v>10.736523</v>
      </c>
      <c r="D241" s="1">
        <v>20.377876000000001</v>
      </c>
      <c r="E241" s="1">
        <v>21.596363</v>
      </c>
      <c r="F241" s="1">
        <v>11.192206000000001</v>
      </c>
      <c r="G241" s="1">
        <v>6.5371790000000001</v>
      </c>
      <c r="H241" s="1">
        <v>4225.9101559999999</v>
      </c>
      <c r="I241" s="1">
        <v>37.968398999999998</v>
      </c>
      <c r="J241" s="1">
        <v>11.243259</v>
      </c>
      <c r="K241" s="1">
        <v>1.4520759999999999</v>
      </c>
      <c r="L241" s="1">
        <v>22.222261</v>
      </c>
      <c r="M241">
        <f t="shared" si="38"/>
        <v>-6.8677489072452857E-3</v>
      </c>
      <c r="N241">
        <f t="shared" si="38"/>
        <v>6.993083731391625E-3</v>
      </c>
      <c r="O241">
        <f t="shared" si="38"/>
        <v>-4.7733369447839902E-3</v>
      </c>
      <c r="P241">
        <f t="shared" si="38"/>
        <v>-5.2770189690612979E-3</v>
      </c>
      <c r="Q241">
        <f t="shared" si="39"/>
        <v>-5.6521840334063933E-3</v>
      </c>
      <c r="R241">
        <f t="shared" si="39"/>
        <v>-1.5141853934941274E-4</v>
      </c>
      <c r="S241">
        <f t="shared" si="40"/>
        <v>-6.7601493799458456E-3</v>
      </c>
      <c r="T241">
        <f t="shared" si="41"/>
        <v>-8.6359369613919768E-4</v>
      </c>
      <c r="U241">
        <f t="shared" si="42"/>
        <v>-7.9659173512163228E-3</v>
      </c>
      <c r="V241">
        <f t="shared" si="43"/>
        <v>-5.6448745917775378E-3</v>
      </c>
      <c r="W241">
        <f t="shared" si="44"/>
        <v>5.9911091829212282E-4</v>
      </c>
    </row>
    <row r="242" spans="1:23" x14ac:dyDescent="0.3">
      <c r="A242" t="s">
        <v>267</v>
      </c>
      <c r="B242" s="1">
        <v>15.929237000000001</v>
      </c>
      <c r="C242" s="1">
        <v>10.661963</v>
      </c>
      <c r="D242" s="1">
        <v>20.475612999999999</v>
      </c>
      <c r="E242" s="1">
        <v>21.710932</v>
      </c>
      <c r="F242" s="1">
        <v>11.255826000000001</v>
      </c>
      <c r="G242" s="1">
        <v>6.5381689999999999</v>
      </c>
      <c r="H242" s="1">
        <v>4223.3798829999996</v>
      </c>
      <c r="I242" s="1">
        <v>38.226818000000002</v>
      </c>
      <c r="J242" s="1">
        <v>11.252977</v>
      </c>
      <c r="K242" s="1">
        <v>1.4637359999999999</v>
      </c>
      <c r="L242" s="1">
        <v>22.348414999999999</v>
      </c>
      <c r="M242">
        <f t="shared" si="38"/>
        <v>-1.6157469285101977E-2</v>
      </c>
      <c r="N242">
        <f t="shared" si="38"/>
        <v>-1.3793161498543816E-2</v>
      </c>
      <c r="O242">
        <f t="shared" si="38"/>
        <v>9.638541978650661E-3</v>
      </c>
      <c r="P242">
        <f t="shared" si="38"/>
        <v>-1.6436092518629986E-2</v>
      </c>
      <c r="Q242">
        <f t="shared" si="39"/>
        <v>-2.1690924013150203E-3</v>
      </c>
      <c r="R242">
        <f t="shared" si="39"/>
        <v>-2.2511846392708978E-2</v>
      </c>
      <c r="S242">
        <f t="shared" si="40"/>
        <v>-1.9990138208926256E-3</v>
      </c>
      <c r="T242">
        <f t="shared" si="41"/>
        <v>-1.1945448530093494E-2</v>
      </c>
      <c r="U242">
        <f t="shared" si="42"/>
        <v>-1.2703616018130637E-2</v>
      </c>
      <c r="V242">
        <f t="shared" si="43"/>
        <v>-1.4969991918655001E-2</v>
      </c>
      <c r="W242">
        <f t="shared" si="44"/>
        <v>-7.4942687185807211E-3</v>
      </c>
    </row>
    <row r="243" spans="1:23" x14ac:dyDescent="0.3">
      <c r="A243" t="s">
        <v>266</v>
      </c>
      <c r="B243" s="1">
        <v>16.190840000000001</v>
      </c>
      <c r="C243" s="1">
        <v>10.811082000000001</v>
      </c>
      <c r="D243" s="1">
        <v>20.280142000000001</v>
      </c>
      <c r="E243" s="1">
        <v>22.073737999999999</v>
      </c>
      <c r="F243" s="1">
        <v>11.280294</v>
      </c>
      <c r="G243" s="1">
        <v>6.6887449999999999</v>
      </c>
      <c r="H243" s="1">
        <v>4255.2700199999999</v>
      </c>
      <c r="I243" s="1">
        <v>38.303387000000001</v>
      </c>
      <c r="J243" s="1">
        <v>11.389023999999999</v>
      </c>
      <c r="K243" s="1">
        <v>1.4825699999999999</v>
      </c>
      <c r="L243" s="1">
        <v>22.688054999999999</v>
      </c>
      <c r="M243">
        <f t="shared" si="38"/>
        <v>-4.8896295246748989E-2</v>
      </c>
      <c r="N243">
        <f t="shared" si="38"/>
        <v>-8.5469191913633002E-3</v>
      </c>
      <c r="O243">
        <f t="shared" si="38"/>
        <v>1.7156929864712067E-2</v>
      </c>
      <c r="P243">
        <f t="shared" si="38"/>
        <v>-8.6421699419159115E-4</v>
      </c>
      <c r="Q243">
        <f t="shared" si="39"/>
        <v>-2.1646624233232492E-3</v>
      </c>
      <c r="R243">
        <f t="shared" si="39"/>
        <v>1.0778369817844302E-2</v>
      </c>
      <c r="S243">
        <f t="shared" si="40"/>
        <v>-7.4905888276399768E-4</v>
      </c>
      <c r="T243">
        <f t="shared" si="41"/>
        <v>7.3055813226179378E-3</v>
      </c>
      <c r="U243">
        <f t="shared" si="42"/>
        <v>1.255716494648218E-2</v>
      </c>
      <c r="V243">
        <f t="shared" si="43"/>
        <v>1.6521708429770632E-2</v>
      </c>
      <c r="W243">
        <f t="shared" si="44"/>
        <v>3.492559565757114E-3</v>
      </c>
    </row>
    <row r="244" spans="1:23" x14ac:dyDescent="0.3">
      <c r="A244" t="s">
        <v>265</v>
      </c>
      <c r="B244" s="1">
        <v>17.023212000000001</v>
      </c>
      <c r="C244" s="1">
        <v>10.90428</v>
      </c>
      <c r="D244" s="1">
        <v>19.938065999999999</v>
      </c>
      <c r="E244" s="1">
        <v>22.092831</v>
      </c>
      <c r="F244" s="1">
        <v>11.304765</v>
      </c>
      <c r="G244" s="1">
        <v>6.6174200000000001</v>
      </c>
      <c r="H244" s="1">
        <v>4240.4599609999996</v>
      </c>
      <c r="I244" s="1">
        <v>38.332099999999997</v>
      </c>
      <c r="J244" s="1">
        <v>11.306424</v>
      </c>
      <c r="K244" s="1">
        <v>1.4641839999999999</v>
      </c>
      <c r="L244" s="1">
        <v>22.319302</v>
      </c>
      <c r="M244">
        <f t="shared" si="38"/>
        <v>5.0547311994730837E-3</v>
      </c>
      <c r="N244">
        <f t="shared" si="38"/>
        <v>-1.4321796867641456E-2</v>
      </c>
      <c r="O244">
        <f t="shared" si="38"/>
        <v>-2.3923440759819559E-2</v>
      </c>
      <c r="P244">
        <f t="shared" si="38"/>
        <v>-2.1977973817512986E-2</v>
      </c>
      <c r="Q244">
        <f t="shared" si="39"/>
        <v>5.222106240625024E-3</v>
      </c>
      <c r="R244">
        <f t="shared" si="39"/>
        <v>-9.6367586571963759E-3</v>
      </c>
      <c r="S244">
        <f t="shared" si="40"/>
        <v>4.5146700242644222E-3</v>
      </c>
      <c r="T244">
        <f t="shared" si="41"/>
        <v>-3.8527233950063078E-3</v>
      </c>
      <c r="U244">
        <f t="shared" si="42"/>
        <v>-6.3904679760667937E-3</v>
      </c>
      <c r="V244">
        <f t="shared" si="43"/>
        <v>-2.6018516346199005E-3</v>
      </c>
      <c r="W244">
        <f t="shared" si="44"/>
        <v>-3.070412020771518E-3</v>
      </c>
    </row>
    <row r="245" spans="1:23" x14ac:dyDescent="0.3">
      <c r="A245" t="s">
        <v>264</v>
      </c>
      <c r="B245" s="1">
        <v>16.937597</v>
      </c>
      <c r="C245" s="1">
        <v>11.062718</v>
      </c>
      <c r="D245" s="1">
        <v>20.426743999999999</v>
      </c>
      <c r="E245" s="1">
        <v>22.589297999999999</v>
      </c>
      <c r="F245" s="1">
        <v>11.246036999999999</v>
      </c>
      <c r="G245" s="1">
        <v>6.6818109999999997</v>
      </c>
      <c r="H245" s="1">
        <v>4253.5200199999999</v>
      </c>
      <c r="I245" s="1">
        <v>38.159821000000001</v>
      </c>
      <c r="J245" s="1">
        <v>11.350153000000001</v>
      </c>
      <c r="K245" s="1">
        <v>1.4736009999999999</v>
      </c>
      <c r="L245" s="1">
        <v>22.377524999999999</v>
      </c>
      <c r="M245">
        <f t="shared" si="38"/>
        <v>7.0701119534479773E-3</v>
      </c>
      <c r="N245">
        <f t="shared" si="38"/>
        <v>4.2300741304628353E-3</v>
      </c>
      <c r="O245">
        <f t="shared" si="38"/>
        <v>0</v>
      </c>
      <c r="P245">
        <f t="shared" si="38"/>
        <v>3.9086410884922484E-2</v>
      </c>
      <c r="Q245">
        <f t="shared" si="39"/>
        <v>-9.4828973419509577E-3</v>
      </c>
      <c r="R245">
        <f t="shared" si="39"/>
        <v>-4.1339595454120692E-3</v>
      </c>
      <c r="S245">
        <f t="shared" si="40"/>
        <v>1.9432406973217464E-2</v>
      </c>
      <c r="T245">
        <f t="shared" si="41"/>
        <v>2.6361954911939378E-2</v>
      </c>
      <c r="U245">
        <f t="shared" si="42"/>
        <v>-8.4493035060876354E-3</v>
      </c>
      <c r="V245">
        <f t="shared" si="43"/>
        <v>-2.5952329387146644E-3</v>
      </c>
      <c r="W245">
        <f t="shared" si="44"/>
        <v>1.0474064696779584E-2</v>
      </c>
    </row>
    <row r="246" spans="1:23" x14ac:dyDescent="0.3">
      <c r="A246" t="s">
        <v>263</v>
      </c>
      <c r="B246" s="1">
        <v>16.818687000000001</v>
      </c>
      <c r="C246" s="1">
        <v>11.016119</v>
      </c>
      <c r="D246" s="1">
        <v>20.426743999999999</v>
      </c>
      <c r="E246" s="1">
        <v>21.739576</v>
      </c>
      <c r="F246" s="1">
        <v>11.353702999999999</v>
      </c>
      <c r="G246" s="1">
        <v>6.7095479999999998</v>
      </c>
      <c r="H246" s="1">
        <v>4209.4301759999998</v>
      </c>
      <c r="I246" s="1">
        <v>37.432419000000003</v>
      </c>
      <c r="J246" s="1">
        <v>11.058626</v>
      </c>
      <c r="K246" s="1">
        <v>1.4861580000000001</v>
      </c>
      <c r="L246" s="1">
        <v>22.435751</v>
      </c>
      <c r="M246">
        <f t="shared" si="38"/>
        <v>-1.5864139327067539E-2</v>
      </c>
      <c r="N246">
        <f t="shared" si="38"/>
        <v>-2.5317636235883123E-3</v>
      </c>
      <c r="O246">
        <f t="shared" si="38"/>
        <v>-2.3866928916853603E-3</v>
      </c>
      <c r="P246">
        <f t="shared" si="38"/>
        <v>-1.0186625803362714E-2</v>
      </c>
      <c r="Q246">
        <f t="shared" si="39"/>
        <v>-2.0270253361771684E-2</v>
      </c>
      <c r="R246">
        <f t="shared" si="39"/>
        <v>-1.1529495236164644E-2</v>
      </c>
      <c r="S246">
        <f t="shared" si="40"/>
        <v>-1.4861471577102936E-2</v>
      </c>
      <c r="T246">
        <f t="shared" si="41"/>
        <v>-3.066087892355962E-3</v>
      </c>
      <c r="U246">
        <f t="shared" si="42"/>
        <v>-1.192610046167264E-2</v>
      </c>
      <c r="V246">
        <f t="shared" si="43"/>
        <v>-2.2410175203853466E-2</v>
      </c>
      <c r="W246">
        <f t="shared" si="44"/>
        <v>-8.8789066957035701E-3</v>
      </c>
    </row>
    <row r="247" spans="1:23" x14ac:dyDescent="0.3">
      <c r="A247" t="s">
        <v>262</v>
      </c>
      <c r="B247" s="1">
        <v>17.089801999999999</v>
      </c>
      <c r="C247" s="1">
        <v>11.044079999999999</v>
      </c>
      <c r="D247" s="1">
        <v>20.475612999999999</v>
      </c>
      <c r="E247" s="1">
        <v>21.963308000000001</v>
      </c>
      <c r="F247" s="1">
        <v>11.588607</v>
      </c>
      <c r="G247" s="1">
        <v>6.7878080000000001</v>
      </c>
      <c r="H247" s="1">
        <v>4247.1401370000003</v>
      </c>
      <c r="I247" s="1">
        <v>37.997112000000001</v>
      </c>
      <c r="J247" s="1">
        <v>11.092637</v>
      </c>
      <c r="K247" s="1">
        <v>1.5040960000000001</v>
      </c>
      <c r="L247" s="1">
        <v>22.950066</v>
      </c>
      <c r="M247">
        <f t="shared" si="38"/>
        <v>-7.1843159563015346E-3</v>
      </c>
      <c r="N247">
        <f t="shared" si="38"/>
        <v>-6.7056774399887331E-3</v>
      </c>
      <c r="O247">
        <f t="shared" si="38"/>
        <v>2.3924028224957539E-3</v>
      </c>
      <c r="P247">
        <f t="shared" si="38"/>
        <v>2.5530669417885843E-3</v>
      </c>
      <c r="Q247">
        <f t="shared" si="39"/>
        <v>-1.2510330903339639E-2</v>
      </c>
      <c r="R247">
        <f t="shared" si="39"/>
        <v>-8.6807150377371523E-3</v>
      </c>
      <c r="S247">
        <f t="shared" si="40"/>
        <v>-4.2638826843554023E-3</v>
      </c>
      <c r="T247">
        <f t="shared" si="41"/>
        <v>-3.4919797030196209E-3</v>
      </c>
      <c r="U247">
        <f t="shared" si="42"/>
        <v>-7.6925309878370651E-3</v>
      </c>
      <c r="V247">
        <f t="shared" si="43"/>
        <v>-2.7948990975834809E-2</v>
      </c>
      <c r="W247">
        <f t="shared" si="44"/>
        <v>-2.662885126443526E-3</v>
      </c>
    </row>
    <row r="248" spans="1:23" x14ac:dyDescent="0.3">
      <c r="A248" t="s">
        <v>261</v>
      </c>
      <c r="B248" s="1">
        <v>17.213469</v>
      </c>
      <c r="C248" s="1">
        <v>11.118638000000001</v>
      </c>
      <c r="D248" s="1">
        <v>20.426743999999999</v>
      </c>
      <c r="E248" s="1">
        <v>21.907377</v>
      </c>
      <c r="F248" s="1">
        <v>11.735421000000001</v>
      </c>
      <c r="G248" s="1">
        <v>6.8472470000000003</v>
      </c>
      <c r="H248" s="1">
        <v>4258.4799800000001</v>
      </c>
      <c r="I248" s="1">
        <v>38.159821000000001</v>
      </c>
      <c r="J248" s="1">
        <v>11.131508</v>
      </c>
      <c r="K248" s="1">
        <v>1.5157560000000001</v>
      </c>
      <c r="L248" s="1">
        <v>23.609940000000002</v>
      </c>
      <c r="M248">
        <f t="shared" si="38"/>
        <v>2.0298787126412421E-2</v>
      </c>
      <c r="N248">
        <f t="shared" si="38"/>
        <v>2.9335584324113206E-2</v>
      </c>
      <c r="O248">
        <f t="shared" si="38"/>
        <v>-4.7619718130754718E-3</v>
      </c>
      <c r="P248">
        <f t="shared" si="38"/>
        <v>-8.4387843805385776E-3</v>
      </c>
      <c r="Q248">
        <f t="shared" si="39"/>
        <v>-1.4790540313643796E-2</v>
      </c>
      <c r="R248">
        <f t="shared" si="39"/>
        <v>-1.1559157313508761E-3</v>
      </c>
      <c r="S248">
        <f t="shared" si="40"/>
        <v>2.6783349553590519E-2</v>
      </c>
      <c r="T248">
        <f t="shared" si="41"/>
        <v>1.4614762495184008E-2</v>
      </c>
      <c r="U248">
        <f t="shared" si="42"/>
        <v>1.2279538310196125E-2</v>
      </c>
      <c r="V248">
        <f t="shared" si="43"/>
        <v>6.2034453925483568E-3</v>
      </c>
      <c r="W248">
        <f t="shared" si="44"/>
        <v>9.8171960774420253E-3</v>
      </c>
    </row>
    <row r="249" spans="1:23" x14ac:dyDescent="0.3">
      <c r="A249" t="s">
        <v>260</v>
      </c>
      <c r="B249" s="1">
        <v>16.871008</v>
      </c>
      <c r="C249" s="1">
        <v>10.801762</v>
      </c>
      <c r="D249" s="1">
        <v>20.524481000000002</v>
      </c>
      <c r="E249" s="1">
        <v>22.093821999999999</v>
      </c>
      <c r="F249" s="1">
        <v>11.9116</v>
      </c>
      <c r="G249" s="1">
        <v>6.8551710000000003</v>
      </c>
      <c r="H249" s="1">
        <v>4217.080078</v>
      </c>
      <c r="I249" s="1">
        <v>37.164433000000002</v>
      </c>
      <c r="J249" s="1">
        <v>10.971166999999999</v>
      </c>
      <c r="K249" s="1">
        <v>1.497369</v>
      </c>
      <c r="L249" s="1">
        <v>23.464379999999998</v>
      </c>
      <c r="M249">
        <f t="shared" si="38"/>
        <v>-4.7698583742933343E-3</v>
      </c>
      <c r="N249">
        <f t="shared" si="38"/>
        <v>6.0763619656010182E-3</v>
      </c>
      <c r="O249">
        <f t="shared" si="38"/>
        <v>-9.4339504261399254E-3</v>
      </c>
      <c r="P249">
        <f t="shared" si="38"/>
        <v>3.2230047405689355E-2</v>
      </c>
      <c r="Q249">
        <f t="shared" si="39"/>
        <v>4.5398935566873799E-3</v>
      </c>
      <c r="R249">
        <f t="shared" si="39"/>
        <v>2.3668476471369049E-2</v>
      </c>
      <c r="S249">
        <f t="shared" si="40"/>
        <v>1.542890784002604E-2</v>
      </c>
      <c r="T249">
        <f t="shared" si="41"/>
        <v>1.6659205472213889E-2</v>
      </c>
      <c r="U249">
        <f t="shared" si="42"/>
        <v>4.2103399457176227E-3</v>
      </c>
      <c r="V249">
        <f t="shared" si="43"/>
        <v>2.0253113810861478E-2</v>
      </c>
      <c r="W249">
        <f t="shared" si="44"/>
        <v>1.1144674365276552E-2</v>
      </c>
    </row>
    <row r="250" spans="1:23" x14ac:dyDescent="0.3">
      <c r="A250" t="s">
        <v>259</v>
      </c>
      <c r="B250" s="1">
        <v>16.951865999999999</v>
      </c>
      <c r="C250" s="1">
        <v>10.736523</v>
      </c>
      <c r="D250" s="1">
        <v>20.719951999999999</v>
      </c>
      <c r="E250" s="1">
        <v>21.403970999999999</v>
      </c>
      <c r="F250" s="1">
        <v>11.857767000000001</v>
      </c>
      <c r="G250" s="1">
        <v>6.6966710000000003</v>
      </c>
      <c r="H250" s="1">
        <v>4170.6000979999999</v>
      </c>
      <c r="I250" s="1">
        <v>36.599739</v>
      </c>
      <c r="J250" s="1">
        <v>10.791391000000001</v>
      </c>
      <c r="K250" s="1">
        <v>1.4910909999999999</v>
      </c>
      <c r="L250" s="1">
        <v>22.998587000000001</v>
      </c>
      <c r="M250">
        <f t="shared" si="38"/>
        <v>2.8136622965171387E-3</v>
      </c>
      <c r="N250">
        <f t="shared" si="38"/>
        <v>2.6110882114702694E-3</v>
      </c>
      <c r="O250">
        <f t="shared" si="38"/>
        <v>-4.6947581013566664E-3</v>
      </c>
      <c r="P250">
        <f t="shared" si="38"/>
        <v>1.0563337888995106E-2</v>
      </c>
      <c r="Q250">
        <f t="shared" si="39"/>
        <v>-2.8806702710991727E-3</v>
      </c>
      <c r="R250">
        <f t="shared" si="39"/>
        <v>2.2074505672891487E-2</v>
      </c>
      <c r="S250">
        <f t="shared" si="40"/>
        <v>-6.4952060608785001E-3</v>
      </c>
      <c r="T250">
        <f t="shared" si="41"/>
        <v>-1.7977349741823412E-3</v>
      </c>
      <c r="U250">
        <f t="shared" si="42"/>
        <v>1.0945478040905732E-2</v>
      </c>
      <c r="V250">
        <f t="shared" si="43"/>
        <v>-6.2892361636501803E-3</v>
      </c>
      <c r="W250">
        <f t="shared" si="44"/>
        <v>4.6128225320067884E-3</v>
      </c>
    </row>
    <row r="251" spans="1:23" x14ac:dyDescent="0.3">
      <c r="A251" t="s">
        <v>258</v>
      </c>
      <c r="B251" s="1">
        <v>16.904302999999999</v>
      </c>
      <c r="C251" s="1">
        <v>10.708562000000001</v>
      </c>
      <c r="D251" s="1">
        <v>20.817685999999998</v>
      </c>
      <c r="E251" s="1">
        <v>21.180237000000002</v>
      </c>
      <c r="F251" s="1">
        <v>11.892023999999999</v>
      </c>
      <c r="G251" s="1">
        <v>6.5520379999999996</v>
      </c>
      <c r="H251" s="1">
        <v>4151.4501950000003</v>
      </c>
      <c r="I251" s="1">
        <v>36.839016000000001</v>
      </c>
      <c r="J251" s="1">
        <v>10.810826</v>
      </c>
      <c r="K251" s="1">
        <v>1.474947</v>
      </c>
      <c r="L251" s="1">
        <v>23.144145999999999</v>
      </c>
      <c r="M251">
        <f t="shared" si="38"/>
        <v>2.1264503852811867E-2</v>
      </c>
      <c r="N251">
        <f t="shared" si="38"/>
        <v>3.4933943744159812E-3</v>
      </c>
      <c r="O251">
        <f t="shared" si="38"/>
        <v>7.0921779957053843E-3</v>
      </c>
      <c r="P251">
        <f t="shared" si="38"/>
        <v>2.6477082844758026E-3</v>
      </c>
      <c r="Q251">
        <f t="shared" si="39"/>
        <v>1.1656914927328232E-2</v>
      </c>
      <c r="R251">
        <f t="shared" si="39"/>
        <v>-1.1360237899870951E-2</v>
      </c>
      <c r="S251">
        <f t="shared" si="40"/>
        <v>9.7063216485118176E-3</v>
      </c>
      <c r="T251">
        <f t="shared" si="41"/>
        <v>4.9683101275590502E-3</v>
      </c>
      <c r="U251">
        <f t="shared" si="42"/>
        <v>6.0852752620332851E-4</v>
      </c>
      <c r="V251">
        <f t="shared" si="43"/>
        <v>5.4806692086781794E-3</v>
      </c>
      <c r="W251">
        <f t="shared" si="44"/>
        <v>3.3765033468513561E-3</v>
      </c>
    </row>
    <row r="252" spans="1:23" x14ac:dyDescent="0.3">
      <c r="A252" t="s">
        <v>257</v>
      </c>
      <c r="B252" s="1">
        <v>16.552326000000001</v>
      </c>
      <c r="C252" s="1">
        <v>10.671283000000001</v>
      </c>
      <c r="D252" s="1">
        <v>20.671082999999999</v>
      </c>
      <c r="E252" s="1">
        <v>21.124306000000001</v>
      </c>
      <c r="F252" s="1">
        <v>11.754996999999999</v>
      </c>
      <c r="G252" s="1">
        <v>6.6273260000000001</v>
      </c>
      <c r="H252" s="1">
        <v>4137.4799800000001</v>
      </c>
      <c r="I252" s="1">
        <v>36.484881999999999</v>
      </c>
      <c r="J252" s="1">
        <v>10.757379999999999</v>
      </c>
      <c r="K252" s="1">
        <v>1.4740500000000001</v>
      </c>
      <c r="L252" s="1">
        <v>23.017992</v>
      </c>
      <c r="M252">
        <f t="shared" si="38"/>
        <v>-5.4302486976272046E-3</v>
      </c>
      <c r="N252">
        <f t="shared" si="38"/>
        <v>-2.6132689948249466E-3</v>
      </c>
      <c r="O252">
        <f t="shared" si="38"/>
        <v>7.1427871915492602E-3</v>
      </c>
      <c r="P252">
        <f t="shared" si="38"/>
        <v>-2.6407164376867076E-3</v>
      </c>
      <c r="Q252">
        <f t="shared" si="39"/>
        <v>-2.0773435674127372E-3</v>
      </c>
      <c r="R252">
        <f t="shared" si="39"/>
        <v>5.9833652481366961E-4</v>
      </c>
      <c r="S252">
        <f t="shared" si="40"/>
        <v>1.8706482336365404E-2</v>
      </c>
      <c r="T252">
        <f t="shared" si="41"/>
        <v>-1.1607073618660202E-2</v>
      </c>
      <c r="U252">
        <f t="shared" si="42"/>
        <v>-1.4392457750363574E-2</v>
      </c>
      <c r="V252">
        <f t="shared" si="43"/>
        <v>-1.1666741878719189E-2</v>
      </c>
      <c r="W252">
        <f t="shared" si="44"/>
        <v>-3.2714725412263945E-3</v>
      </c>
    </row>
    <row r="253" spans="1:23" x14ac:dyDescent="0.3">
      <c r="A253" t="s">
        <v>256</v>
      </c>
      <c r="B253" s="1">
        <v>16.642700000000001</v>
      </c>
      <c r="C253" s="1">
        <v>10.699242999999999</v>
      </c>
      <c r="D253" s="1">
        <v>20.524481000000002</v>
      </c>
      <c r="E253" s="1">
        <v>21.180237000000002</v>
      </c>
      <c r="F253" s="1">
        <v>11.779467</v>
      </c>
      <c r="G253" s="1">
        <v>6.6233630000000003</v>
      </c>
      <c r="H253" s="1">
        <v>4151.0600590000004</v>
      </c>
      <c r="I253" s="1">
        <v>35.814911000000002</v>
      </c>
      <c r="J253" s="1">
        <v>10.883708</v>
      </c>
      <c r="K253" s="1">
        <v>1.4955750000000001</v>
      </c>
      <c r="L253" s="1">
        <v>23.289707</v>
      </c>
      <c r="M253">
        <f t="shared" si="38"/>
        <v>-3.9852082284763668E-3</v>
      </c>
      <c r="N253">
        <f t="shared" si="38"/>
        <v>-3.4722600603567244E-3</v>
      </c>
      <c r="O253">
        <f t="shared" si="38"/>
        <v>1.2048189800643483E-2</v>
      </c>
      <c r="P253">
        <f t="shared" si="38"/>
        <v>2.1582743875913968E-2</v>
      </c>
      <c r="Q253">
        <f t="shared" si="39"/>
        <v>6.2709405445504629E-3</v>
      </c>
      <c r="R253">
        <f t="shared" si="39"/>
        <v>-3.131017497154609E-3</v>
      </c>
      <c r="S253">
        <f t="shared" si="40"/>
        <v>2.6730649674044926E-4</v>
      </c>
      <c r="T253">
        <f t="shared" si="41"/>
        <v>2.2364206448338031E-2</v>
      </c>
      <c r="U253">
        <f t="shared" si="42"/>
        <v>-9.7982354039463093E-3</v>
      </c>
      <c r="V253">
        <f t="shared" si="43"/>
        <v>1.9108324570087376E-2</v>
      </c>
      <c r="W253">
        <f t="shared" si="44"/>
        <v>7.2931300347800487E-6</v>
      </c>
    </row>
    <row r="254" spans="1:23" x14ac:dyDescent="0.3">
      <c r="A254" t="s">
        <v>255</v>
      </c>
      <c r="B254" s="1">
        <v>16.709289999999999</v>
      </c>
      <c r="C254" s="1">
        <v>10.736523</v>
      </c>
      <c r="D254" s="1">
        <v>20.280142000000001</v>
      </c>
      <c r="E254" s="1">
        <v>20.732766999999999</v>
      </c>
      <c r="F254" s="1">
        <v>11.706059</v>
      </c>
      <c r="G254" s="1">
        <v>6.6441660000000002</v>
      </c>
      <c r="H254" s="1">
        <v>4151.0297849999997</v>
      </c>
      <c r="I254" s="1">
        <v>35.805340000000001</v>
      </c>
      <c r="J254" s="1">
        <v>10.645626999999999</v>
      </c>
      <c r="K254" s="1">
        <v>1.5103740000000001</v>
      </c>
      <c r="L254" s="1">
        <v>22.853024000000001</v>
      </c>
      <c r="M254">
        <f t="shared" si="38"/>
        <v>-8.5316772902044313E-4</v>
      </c>
      <c r="N254">
        <f t="shared" si="38"/>
        <v>9.6407721532520974E-3</v>
      </c>
      <c r="O254">
        <f t="shared" si="38"/>
        <v>-7.1769636903462608E-3</v>
      </c>
      <c r="P254">
        <f t="shared" si="38"/>
        <v>4.5166693354916632E-3</v>
      </c>
      <c r="Q254">
        <f t="shared" si="39"/>
        <v>-1.6851596066955854E-2</v>
      </c>
      <c r="R254">
        <f t="shared" si="39"/>
        <v>1.9418547434746358E-3</v>
      </c>
      <c r="S254">
        <f t="shared" si="40"/>
        <v>-3.4629784932624919E-3</v>
      </c>
      <c r="T254">
        <f t="shared" si="41"/>
        <v>4.5850543722636417E-3</v>
      </c>
      <c r="U254">
        <f t="shared" si="42"/>
        <v>5.6729881866013354E-3</v>
      </c>
      <c r="V254">
        <f t="shared" si="43"/>
        <v>-3.0864225802418765E-2</v>
      </c>
      <c r="W254">
        <f t="shared" si="44"/>
        <v>1.2228347711242815E-3</v>
      </c>
    </row>
    <row r="255" spans="1:23" x14ac:dyDescent="0.3">
      <c r="A255" t="s">
        <v>254</v>
      </c>
      <c r="B255" s="1">
        <v>16.723558000000001</v>
      </c>
      <c r="C255" s="1">
        <v>10.634003</v>
      </c>
      <c r="D255" s="1">
        <v>20.426743999999999</v>
      </c>
      <c r="E255" s="1">
        <v>20.639544999999998</v>
      </c>
      <c r="F255" s="1">
        <v>11.906706</v>
      </c>
      <c r="G255" s="1">
        <v>6.6312889999999998</v>
      </c>
      <c r="H255" s="1">
        <v>4145.9599609999996</v>
      </c>
      <c r="I255" s="1">
        <v>35.929763999999999</v>
      </c>
      <c r="J255" s="1">
        <v>10.597039000000001</v>
      </c>
      <c r="K255" s="1">
        <v>1.501854</v>
      </c>
      <c r="L255" s="1">
        <v>23.580828</v>
      </c>
      <c r="M255">
        <f t="shared" si="38"/>
        <v>2.0905927173615391E-2</v>
      </c>
      <c r="N255">
        <f t="shared" si="38"/>
        <v>1.0628897249653102E-2</v>
      </c>
      <c r="O255">
        <f t="shared" si="38"/>
        <v>-9.478661724746873E-3</v>
      </c>
      <c r="P255">
        <f t="shared" si="38"/>
        <v>2.6901685728120128E-2</v>
      </c>
      <c r="Q255">
        <f t="shared" si="39"/>
        <v>-6.1274046413418715E-3</v>
      </c>
      <c r="R255">
        <f t="shared" si="39"/>
        <v>1.9494386030076472E-2</v>
      </c>
      <c r="S255">
        <f t="shared" si="40"/>
        <v>1.404648467032743E-2</v>
      </c>
      <c r="T255">
        <f t="shared" si="41"/>
        <v>2.2983103126781756E-2</v>
      </c>
      <c r="U255">
        <f t="shared" si="42"/>
        <v>1.30071430016796E-2</v>
      </c>
      <c r="V255">
        <f t="shared" si="43"/>
        <v>2.4884032011246005E-2</v>
      </c>
      <c r="W255">
        <f t="shared" si="44"/>
        <v>1.6425755741807713E-2</v>
      </c>
    </row>
    <row r="256" spans="1:23" x14ac:dyDescent="0.3">
      <c r="A256" t="s">
        <v>253</v>
      </c>
      <c r="B256" s="1">
        <v>16.381095999999999</v>
      </c>
      <c r="C256" s="1">
        <v>10.522164</v>
      </c>
      <c r="D256" s="1">
        <v>20.622215000000001</v>
      </c>
      <c r="E256" s="1">
        <v>20.098852000000001</v>
      </c>
      <c r="F256" s="1">
        <v>11.980112999999999</v>
      </c>
      <c r="G256" s="1">
        <v>6.5044880000000003</v>
      </c>
      <c r="H256" s="1">
        <v>4078.959961</v>
      </c>
      <c r="I256" s="1">
        <v>35.432068000000001</v>
      </c>
      <c r="J256" s="1">
        <v>10.358957999999999</v>
      </c>
      <c r="K256" s="1">
        <v>1.4825699999999999</v>
      </c>
      <c r="L256" s="1">
        <v>23.008289000000001</v>
      </c>
      <c r="M256">
        <f t="shared" si="38"/>
        <v>1.5330212507163488E-2</v>
      </c>
      <c r="N256">
        <f t="shared" si="38"/>
        <v>-2.6501112830626949E-3</v>
      </c>
      <c r="O256">
        <f t="shared" si="38"/>
        <v>2.4271840561348013E-2</v>
      </c>
      <c r="P256">
        <f t="shared" si="38"/>
        <v>-2.7075753207396414E-2</v>
      </c>
      <c r="Q256">
        <f t="shared" si="39"/>
        <v>6.5788296287294656E-3</v>
      </c>
      <c r="R256">
        <f t="shared" si="39"/>
        <v>-7.2572839168514314E-3</v>
      </c>
      <c r="S256">
        <f t="shared" si="40"/>
        <v>-4.5711202115726879E-3</v>
      </c>
      <c r="T256">
        <f t="shared" si="41"/>
        <v>-1.4787473227295123E-2</v>
      </c>
      <c r="U256">
        <f t="shared" si="42"/>
        <v>-5.4151164397622242E-3</v>
      </c>
      <c r="V256">
        <f t="shared" si="43"/>
        <v>3.3855551275987494E-3</v>
      </c>
      <c r="W256">
        <f t="shared" si="44"/>
        <v>1.5596339917996804E-2</v>
      </c>
    </row>
    <row r="257" spans="1:23" x14ac:dyDescent="0.3">
      <c r="A257" t="s">
        <v>252</v>
      </c>
      <c r="B257" s="1">
        <v>16.133762000000001</v>
      </c>
      <c r="C257" s="1">
        <v>10.550122999999999</v>
      </c>
      <c r="D257" s="1">
        <v>20.133537</v>
      </c>
      <c r="E257" s="1">
        <v>20.658187999999999</v>
      </c>
      <c r="F257" s="1">
        <v>11.901813000000001</v>
      </c>
      <c r="G257" s="1">
        <v>6.5520379999999996</v>
      </c>
      <c r="H257" s="1">
        <v>4016.320068</v>
      </c>
      <c r="I257" s="1">
        <v>35.594776000000003</v>
      </c>
      <c r="J257" s="1">
        <v>10.51444</v>
      </c>
      <c r="K257" s="1">
        <v>1.490642</v>
      </c>
      <c r="L257" s="1">
        <v>22.930655999999999</v>
      </c>
      <c r="M257">
        <f t="shared" si="38"/>
        <v>-4.1537094439870748E-2</v>
      </c>
      <c r="N257">
        <f t="shared" si="38"/>
        <v>-2.5817654951591051E-2</v>
      </c>
      <c r="O257">
        <f t="shared" si="38"/>
        <v>-7.228992775297205E-3</v>
      </c>
      <c r="P257">
        <f t="shared" si="38"/>
        <v>-1.7730520734075439E-2</v>
      </c>
      <c r="Q257">
        <f t="shared" si="39"/>
        <v>4.9587582155530274E-3</v>
      </c>
      <c r="R257">
        <f t="shared" si="39"/>
        <v>-3.3464903487929409E-2</v>
      </c>
      <c r="S257">
        <f t="shared" si="40"/>
        <v>-2.5674560718662809E-2</v>
      </c>
      <c r="T257">
        <f t="shared" si="41"/>
        <v>-2.6978425255377414E-2</v>
      </c>
      <c r="U257">
        <f t="shared" si="42"/>
        <v>-2.6647277647146361E-2</v>
      </c>
      <c r="V257">
        <f t="shared" si="43"/>
        <v>-2.4360049771956604E-2</v>
      </c>
      <c r="W257">
        <f t="shared" si="44"/>
        <v>-2.0667728595374135E-2</v>
      </c>
    </row>
    <row r="258" spans="1:23" x14ac:dyDescent="0.3">
      <c r="A258" t="s">
        <v>251</v>
      </c>
      <c r="B258" s="1">
        <v>16.832954000000001</v>
      </c>
      <c r="C258" s="1">
        <v>10.829720999999999</v>
      </c>
      <c r="D258" s="1">
        <v>20.280142000000001</v>
      </c>
      <c r="E258" s="1">
        <v>21.031079999999999</v>
      </c>
      <c r="F258" s="1">
        <v>11.843086</v>
      </c>
      <c r="G258" s="1">
        <v>6.7788930000000001</v>
      </c>
      <c r="H258" s="1">
        <v>4101.080078</v>
      </c>
      <c r="I258" s="1">
        <v>36.532738000000002</v>
      </c>
      <c r="J258" s="1">
        <v>10.805968</v>
      </c>
      <c r="K258" s="1">
        <v>1.5314509999999999</v>
      </c>
      <c r="L258" s="1">
        <v>23.503195000000002</v>
      </c>
      <c r="M258">
        <f t="shared" si="38"/>
        <v>7.6877934869534759E-3</v>
      </c>
      <c r="N258">
        <f t="shared" si="38"/>
        <v>-4.2845370231350266E-3</v>
      </c>
      <c r="O258">
        <f t="shared" si="38"/>
        <v>9.732448167306007E-3</v>
      </c>
      <c r="P258">
        <f t="shared" si="38"/>
        <v>3.5587524844915563E-3</v>
      </c>
      <c r="Q258">
        <f t="shared" si="39"/>
        <v>0</v>
      </c>
      <c r="R258">
        <f t="shared" si="39"/>
        <v>6.1756321462380637E-3</v>
      </c>
      <c r="S258">
        <f t="shared" si="40"/>
        <v>-0.11786463808285796</v>
      </c>
      <c r="T258">
        <f t="shared" si="41"/>
        <v>-5.8114110849503131E-3</v>
      </c>
      <c r="U258">
        <f t="shared" si="42"/>
        <v>3.2315373942526371E-3</v>
      </c>
      <c r="V258">
        <f t="shared" si="43"/>
        <v>4.9792303307509833E-3</v>
      </c>
      <c r="W258">
        <f t="shared" si="44"/>
        <v>-5.2200115190508267E-3</v>
      </c>
    </row>
    <row r="259" spans="1:23" x14ac:dyDescent="0.3">
      <c r="A259" t="s">
        <v>250</v>
      </c>
      <c r="B259" s="1">
        <v>16.704533000000001</v>
      </c>
      <c r="C259" s="1">
        <v>10.876321000000001</v>
      </c>
      <c r="D259" s="1">
        <v>20.084669000000002</v>
      </c>
      <c r="E259" s="1">
        <v>20.956500999999999</v>
      </c>
      <c r="F259" s="1">
        <v>11.843086</v>
      </c>
      <c r="G259" s="1">
        <v>6.7372860000000001</v>
      </c>
      <c r="H259" s="1">
        <v>4122.6000979999999</v>
      </c>
      <c r="I259" s="1">
        <v>41.413981999999997</v>
      </c>
      <c r="J259" s="1">
        <v>10.869133</v>
      </c>
      <c r="K259" s="1">
        <v>1.526518</v>
      </c>
      <c r="L259" s="1">
        <v>23.386747</v>
      </c>
      <c r="M259">
        <f t="shared" si="38"/>
        <v>-1.0146504190654881E-2</v>
      </c>
      <c r="N259">
        <f t="shared" si="38"/>
        <v>-1.3524903634222651E-2</v>
      </c>
      <c r="O259">
        <f t="shared" si="38"/>
        <v>2.7500006011115019E-2</v>
      </c>
      <c r="P259">
        <f t="shared" si="38"/>
        <v>-2.260883605597297E-2</v>
      </c>
      <c r="Q259">
        <f t="shared" si="39"/>
        <v>-8.2579128066329055E-4</v>
      </c>
      <c r="R259">
        <f t="shared" si="39"/>
        <v>4.4132186292467068E-4</v>
      </c>
      <c r="S259">
        <f t="shared" si="40"/>
        <v>-2.7656205621949814E-3</v>
      </c>
      <c r="T259">
        <f t="shared" si="41"/>
        <v>-7.9821367779574492E-3</v>
      </c>
      <c r="U259">
        <f t="shared" si="42"/>
        <v>-5.8411435590142169E-3</v>
      </c>
      <c r="V259">
        <f t="shared" si="43"/>
        <v>-1.6326498508427489E-2</v>
      </c>
      <c r="W259">
        <f t="shared" si="44"/>
        <v>-4.765361303851634E-3</v>
      </c>
    </row>
    <row r="260" spans="1:23" x14ac:dyDescent="0.3">
      <c r="A260" t="s">
        <v>249</v>
      </c>
      <c r="B260" s="1">
        <v>16.875762999999999</v>
      </c>
      <c r="C260" s="1">
        <v>11.025439</v>
      </c>
      <c r="D260" s="1">
        <v>19.547122999999999</v>
      </c>
      <c r="E260" s="1">
        <v>21.441262999999999</v>
      </c>
      <c r="F260" s="1">
        <v>11.852874</v>
      </c>
      <c r="G260" s="1">
        <v>6.7343140000000004</v>
      </c>
      <c r="H260" s="1">
        <v>4142.3398440000001</v>
      </c>
      <c r="I260" s="1">
        <v>41.528835000000001</v>
      </c>
      <c r="J260" s="1">
        <v>10.95659</v>
      </c>
      <c r="K260" s="1">
        <v>1.535487</v>
      </c>
      <c r="L260" s="1">
        <v>23.774908</v>
      </c>
      <c r="M260">
        <f t="shared" si="38"/>
        <v>-1.6084354868538542E-2</v>
      </c>
      <c r="N260">
        <f t="shared" si="38"/>
        <v>-8.3822317085959774E-3</v>
      </c>
      <c r="O260">
        <f t="shared" si="38"/>
        <v>-2.4937753849755273E-3</v>
      </c>
      <c r="P260">
        <f t="shared" si="38"/>
        <v>3.4904339859194167E-3</v>
      </c>
      <c r="Q260">
        <f t="shared" si="39"/>
        <v>3.3140272545750804E-3</v>
      </c>
      <c r="R260">
        <f t="shared" si="39"/>
        <v>-1.421115098583059E-2</v>
      </c>
      <c r="S260">
        <f t="shared" si="40"/>
        <v>-2.3041327103401343E-4</v>
      </c>
      <c r="T260">
        <f t="shared" si="41"/>
        <v>8.0463639556163091E-3</v>
      </c>
      <c r="U260">
        <f t="shared" si="42"/>
        <v>-6.3843018391266382E-3</v>
      </c>
      <c r="V260">
        <f t="shared" si="43"/>
        <v>2.0833280556084244E-2</v>
      </c>
      <c r="W260">
        <f t="shared" si="44"/>
        <v>-7.7515389102091881E-3</v>
      </c>
    </row>
    <row r="261" spans="1:23" x14ac:dyDescent="0.3">
      <c r="A261" t="s">
        <v>248</v>
      </c>
      <c r="B261" s="1">
        <v>17.151636</v>
      </c>
      <c r="C261" s="1">
        <v>11.118638000000001</v>
      </c>
      <c r="D261" s="1">
        <v>19.595991000000001</v>
      </c>
      <c r="E261" s="1">
        <v>21.366683999999999</v>
      </c>
      <c r="F261" s="1">
        <v>11.813723</v>
      </c>
      <c r="G261" s="1">
        <v>6.8313959999999998</v>
      </c>
      <c r="H261" s="1">
        <v>4174.7001950000003</v>
      </c>
      <c r="I261" s="1">
        <v>41.538406000000002</v>
      </c>
      <c r="J261" s="1">
        <v>10.869133</v>
      </c>
      <c r="K261" s="1">
        <v>1.545353</v>
      </c>
      <c r="L261" s="1">
        <v>23.289707</v>
      </c>
      <c r="M261">
        <f t="shared" si="38"/>
        <v>-1.7973830668689073E-2</v>
      </c>
      <c r="N261">
        <f t="shared" si="38"/>
        <v>3.3642086105332147E-3</v>
      </c>
      <c r="O261">
        <f t="shared" si="38"/>
        <v>-7.4258218118831154E-3</v>
      </c>
      <c r="P261">
        <f t="shared" ref="P261:R324" si="45">+E261/E262-1</f>
        <v>1.4159281702415427E-2</v>
      </c>
      <c r="Q261">
        <f t="shared" si="39"/>
        <v>-3.7143586983958699E-3</v>
      </c>
      <c r="R261">
        <f t="shared" si="39"/>
        <v>-9.3377304142370221E-3</v>
      </c>
      <c r="S261">
        <f t="shared" si="40"/>
        <v>-1.6542070424114041E-2</v>
      </c>
      <c r="T261">
        <f t="shared" si="41"/>
        <v>-1.2797777155517331E-2</v>
      </c>
      <c r="U261">
        <f t="shared" si="42"/>
        <v>-1.2890178616484005E-2</v>
      </c>
      <c r="V261">
        <f t="shared" si="43"/>
        <v>5.960269631104409E-2</v>
      </c>
      <c r="W261">
        <f t="shared" si="44"/>
        <v>-7.4889445436868707E-3</v>
      </c>
    </row>
    <row r="262" spans="1:23" x14ac:dyDescent="0.3">
      <c r="A262" t="s">
        <v>247</v>
      </c>
      <c r="B262" s="1">
        <v>17.465558999999999</v>
      </c>
      <c r="C262" s="1">
        <v>11.081358</v>
      </c>
      <c r="D262" s="1">
        <v>19.742595999999999</v>
      </c>
      <c r="E262" s="1">
        <v>21.068370999999999</v>
      </c>
      <c r="F262" s="1">
        <v>11.857767000000001</v>
      </c>
      <c r="G262" s="1">
        <v>6.8957870000000003</v>
      </c>
      <c r="H262" s="1">
        <v>4206.2001950000003</v>
      </c>
      <c r="I262" s="1">
        <v>42.237094999999997</v>
      </c>
      <c r="J262" s="1">
        <v>11.010037000000001</v>
      </c>
      <c r="K262" s="1">
        <v>1.5655330000000001</v>
      </c>
      <c r="L262" s="1">
        <v>21.979659999999999</v>
      </c>
      <c r="M262">
        <f t="shared" ref="M262:R325" si="46">+B262/B263-1</f>
        <v>7.683942734228344E-3</v>
      </c>
      <c r="N262">
        <f t="shared" si="46"/>
        <v>1.2776788684611518E-2</v>
      </c>
      <c r="O262">
        <f t="shared" si="46"/>
        <v>-1.2224935939402437E-2</v>
      </c>
      <c r="P262">
        <f t="shared" si="45"/>
        <v>2.7272763177083936E-2</v>
      </c>
      <c r="Q262">
        <f t="shared" si="45"/>
        <v>-2.8806702710991727E-3</v>
      </c>
      <c r="R262">
        <f t="shared" si="45"/>
        <v>-5.7134313001160342E-3</v>
      </c>
      <c r="S262">
        <f t="shared" ref="S262:S325" si="47">+I262/I263-1</f>
        <v>-2.2608236515977431E-3</v>
      </c>
      <c r="T262">
        <f t="shared" ref="T262:T325" si="48">+J262/J263-1</f>
        <v>-4.8309375238396735E-3</v>
      </c>
      <c r="U262">
        <f t="shared" ref="U262:U325" si="49">+K262/K263-1</f>
        <v>-2.2866305402833298E-3</v>
      </c>
      <c r="V262">
        <f t="shared" ref="V262:V325" si="50">+L262/L263-1</f>
        <v>-2.7479698545900377E-2</v>
      </c>
      <c r="W262">
        <f t="shared" ref="W262:W325" si="51">+H262/H263-1</f>
        <v>1.5573314572084884E-2</v>
      </c>
    </row>
    <row r="263" spans="1:23" x14ac:dyDescent="0.3">
      <c r="A263" t="s">
        <v>246</v>
      </c>
      <c r="B263" s="1">
        <v>17.332377999999999</v>
      </c>
      <c r="C263" s="1">
        <v>10.941560000000001</v>
      </c>
      <c r="D263" s="1">
        <v>19.986934999999999</v>
      </c>
      <c r="E263" s="1">
        <v>20.509032999999999</v>
      </c>
      <c r="F263" s="1">
        <v>11.892023999999999</v>
      </c>
      <c r="G263" s="1">
        <v>6.9354120000000004</v>
      </c>
      <c r="H263" s="1">
        <v>4141.7001950000003</v>
      </c>
      <c r="I263" s="1">
        <v>42.332802000000001</v>
      </c>
      <c r="J263" s="1">
        <v>11.063484000000001</v>
      </c>
      <c r="K263" s="1">
        <v>1.569121</v>
      </c>
      <c r="L263" s="1">
        <v>22.600721</v>
      </c>
      <c r="M263">
        <f t="shared" si="46"/>
        <v>1.1660103159997215E-2</v>
      </c>
      <c r="N263">
        <f t="shared" si="46"/>
        <v>-1.3445256768364833E-2</v>
      </c>
      <c r="O263">
        <f t="shared" si="46"/>
        <v>2.7638194701129049E-2</v>
      </c>
      <c r="P263">
        <f t="shared" si="45"/>
        <v>7.3260764125515632E-3</v>
      </c>
      <c r="Q263">
        <f t="shared" si="45"/>
        <v>8.2986918597256487E-3</v>
      </c>
      <c r="R263">
        <f t="shared" si="45"/>
        <v>8.6441559197059092E-3</v>
      </c>
      <c r="S263">
        <f t="shared" si="47"/>
        <v>-4.0531389647274763E-3</v>
      </c>
      <c r="T263">
        <f t="shared" si="48"/>
        <v>1.1999948409744166E-2</v>
      </c>
      <c r="U263">
        <f t="shared" si="49"/>
        <v>-3.7017024656640363E-3</v>
      </c>
      <c r="V263">
        <f t="shared" si="50"/>
        <v>1.7919724907412782E-2</v>
      </c>
      <c r="W263">
        <f t="shared" si="51"/>
        <v>4.6062503012931355E-3</v>
      </c>
    </row>
    <row r="264" spans="1:23" x14ac:dyDescent="0.3">
      <c r="A264" t="s">
        <v>245</v>
      </c>
      <c r="B264" s="1">
        <v>17.13261</v>
      </c>
      <c r="C264" s="1">
        <v>11.090676999999999</v>
      </c>
      <c r="D264" s="1">
        <v>19.449389</v>
      </c>
      <c r="E264" s="1">
        <v>20.359874999999999</v>
      </c>
      <c r="F264" s="1">
        <v>11.794148</v>
      </c>
      <c r="G264" s="1">
        <v>6.8759750000000004</v>
      </c>
      <c r="H264" s="1">
        <v>4122.7099609999996</v>
      </c>
      <c r="I264" s="1">
        <v>42.505080999999997</v>
      </c>
      <c r="J264" s="1">
        <v>10.932297</v>
      </c>
      <c r="K264" s="1">
        <v>1.574951</v>
      </c>
      <c r="L264" s="1">
        <v>22.202852</v>
      </c>
      <c r="M264">
        <f t="shared" si="46"/>
        <v>9.8121935255142123E-3</v>
      </c>
      <c r="N264">
        <f t="shared" si="46"/>
        <v>-2.5147864333744385E-3</v>
      </c>
      <c r="O264">
        <f t="shared" si="46"/>
        <v>-7.4812240932342622E-3</v>
      </c>
      <c r="P264">
        <f t="shared" si="45"/>
        <v>7.3799943792205447E-3</v>
      </c>
      <c r="Q264">
        <f t="shared" si="45"/>
        <v>-4.9545789485317959E-3</v>
      </c>
      <c r="R264">
        <f t="shared" si="45"/>
        <v>2.2238678137705081E-2</v>
      </c>
      <c r="S264">
        <f t="shared" si="47"/>
        <v>-4.4535271428568168E-2</v>
      </c>
      <c r="T264">
        <f t="shared" si="48"/>
        <v>2.9277207552271811E-2</v>
      </c>
      <c r="U264">
        <f t="shared" si="49"/>
        <v>-2.2723558127837329E-3</v>
      </c>
      <c r="V264">
        <f t="shared" si="50"/>
        <v>1.3286033253783858E-2</v>
      </c>
      <c r="W264">
        <f t="shared" si="51"/>
        <v>2.8021132969588969E-3</v>
      </c>
    </row>
    <row r="265" spans="1:23" x14ac:dyDescent="0.3">
      <c r="A265" t="s">
        <v>244</v>
      </c>
      <c r="B265" s="1">
        <v>16.966135000000001</v>
      </c>
      <c r="C265" s="1">
        <v>11.118638000000001</v>
      </c>
      <c r="D265" s="1">
        <v>19.595991000000001</v>
      </c>
      <c r="E265" s="1">
        <v>20.210719999999998</v>
      </c>
      <c r="F265" s="1">
        <v>11.852874</v>
      </c>
      <c r="G265" s="1">
        <v>6.7263890000000002</v>
      </c>
      <c r="H265" s="1">
        <v>4111.1899409999996</v>
      </c>
      <c r="I265" s="1">
        <v>44.486289999999997</v>
      </c>
      <c r="J265" s="1">
        <v>10.621333999999999</v>
      </c>
      <c r="K265" s="1">
        <v>1.578538</v>
      </c>
      <c r="L265" s="1">
        <v>21.911732000000001</v>
      </c>
      <c r="M265">
        <f t="shared" si="46"/>
        <v>-4.4655520008580751E-3</v>
      </c>
      <c r="N265">
        <f t="shared" si="46"/>
        <v>-5.0042247756016955E-3</v>
      </c>
      <c r="O265">
        <f t="shared" si="46"/>
        <v>1.4676045779329572E-2</v>
      </c>
      <c r="P265">
        <f t="shared" si="45"/>
        <v>-4.5914232229956609E-3</v>
      </c>
      <c r="Q265">
        <f t="shared" si="45"/>
        <v>-7.3770432083241078E-3</v>
      </c>
      <c r="R265">
        <f t="shared" si="45"/>
        <v>9.3651241450305456E-3</v>
      </c>
      <c r="S265">
        <f t="shared" si="47"/>
        <v>4.8499787265715133E-2</v>
      </c>
      <c r="T265">
        <f t="shared" si="48"/>
        <v>-1.8264657375798299E-3</v>
      </c>
      <c r="U265">
        <f t="shared" si="49"/>
        <v>2.2775311739857695E-3</v>
      </c>
      <c r="V265">
        <f t="shared" si="50"/>
        <v>-3.5304793931065781E-3</v>
      </c>
      <c r="W265">
        <f t="shared" si="51"/>
        <v>9.8871515137393118E-3</v>
      </c>
    </row>
    <row r="266" spans="1:23" x14ac:dyDescent="0.3">
      <c r="A266" t="s">
        <v>243</v>
      </c>
      <c r="B266" s="1">
        <v>17.042238000000001</v>
      </c>
      <c r="C266" s="1">
        <v>11.174557999999999</v>
      </c>
      <c r="D266" s="1">
        <v>19.312559</v>
      </c>
      <c r="E266" s="1">
        <v>20.303944000000001</v>
      </c>
      <c r="F266" s="1">
        <v>11.940963</v>
      </c>
      <c r="G266" s="1">
        <v>6.6639799999999996</v>
      </c>
      <c r="H266" s="1">
        <v>4070.9399410000001</v>
      </c>
      <c r="I266" s="1">
        <v>42.428516000000002</v>
      </c>
      <c r="J266" s="1">
        <v>10.640769000000001</v>
      </c>
      <c r="K266" s="1">
        <v>1.574951</v>
      </c>
      <c r="L266" s="1">
        <v>21.989364999999999</v>
      </c>
      <c r="M266">
        <f t="shared" si="46"/>
        <v>-3.6151042637744268E-3</v>
      </c>
      <c r="N266">
        <f t="shared" si="46"/>
        <v>-1.5599337399472613E-2</v>
      </c>
      <c r="O266">
        <f t="shared" si="46"/>
        <v>-2.0201376089236112E-3</v>
      </c>
      <c r="P266">
        <f t="shared" si="45"/>
        <v>-9.1730452020233333E-4</v>
      </c>
      <c r="Q266">
        <f t="shared" si="45"/>
        <v>4.9423353531830028E-3</v>
      </c>
      <c r="R266">
        <f t="shared" si="45"/>
        <v>1.1883440517276744E-2</v>
      </c>
      <c r="S266">
        <f t="shared" si="47"/>
        <v>-1.1594129162305733E-2</v>
      </c>
      <c r="T266">
        <f t="shared" si="48"/>
        <v>1.860465650567078E-2</v>
      </c>
      <c r="U266">
        <f t="shared" si="49"/>
        <v>1.6498116354253245E-2</v>
      </c>
      <c r="V266">
        <f t="shared" si="50"/>
        <v>6.2167135820938579E-3</v>
      </c>
      <c r="W266">
        <f t="shared" si="51"/>
        <v>2.9465434811037916E-3</v>
      </c>
    </row>
    <row r="267" spans="1:23" x14ac:dyDescent="0.3">
      <c r="A267" t="s">
        <v>242</v>
      </c>
      <c r="B267" s="1">
        <v>17.104071000000001</v>
      </c>
      <c r="C267" s="1">
        <v>11.351635999999999</v>
      </c>
      <c r="D267" s="1">
        <v>19.351652000000001</v>
      </c>
      <c r="E267" s="1">
        <v>20.322586000000001</v>
      </c>
      <c r="F267" s="1">
        <v>11.882237</v>
      </c>
      <c r="G267" s="1">
        <v>6.5857190000000001</v>
      </c>
      <c r="H267" s="1">
        <v>4058.9799800000001</v>
      </c>
      <c r="I267" s="1">
        <v>42.926208000000003</v>
      </c>
      <c r="J267" s="1">
        <v>10.446417</v>
      </c>
      <c r="K267" s="1">
        <v>1.5493889999999999</v>
      </c>
      <c r="L267" s="1">
        <v>21.853508000000001</v>
      </c>
      <c r="M267">
        <f t="shared" si="46"/>
        <v>7.0008167717692249E-3</v>
      </c>
      <c r="N267">
        <f t="shared" si="46"/>
        <v>6.6115536854096657E-3</v>
      </c>
      <c r="O267">
        <f t="shared" si="46"/>
        <v>0</v>
      </c>
      <c r="P267">
        <f t="shared" si="45"/>
        <v>4.0076276202351879E-2</v>
      </c>
      <c r="Q267">
        <f t="shared" si="45"/>
        <v>1.8456389644968541E-2</v>
      </c>
      <c r="R267">
        <f t="shared" si="45"/>
        <v>5.7487115299210689E-3</v>
      </c>
      <c r="S267">
        <f t="shared" si="47"/>
        <v>-1.5799904831618194E-2</v>
      </c>
      <c r="T267">
        <f t="shared" si="48"/>
        <v>4.6535200972885882E-4</v>
      </c>
      <c r="U267">
        <f t="shared" si="49"/>
        <v>6.9952022128834113E-3</v>
      </c>
      <c r="V267">
        <f t="shared" si="50"/>
        <v>8.8883897715774651E-4</v>
      </c>
      <c r="W267">
        <f t="shared" si="51"/>
        <v>-9.254862504750605E-4</v>
      </c>
    </row>
    <row r="268" spans="1:23" x14ac:dyDescent="0.3">
      <c r="A268" t="s">
        <v>241</v>
      </c>
      <c r="B268" s="1">
        <v>16.985161000000002</v>
      </c>
      <c r="C268" s="1">
        <v>11.277077</v>
      </c>
      <c r="D268" s="1">
        <v>19.351652000000001</v>
      </c>
      <c r="E268" s="1">
        <v>19.539515000000002</v>
      </c>
      <c r="F268" s="1">
        <v>11.666907999999999</v>
      </c>
      <c r="G268" s="1">
        <v>6.548076</v>
      </c>
      <c r="H268" s="1">
        <v>4062.73999</v>
      </c>
      <c r="I268" s="1">
        <v>43.615326000000003</v>
      </c>
      <c r="J268" s="1">
        <v>10.441558000000001</v>
      </c>
      <c r="K268" s="1">
        <v>1.538626</v>
      </c>
      <c r="L268" s="1">
        <v>21.834101</v>
      </c>
      <c r="M268">
        <f t="shared" si="46"/>
        <v>7.9028686358673106E-3</v>
      </c>
      <c r="N268">
        <f t="shared" si="46"/>
        <v>1.3400483125519003E-2</v>
      </c>
      <c r="O268">
        <f t="shared" si="46"/>
        <v>5.07605776652853E-3</v>
      </c>
      <c r="P268">
        <f t="shared" si="45"/>
        <v>1.6488857335681395E-2</v>
      </c>
      <c r="Q268">
        <f t="shared" si="45"/>
        <v>1.0597716916414646E-2</v>
      </c>
      <c r="R268">
        <f t="shared" si="45"/>
        <v>1.5152560296316508E-3</v>
      </c>
      <c r="S268">
        <f t="shared" si="47"/>
        <v>1.2666678662704989E-2</v>
      </c>
      <c r="T268">
        <f t="shared" si="48"/>
        <v>4.675179922118522E-3</v>
      </c>
      <c r="U268">
        <f t="shared" si="49"/>
        <v>1.2094143030047855E-2</v>
      </c>
      <c r="V268">
        <f t="shared" si="50"/>
        <v>-5.5018863612854574E-2</v>
      </c>
      <c r="W268">
        <f t="shared" si="51"/>
        <v>1.5826961118394767E-3</v>
      </c>
    </row>
    <row r="269" spans="1:23" x14ac:dyDescent="0.3">
      <c r="A269" t="s">
        <v>240</v>
      </c>
      <c r="B269" s="1">
        <v>16.851982</v>
      </c>
      <c r="C269" s="1">
        <v>11.127957</v>
      </c>
      <c r="D269" s="1">
        <v>19.253917999999999</v>
      </c>
      <c r="E269" s="1">
        <v>19.222556999999998</v>
      </c>
      <c r="F269" s="1">
        <v>11.544562000000001</v>
      </c>
      <c r="G269" s="1">
        <v>6.5381689999999999</v>
      </c>
      <c r="H269" s="1">
        <v>4056.320068</v>
      </c>
      <c r="I269" s="1">
        <v>43.069775</v>
      </c>
      <c r="J269" s="1">
        <v>10.392969000000001</v>
      </c>
      <c r="K269" s="1">
        <v>1.52024</v>
      </c>
      <c r="L269" s="1">
        <v>23.105329999999999</v>
      </c>
      <c r="M269">
        <f t="shared" si="46"/>
        <v>3.3984711434806858E-3</v>
      </c>
      <c r="N269">
        <f t="shared" si="46"/>
        <v>-4.1702768019995506E-3</v>
      </c>
      <c r="O269">
        <f t="shared" si="46"/>
        <v>-1.0050238596184258E-2</v>
      </c>
      <c r="P269">
        <f t="shared" si="45"/>
        <v>0</v>
      </c>
      <c r="Q269">
        <f t="shared" si="45"/>
        <v>-9.6558146732799166E-3</v>
      </c>
      <c r="R269">
        <f t="shared" si="45"/>
        <v>1.4136429621635083E-2</v>
      </c>
      <c r="S269">
        <f t="shared" si="47"/>
        <v>-2.4072896130812982E-2</v>
      </c>
      <c r="T269">
        <f t="shared" si="48"/>
        <v>2.3429220857127397E-3</v>
      </c>
      <c r="U269">
        <f t="shared" si="49"/>
        <v>4.7420302498570877E-3</v>
      </c>
      <c r="V269">
        <f t="shared" si="50"/>
        <v>-5.430260306671042E-3</v>
      </c>
      <c r="W269">
        <f t="shared" si="51"/>
        <v>6.2014425990251087E-3</v>
      </c>
    </row>
    <row r="270" spans="1:23" x14ac:dyDescent="0.3">
      <c r="A270" t="s">
        <v>239</v>
      </c>
      <c r="B270" s="1">
        <v>16.794905</v>
      </c>
      <c r="C270" s="1">
        <v>11.174557999999999</v>
      </c>
      <c r="D270" s="1">
        <v>19.449389</v>
      </c>
      <c r="E270" s="1">
        <v>19.222556999999998</v>
      </c>
      <c r="F270" s="1">
        <v>11.657121</v>
      </c>
      <c r="G270" s="1">
        <v>6.447031</v>
      </c>
      <c r="H270" s="1">
        <v>4031.320068</v>
      </c>
      <c r="I270" s="1">
        <v>44.132164000000003</v>
      </c>
      <c r="J270" s="1">
        <v>10.368676000000001</v>
      </c>
      <c r="K270" s="1">
        <v>1.5130650000000001</v>
      </c>
      <c r="L270" s="1">
        <v>23.231483000000001</v>
      </c>
      <c r="M270">
        <f t="shared" si="46"/>
        <v>1.816607701210482E-2</v>
      </c>
      <c r="N270">
        <f t="shared" si="46"/>
        <v>1.4382469906143891E-2</v>
      </c>
      <c r="O270">
        <f t="shared" si="46"/>
        <v>1.5306182375286692E-2</v>
      </c>
      <c r="P270">
        <f t="shared" si="45"/>
        <v>4.6700424527038153E-2</v>
      </c>
      <c r="Q270">
        <f t="shared" si="45"/>
        <v>0.3756063868917412</v>
      </c>
      <c r="R270">
        <f t="shared" si="45"/>
        <v>2.8932872308081503E-2</v>
      </c>
      <c r="S270">
        <f t="shared" si="47"/>
        <v>3.0851814177528025E-2</v>
      </c>
      <c r="T270">
        <f t="shared" si="48"/>
        <v>9.4606426071515148E-3</v>
      </c>
      <c r="U270">
        <f t="shared" si="49"/>
        <v>1.1997643009590497E-2</v>
      </c>
      <c r="V270">
        <f t="shared" si="50"/>
        <v>3.1896537632903232E-2</v>
      </c>
      <c r="W270">
        <f t="shared" si="51"/>
        <v>2.2430352337466708E-2</v>
      </c>
    </row>
    <row r="271" spans="1:23" x14ac:dyDescent="0.3">
      <c r="A271" t="s">
        <v>238</v>
      </c>
      <c r="B271" s="1">
        <v>16.495251</v>
      </c>
      <c r="C271" s="1">
        <v>11.016119</v>
      </c>
      <c r="D271" s="1">
        <v>19.156181</v>
      </c>
      <c r="E271" s="1">
        <v>18.364908</v>
      </c>
      <c r="F271" s="1">
        <v>8.4741689999999998</v>
      </c>
      <c r="G271" s="1">
        <v>6.2657449999999999</v>
      </c>
      <c r="H271" s="1">
        <v>3942.8798830000001</v>
      </c>
      <c r="I271" s="1">
        <v>42.811356000000004</v>
      </c>
      <c r="J271" s="1">
        <v>10.271501000000001</v>
      </c>
      <c r="K271" s="1">
        <v>1.4951270000000001</v>
      </c>
      <c r="L271" s="1">
        <v>22.513383999999999</v>
      </c>
      <c r="M271">
        <f t="shared" si="46"/>
        <v>1.6710722433628922E-2</v>
      </c>
      <c r="N271">
        <f t="shared" si="46"/>
        <v>7.6726270187994494E-3</v>
      </c>
      <c r="O271">
        <f t="shared" si="46"/>
        <v>-2.0365950493856921E-3</v>
      </c>
      <c r="P271">
        <f t="shared" si="45"/>
        <v>5.6151553670877874E-3</v>
      </c>
      <c r="Q271">
        <f t="shared" si="45"/>
        <v>-6.9244948226077074E-4</v>
      </c>
      <c r="R271">
        <f t="shared" si="45"/>
        <v>1.5900972700725324E-2</v>
      </c>
      <c r="S271">
        <f t="shared" si="47"/>
        <v>-2.3575669872928806E-2</v>
      </c>
      <c r="T271">
        <f t="shared" si="48"/>
        <v>5.2306437213973656E-3</v>
      </c>
      <c r="U271">
        <f t="shared" si="49"/>
        <v>2.1039043209463149E-3</v>
      </c>
      <c r="V271">
        <f t="shared" si="50"/>
        <v>-5.9982586612178368E-3</v>
      </c>
      <c r="W271">
        <f t="shared" si="51"/>
        <v>6.1934653709605492E-3</v>
      </c>
    </row>
    <row r="272" spans="1:23" x14ac:dyDescent="0.3">
      <c r="A272" t="s">
        <v>237</v>
      </c>
      <c r="B272" s="1">
        <v>16.224133999999999</v>
      </c>
      <c r="C272" s="1">
        <v>10.93224</v>
      </c>
      <c r="D272" s="1">
        <v>19.195274000000001</v>
      </c>
      <c r="E272" s="1">
        <v>18.262362</v>
      </c>
      <c r="F272" s="1">
        <v>8.4800409999999999</v>
      </c>
      <c r="G272" s="1">
        <v>6.1676729999999997</v>
      </c>
      <c r="H272" s="1">
        <v>3918.610107</v>
      </c>
      <c r="I272" s="1">
        <v>43.845032000000003</v>
      </c>
      <c r="J272" s="1">
        <v>10.218054</v>
      </c>
      <c r="K272" s="1">
        <v>1.4919880000000001</v>
      </c>
      <c r="L272" s="1">
        <v>22.649239999999999</v>
      </c>
      <c r="M272">
        <f t="shared" si="46"/>
        <v>-4.3782082134560252E-3</v>
      </c>
      <c r="N272">
        <f t="shared" si="46"/>
        <v>0</v>
      </c>
      <c r="O272">
        <f t="shared" si="46"/>
        <v>-5.0659277600576536E-3</v>
      </c>
      <c r="P272">
        <f t="shared" si="45"/>
        <v>-3.0198042357977184E-2</v>
      </c>
      <c r="Q272">
        <f t="shared" si="45"/>
        <v>-1.1635833855388245E-2</v>
      </c>
      <c r="R272">
        <f t="shared" si="45"/>
        <v>-1.9527507383740428E-2</v>
      </c>
      <c r="S272">
        <f t="shared" si="47"/>
        <v>4.2083778150709961E-2</v>
      </c>
      <c r="T272">
        <f t="shared" si="48"/>
        <v>-2.0949631679518577E-2</v>
      </c>
      <c r="U272">
        <f t="shared" si="49"/>
        <v>-4.7860039235225749E-3</v>
      </c>
      <c r="V272">
        <f t="shared" si="50"/>
        <v>-3.4158243781117203E-3</v>
      </c>
      <c r="W272">
        <f t="shared" si="51"/>
        <v>-1.2026279158827591E-2</v>
      </c>
    </row>
    <row r="273" spans="1:23" x14ac:dyDescent="0.3">
      <c r="A273" t="s">
        <v>236</v>
      </c>
      <c r="B273" s="1">
        <v>16.295479</v>
      </c>
      <c r="C273" s="1">
        <v>10.93224</v>
      </c>
      <c r="D273" s="1">
        <v>19.293011</v>
      </c>
      <c r="E273" s="1">
        <v>18.831022000000001</v>
      </c>
      <c r="F273" s="1">
        <v>8.5798749999999995</v>
      </c>
      <c r="G273" s="1">
        <v>6.2905110000000004</v>
      </c>
      <c r="H273" s="1">
        <v>3966.3100589999999</v>
      </c>
      <c r="I273" s="1">
        <v>42.074382999999997</v>
      </c>
      <c r="J273" s="1">
        <v>10.436699000000001</v>
      </c>
      <c r="K273" s="1">
        <v>1.499163</v>
      </c>
      <c r="L273" s="1">
        <v>22.726870999999999</v>
      </c>
      <c r="M273">
        <f t="shared" si="46"/>
        <v>-6.9565841626937353E-3</v>
      </c>
      <c r="N273">
        <f t="shared" si="46"/>
        <v>-3.3985078654307221E-3</v>
      </c>
      <c r="O273">
        <f t="shared" si="46"/>
        <v>8.1715515815607986E-3</v>
      </c>
      <c r="P273">
        <f t="shared" si="45"/>
        <v>-3.3492814616942534E-2</v>
      </c>
      <c r="Q273">
        <f t="shared" si="45"/>
        <v>-5.1709340920653379E-2</v>
      </c>
      <c r="R273">
        <f t="shared" si="45"/>
        <v>-8.2774516535117915E-3</v>
      </c>
      <c r="S273">
        <f t="shared" si="47"/>
        <v>1.0807012765976953E-2</v>
      </c>
      <c r="T273">
        <f t="shared" si="48"/>
        <v>-6.4755634203775836E-3</v>
      </c>
      <c r="U273">
        <f t="shared" si="49"/>
        <v>-1.4932679723326236E-3</v>
      </c>
      <c r="V273">
        <f t="shared" si="50"/>
        <v>-2.1721041226683724E-2</v>
      </c>
      <c r="W273">
        <f t="shared" si="51"/>
        <v>-1.0021291212399586E-2</v>
      </c>
    </row>
    <row r="274" spans="1:23" x14ac:dyDescent="0.3">
      <c r="A274" t="s">
        <v>235</v>
      </c>
      <c r="B274" s="1">
        <v>16.409634</v>
      </c>
      <c r="C274" s="1">
        <v>10.969519999999999</v>
      </c>
      <c r="D274" s="1">
        <v>19.136634999999998</v>
      </c>
      <c r="E274" s="1">
        <v>19.483581999999998</v>
      </c>
      <c r="F274" s="1">
        <v>9.0477270000000001</v>
      </c>
      <c r="G274" s="1">
        <v>6.3430150000000003</v>
      </c>
      <c r="H274" s="1">
        <v>4006.459961</v>
      </c>
      <c r="I274" s="1">
        <v>41.624546000000002</v>
      </c>
      <c r="J274" s="1">
        <v>10.504723</v>
      </c>
      <c r="K274" s="1">
        <v>1.5014050000000001</v>
      </c>
      <c r="L274" s="1">
        <v>23.231483000000001</v>
      </c>
      <c r="M274">
        <f t="shared" si="46"/>
        <v>-1.4567195585450832E-2</v>
      </c>
      <c r="N274">
        <f t="shared" si="46"/>
        <v>-7.5885254843330863E-3</v>
      </c>
      <c r="O274">
        <f t="shared" si="46"/>
        <v>-5.081216857179105E-3</v>
      </c>
      <c r="P274">
        <f t="shared" si="45"/>
        <v>5.7749155056610046E-3</v>
      </c>
      <c r="Q274">
        <f t="shared" si="45"/>
        <v>3.4930531280369381E-2</v>
      </c>
      <c r="R274">
        <f t="shared" si="45"/>
        <v>-1.5592827299442114E-3</v>
      </c>
      <c r="S274">
        <f t="shared" si="47"/>
        <v>-1.8727365211686831E-2</v>
      </c>
      <c r="T274">
        <f t="shared" si="48"/>
        <v>-7.3462097296054241E-3</v>
      </c>
      <c r="U274">
        <f t="shared" si="49"/>
        <v>-2.9783051882938949E-3</v>
      </c>
      <c r="V274">
        <f t="shared" si="50"/>
        <v>-8.6955701718938183E-3</v>
      </c>
      <c r="W274">
        <f t="shared" si="51"/>
        <v>-1.2045958826646608E-2</v>
      </c>
    </row>
    <row r="275" spans="1:23" x14ac:dyDescent="0.3">
      <c r="A275" t="s">
        <v>234</v>
      </c>
      <c r="B275" s="1">
        <v>16.65221</v>
      </c>
      <c r="C275" s="1">
        <v>11.053399000000001</v>
      </c>
      <c r="D275" s="1">
        <v>19.234369000000001</v>
      </c>
      <c r="E275" s="1">
        <v>19.371711999999999</v>
      </c>
      <c r="F275" s="1">
        <v>8.7423520000000003</v>
      </c>
      <c r="G275" s="1">
        <v>6.3529210000000003</v>
      </c>
      <c r="H275" s="1">
        <v>4055.3100589999999</v>
      </c>
      <c r="I275" s="1">
        <v>42.418940999999997</v>
      </c>
      <c r="J275" s="1">
        <v>10.582464</v>
      </c>
      <c r="K275" s="1">
        <v>1.50589</v>
      </c>
      <c r="L275" s="1">
        <v>23.435265999999999</v>
      </c>
      <c r="M275">
        <f t="shared" si="46"/>
        <v>6.0344389060484893E-3</v>
      </c>
      <c r="N275">
        <f t="shared" si="46"/>
        <v>1.6281056802203597E-2</v>
      </c>
      <c r="O275">
        <f t="shared" si="46"/>
        <v>1.547988449705473E-2</v>
      </c>
      <c r="P275">
        <f t="shared" si="45"/>
        <v>1.564026422348741E-2</v>
      </c>
      <c r="Q275">
        <f t="shared" si="45"/>
        <v>2.9032327169667749E-2</v>
      </c>
      <c r="R275">
        <f t="shared" si="45"/>
        <v>3.2689171973901088E-2</v>
      </c>
      <c r="S275">
        <f t="shared" si="47"/>
        <v>3.6231890915878751E-3</v>
      </c>
      <c r="T275">
        <f t="shared" si="48"/>
        <v>1.6806843803524929E-2</v>
      </c>
      <c r="U275">
        <f t="shared" si="49"/>
        <v>9.6216056033398001E-3</v>
      </c>
      <c r="V275">
        <f t="shared" si="50"/>
        <v>3.0729780948547392E-2</v>
      </c>
      <c r="W275">
        <f t="shared" si="51"/>
        <v>1.993949477789525E-2</v>
      </c>
    </row>
    <row r="276" spans="1:23" x14ac:dyDescent="0.3">
      <c r="A276" t="s">
        <v>233</v>
      </c>
      <c r="B276" s="1">
        <v>16.552326000000001</v>
      </c>
      <c r="C276" s="1">
        <v>10.876321000000001</v>
      </c>
      <c r="D276" s="1">
        <v>18.941161999999998</v>
      </c>
      <c r="E276" s="1">
        <v>19.073398999999998</v>
      </c>
      <c r="F276" s="1">
        <v>8.4957019999999996</v>
      </c>
      <c r="G276" s="1">
        <v>6.1518230000000003</v>
      </c>
      <c r="H276" s="1">
        <v>3976.030029</v>
      </c>
      <c r="I276" s="1">
        <v>42.265804000000003</v>
      </c>
      <c r="J276" s="1">
        <v>10.407546</v>
      </c>
      <c r="K276" s="1">
        <v>1.4915389999999999</v>
      </c>
      <c r="L276" s="1">
        <v>22.736575999999999</v>
      </c>
      <c r="M276">
        <f t="shared" si="46"/>
        <v>5.7803889690328791E-3</v>
      </c>
      <c r="N276">
        <f t="shared" si="46"/>
        <v>-8.5608195751463168E-4</v>
      </c>
      <c r="O276">
        <f t="shared" si="46"/>
        <v>9.3748867587091222E-3</v>
      </c>
      <c r="P276">
        <f t="shared" si="45"/>
        <v>-2.9239911292254783E-3</v>
      </c>
      <c r="Q276">
        <f t="shared" si="45"/>
        <v>-1.8099569998977216E-2</v>
      </c>
      <c r="R276">
        <f t="shared" si="45"/>
        <v>-1.0988917355393202E-2</v>
      </c>
      <c r="S276">
        <f t="shared" si="47"/>
        <v>-2.0339089983685277E-3</v>
      </c>
      <c r="T276">
        <f t="shared" si="48"/>
        <v>-9.328745052442633E-4</v>
      </c>
      <c r="U276">
        <f t="shared" si="49"/>
        <v>-3.8934958584022628E-3</v>
      </c>
      <c r="V276">
        <f t="shared" si="50"/>
        <v>8.5428778559526464E-4</v>
      </c>
      <c r="W276">
        <f t="shared" si="51"/>
        <v>-4.2524263544232443E-3</v>
      </c>
    </row>
    <row r="277" spans="1:23" x14ac:dyDescent="0.3">
      <c r="A277" t="s">
        <v>232</v>
      </c>
      <c r="B277" s="1">
        <v>16.457197000000001</v>
      </c>
      <c r="C277" s="1">
        <v>10.88564</v>
      </c>
      <c r="D277" s="1">
        <v>18.765239999999999</v>
      </c>
      <c r="E277" s="1">
        <v>19.129332999999999</v>
      </c>
      <c r="F277" s="1">
        <v>8.6523050000000001</v>
      </c>
      <c r="G277" s="1">
        <v>6.2201760000000004</v>
      </c>
      <c r="H277" s="1">
        <v>3993.01001</v>
      </c>
      <c r="I277" s="1">
        <v>42.351944000000003</v>
      </c>
      <c r="J277" s="1">
        <v>10.417263999999999</v>
      </c>
      <c r="K277" s="1">
        <v>1.497369</v>
      </c>
      <c r="L277" s="1">
        <v>22.717168999999998</v>
      </c>
      <c r="M277">
        <f t="shared" si="46"/>
        <v>8.1584693180318801E-3</v>
      </c>
      <c r="N277">
        <f t="shared" si="46"/>
        <v>5.1634755872289606E-3</v>
      </c>
      <c r="O277">
        <f t="shared" si="46"/>
        <v>9.4637699129849207E-3</v>
      </c>
      <c r="P277">
        <f t="shared" si="45"/>
        <v>5.8822765408241828E-3</v>
      </c>
      <c r="Q277">
        <f t="shared" si="45"/>
        <v>-7.856258438141861E-3</v>
      </c>
      <c r="R277">
        <f t="shared" si="45"/>
        <v>1.8161223395766202E-2</v>
      </c>
      <c r="S277">
        <f t="shared" si="47"/>
        <v>1.7007621131694295E-2</v>
      </c>
      <c r="T277">
        <f t="shared" si="48"/>
        <v>5.6285583936144246E-3</v>
      </c>
      <c r="U277">
        <f t="shared" si="49"/>
        <v>2.9928099078047055E-4</v>
      </c>
      <c r="V277">
        <f t="shared" si="50"/>
        <v>1.2105569350479461E-2</v>
      </c>
      <c r="W277">
        <f t="shared" si="51"/>
        <v>1.2434181639462638E-2</v>
      </c>
    </row>
    <row r="278" spans="1:23" x14ac:dyDescent="0.3">
      <c r="A278" t="s">
        <v>231</v>
      </c>
      <c r="B278" s="1">
        <v>16.324017999999999</v>
      </c>
      <c r="C278" s="1">
        <v>10.829720999999999</v>
      </c>
      <c r="D278" s="1">
        <v>18.589314999999999</v>
      </c>
      <c r="E278" s="1">
        <v>19.017467</v>
      </c>
      <c r="F278" s="1">
        <v>8.7208179999999995</v>
      </c>
      <c r="G278" s="1">
        <v>6.1092250000000003</v>
      </c>
      <c r="H278" s="1">
        <v>3943.969971</v>
      </c>
      <c r="I278" s="1">
        <v>41.643684</v>
      </c>
      <c r="J278" s="1">
        <v>10.358957999999999</v>
      </c>
      <c r="K278" s="1">
        <v>1.4969209999999999</v>
      </c>
      <c r="L278" s="1">
        <v>22.445454000000002</v>
      </c>
      <c r="M278">
        <f t="shared" si="46"/>
        <v>1.5084219437535573E-2</v>
      </c>
      <c r="N278">
        <f t="shared" si="46"/>
        <v>1.3961571270835416E-2</v>
      </c>
      <c r="O278">
        <f t="shared" si="46"/>
        <v>1.1702162629795287E-2</v>
      </c>
      <c r="P278">
        <f t="shared" si="45"/>
        <v>1.3916497920207993E-2</v>
      </c>
      <c r="Q278">
        <f t="shared" si="45"/>
        <v>0.10705246873028784</v>
      </c>
      <c r="R278">
        <f t="shared" si="45"/>
        <v>3.0902711872644595E-3</v>
      </c>
      <c r="S278">
        <f t="shared" si="47"/>
        <v>1.0450442930736159E-2</v>
      </c>
      <c r="T278">
        <f t="shared" si="48"/>
        <v>2.822124636222556E-3</v>
      </c>
      <c r="U278">
        <f t="shared" si="49"/>
        <v>3.9098887995434595E-3</v>
      </c>
      <c r="V278">
        <f t="shared" si="50"/>
        <v>-4.3048471651053744E-3</v>
      </c>
      <c r="W278">
        <f t="shared" si="51"/>
        <v>4.2216531721364081E-3</v>
      </c>
    </row>
    <row r="279" spans="1:23" x14ac:dyDescent="0.3">
      <c r="A279" t="s">
        <v>230</v>
      </c>
      <c r="B279" s="1">
        <v>16.081441999999999</v>
      </c>
      <c r="C279" s="1">
        <v>10.680603</v>
      </c>
      <c r="D279" s="1">
        <v>18.374296000000001</v>
      </c>
      <c r="E279" s="1">
        <v>18.756443000000001</v>
      </c>
      <c r="F279" s="1">
        <v>7.8775110000000002</v>
      </c>
      <c r="G279" s="1">
        <v>6.0904040000000004</v>
      </c>
      <c r="H279" s="1">
        <v>3927.389893</v>
      </c>
      <c r="I279" s="1">
        <v>41.212989999999998</v>
      </c>
      <c r="J279" s="1">
        <v>10.329806</v>
      </c>
      <c r="K279" s="1">
        <v>1.4910909999999999</v>
      </c>
      <c r="L279" s="1">
        <v>22.542496</v>
      </c>
      <c r="M279">
        <f t="shared" si="46"/>
        <v>-2.654883172860778E-3</v>
      </c>
      <c r="N279">
        <f t="shared" si="46"/>
        <v>1.7482709328477952E-3</v>
      </c>
      <c r="O279">
        <f t="shared" si="46"/>
        <v>1.1840613275450051E-2</v>
      </c>
      <c r="P279">
        <f t="shared" si="45"/>
        <v>-7.8895671123899724E-3</v>
      </c>
      <c r="Q279">
        <f t="shared" si="45"/>
        <v>-3.665782427195774E-2</v>
      </c>
      <c r="R279">
        <f t="shared" si="45"/>
        <v>-1.1734428953449116E-2</v>
      </c>
      <c r="S279">
        <f t="shared" si="47"/>
        <v>-1.8015896980971835E-2</v>
      </c>
      <c r="T279">
        <f t="shared" si="48"/>
        <v>4.7060774258689264E-4</v>
      </c>
      <c r="U279">
        <f t="shared" si="49"/>
        <v>-8.3503641479683033E-3</v>
      </c>
      <c r="V279">
        <f t="shared" si="50"/>
        <v>2.1570665033636693E-3</v>
      </c>
      <c r="W279">
        <f t="shared" si="51"/>
        <v>-5.1599177630861082E-3</v>
      </c>
    </row>
    <row r="280" spans="1:23" x14ac:dyDescent="0.3">
      <c r="A280" t="s">
        <v>229</v>
      </c>
      <c r="B280" s="1">
        <v>16.12425</v>
      </c>
      <c r="C280" s="1">
        <v>10.661963</v>
      </c>
      <c r="D280" s="1">
        <v>18.159279000000002</v>
      </c>
      <c r="E280" s="1">
        <v>18.9056</v>
      </c>
      <c r="F280" s="1">
        <v>8.1772720000000003</v>
      </c>
      <c r="G280" s="1">
        <v>6.1627200000000002</v>
      </c>
      <c r="H280" s="1">
        <v>3947.76001</v>
      </c>
      <c r="I280" s="1">
        <v>41.969101000000002</v>
      </c>
      <c r="J280" s="1">
        <v>10.324947</v>
      </c>
      <c r="K280" s="1">
        <v>1.503647</v>
      </c>
      <c r="L280" s="1">
        <v>22.493974999999999</v>
      </c>
      <c r="M280">
        <f t="shared" si="46"/>
        <v>1.4059257021295624E-2</v>
      </c>
      <c r="N280">
        <f t="shared" si="46"/>
        <v>0</v>
      </c>
      <c r="O280">
        <f t="shared" si="46"/>
        <v>-1.4846195435583742E-2</v>
      </c>
      <c r="P280">
        <f t="shared" si="45"/>
        <v>5.9524100907686339E-3</v>
      </c>
      <c r="Q280">
        <f t="shared" si="45"/>
        <v>3.3132652815832664E-3</v>
      </c>
      <c r="R280">
        <f t="shared" si="45"/>
        <v>2.2350055424740001E-2</v>
      </c>
      <c r="S280">
        <f t="shared" si="47"/>
        <v>-1.5712699778015815E-2</v>
      </c>
      <c r="T280">
        <f t="shared" si="48"/>
        <v>-1.8787975927415657E-3</v>
      </c>
      <c r="U280">
        <f t="shared" si="49"/>
        <v>9.6354185901132983E-3</v>
      </c>
      <c r="V280">
        <f t="shared" si="50"/>
        <v>1.7112689057851238E-2</v>
      </c>
      <c r="W280">
        <f t="shared" si="51"/>
        <v>5.3479204093249688E-3</v>
      </c>
    </row>
    <row r="281" spans="1:23" x14ac:dyDescent="0.3">
      <c r="A281" t="s">
        <v>228</v>
      </c>
      <c r="B281" s="1">
        <v>15.900698</v>
      </c>
      <c r="C281" s="1">
        <v>10.661963</v>
      </c>
      <c r="D281" s="1">
        <v>18.432938</v>
      </c>
      <c r="E281" s="1">
        <v>18.793731999999999</v>
      </c>
      <c r="F281" s="1">
        <v>8.1502680000000005</v>
      </c>
      <c r="G281" s="1">
        <v>6.0279939999999996</v>
      </c>
      <c r="H281" s="1">
        <v>3926.76001</v>
      </c>
      <c r="I281" s="1">
        <v>42.639076000000003</v>
      </c>
      <c r="J281" s="1">
        <v>10.344382</v>
      </c>
      <c r="K281" s="1">
        <v>1.4892970000000001</v>
      </c>
      <c r="L281" s="1">
        <v>22.115518999999999</v>
      </c>
      <c r="M281">
        <f t="shared" si="46"/>
        <v>-2.3872640435748105E-3</v>
      </c>
      <c r="N281">
        <f t="shared" si="46"/>
        <v>1.0600824274750176E-2</v>
      </c>
      <c r="O281">
        <f t="shared" si="46"/>
        <v>3.5126352890490375E-2</v>
      </c>
      <c r="P281">
        <f t="shared" si="45"/>
        <v>5.9879457437495009E-3</v>
      </c>
      <c r="Q281">
        <f t="shared" si="45"/>
        <v>3.6582447936786E-3</v>
      </c>
      <c r="R281">
        <f t="shared" si="45"/>
        <v>-2.9350736763458118E-2</v>
      </c>
      <c r="S281">
        <f t="shared" si="47"/>
        <v>2.2492468127051302E-2</v>
      </c>
      <c r="T281">
        <f t="shared" si="48"/>
        <v>-7.9217553075282554E-3</v>
      </c>
      <c r="U281">
        <f t="shared" si="49"/>
        <v>-1.1607480022060135E-2</v>
      </c>
      <c r="V281">
        <f t="shared" si="50"/>
        <v>-1.1708444075026136E-2</v>
      </c>
      <c r="W281">
        <f t="shared" si="51"/>
        <v>-1.2259874921464187E-3</v>
      </c>
    </row>
    <row r="282" spans="1:23" x14ac:dyDescent="0.3">
      <c r="A282" t="s">
        <v>227</v>
      </c>
      <c r="B282" s="1">
        <v>15.938748</v>
      </c>
      <c r="C282" s="1">
        <v>10.550122999999999</v>
      </c>
      <c r="D282" s="1">
        <v>17.807428000000002</v>
      </c>
      <c r="E282" s="1">
        <v>18.681865999999999</v>
      </c>
      <c r="F282" s="1">
        <v>8.1205610000000004</v>
      </c>
      <c r="G282" s="1">
        <v>6.2102700000000004</v>
      </c>
      <c r="H282" s="1">
        <v>3931.580078</v>
      </c>
      <c r="I282" s="1">
        <v>41.701115000000001</v>
      </c>
      <c r="J282" s="1">
        <v>10.426982000000001</v>
      </c>
      <c r="K282" s="1">
        <v>1.5067870000000001</v>
      </c>
      <c r="L282" s="1">
        <v>22.377524999999999</v>
      </c>
      <c r="M282">
        <f t="shared" si="46"/>
        <v>1.1469852213535248E-2</v>
      </c>
      <c r="N282">
        <f t="shared" si="46"/>
        <v>8.9125627275703501E-3</v>
      </c>
      <c r="O282">
        <f t="shared" si="46"/>
        <v>-1.3001112848169516E-2</v>
      </c>
      <c r="P282">
        <f t="shared" si="45"/>
        <v>-1.9918637339982892E-3</v>
      </c>
      <c r="Q282">
        <f t="shared" si="45"/>
        <v>-2.2431716095259957E-2</v>
      </c>
      <c r="R282">
        <f t="shared" si="45"/>
        <v>1.3745199610973868E-2</v>
      </c>
      <c r="S282">
        <f t="shared" si="47"/>
        <v>1.8395155589203682E-3</v>
      </c>
      <c r="T282">
        <f t="shared" si="48"/>
        <v>-2.4545442724010269E-2</v>
      </c>
      <c r="U282">
        <f t="shared" si="49"/>
        <v>2.6581103877169054E-2</v>
      </c>
      <c r="V282">
        <f t="shared" si="50"/>
        <v>2.7171413384449616E-2</v>
      </c>
      <c r="W282">
        <f t="shared" si="51"/>
        <v>2.6983111451159836E-3</v>
      </c>
    </row>
    <row r="283" spans="1:23" x14ac:dyDescent="0.3">
      <c r="A283" t="s">
        <v>226</v>
      </c>
      <c r="B283" s="1">
        <v>15.758006</v>
      </c>
      <c r="C283" s="1">
        <v>10.456925</v>
      </c>
      <c r="D283" s="1">
        <v>18.041993999999999</v>
      </c>
      <c r="E283" s="1">
        <v>18.719152000000001</v>
      </c>
      <c r="F283" s="1">
        <v>8.3068989999999996</v>
      </c>
      <c r="G283" s="1">
        <v>6.1260659999999998</v>
      </c>
      <c r="H283" s="1">
        <v>3921</v>
      </c>
      <c r="I283" s="1">
        <v>41.624546000000002</v>
      </c>
      <c r="J283" s="1">
        <v>10.689356999999999</v>
      </c>
      <c r="K283" s="1">
        <v>1.4677720000000001</v>
      </c>
      <c r="L283" s="1">
        <v>21.78558</v>
      </c>
      <c r="M283">
        <f t="shared" si="46"/>
        <v>-1.9822432298698511E-2</v>
      </c>
      <c r="N283">
        <f t="shared" si="46"/>
        <v>-2.8571463076439652E-2</v>
      </c>
      <c r="O283">
        <f t="shared" si="46"/>
        <v>-1.5991587330666635E-2</v>
      </c>
      <c r="P283">
        <f t="shared" si="45"/>
        <v>4.5022197714310597E-3</v>
      </c>
      <c r="Q283">
        <f t="shared" si="45"/>
        <v>-2.0382009669408174E-2</v>
      </c>
      <c r="R283">
        <f t="shared" si="45"/>
        <v>-3.6159671032851004E-2</v>
      </c>
      <c r="S283">
        <f t="shared" si="47"/>
        <v>-2.4012600070281165E-2</v>
      </c>
      <c r="T283">
        <f t="shared" si="48"/>
        <v>-1.6979414457856445E-2</v>
      </c>
      <c r="U283">
        <f t="shared" si="49"/>
        <v>-1.9178441026627913E-2</v>
      </c>
      <c r="V283">
        <f t="shared" si="50"/>
        <v>-2.8559111262046799E-2</v>
      </c>
      <c r="W283">
        <f t="shared" si="51"/>
        <v>-1.7399110668058215E-2</v>
      </c>
    </row>
    <row r="284" spans="1:23" x14ac:dyDescent="0.3">
      <c r="A284" t="s">
        <v>225</v>
      </c>
      <c r="B284" s="1">
        <v>16.076685000000001</v>
      </c>
      <c r="C284" s="1">
        <v>10.764481999999999</v>
      </c>
      <c r="D284" s="1">
        <v>18.335203</v>
      </c>
      <c r="E284" s="1">
        <v>18.635252000000001</v>
      </c>
      <c r="F284" s="1">
        <v>8.4797329999999995</v>
      </c>
      <c r="G284" s="1">
        <v>6.355893</v>
      </c>
      <c r="H284" s="1">
        <v>3990.429932</v>
      </c>
      <c r="I284" s="1">
        <v>42.648651000000001</v>
      </c>
      <c r="J284" s="1">
        <v>10.873991</v>
      </c>
      <c r="K284" s="1">
        <v>1.496472</v>
      </c>
      <c r="L284" s="1">
        <v>22.426048000000002</v>
      </c>
      <c r="M284">
        <f t="shared" si="46"/>
        <v>-1.7720957018606542E-3</v>
      </c>
      <c r="N284">
        <f t="shared" si="46"/>
        <v>0</v>
      </c>
      <c r="O284">
        <f t="shared" si="46"/>
        <v>7.5187486530390313E-3</v>
      </c>
      <c r="P284">
        <f t="shared" si="45"/>
        <v>2.9881410220452542E-2</v>
      </c>
      <c r="Q284">
        <f t="shared" si="45"/>
        <v>4.5969203624792065E-2</v>
      </c>
      <c r="R284">
        <f t="shared" si="45"/>
        <v>2.9194743569772585E-2</v>
      </c>
      <c r="S284">
        <f t="shared" si="47"/>
        <v>-1.7920330701195475E-3</v>
      </c>
      <c r="T284">
        <f t="shared" si="48"/>
        <v>4.4883317507902198E-3</v>
      </c>
      <c r="U284">
        <f t="shared" si="49"/>
        <v>3.9563909889344995E-2</v>
      </c>
      <c r="V284">
        <f t="shared" si="50"/>
        <v>2.6198997433272586E-2</v>
      </c>
      <c r="W284">
        <f t="shared" si="51"/>
        <v>1.3617555050524643E-2</v>
      </c>
    </row>
    <row r="285" spans="1:23" x14ac:dyDescent="0.3">
      <c r="A285" t="s">
        <v>224</v>
      </c>
      <c r="B285" s="1">
        <v>16.105225000000001</v>
      </c>
      <c r="C285" s="1">
        <v>10.764481999999999</v>
      </c>
      <c r="D285" s="1">
        <v>18.198374000000001</v>
      </c>
      <c r="E285" s="1">
        <v>18.094560999999999</v>
      </c>
      <c r="F285" s="1">
        <v>8.1070580000000003</v>
      </c>
      <c r="G285" s="1">
        <v>6.1755979999999999</v>
      </c>
      <c r="H285" s="1">
        <v>3936.820068</v>
      </c>
      <c r="I285" s="1">
        <v>42.725216000000003</v>
      </c>
      <c r="J285" s="1">
        <v>10.825403</v>
      </c>
      <c r="K285" s="1">
        <v>1.439519</v>
      </c>
      <c r="L285" s="1">
        <v>21.853508000000001</v>
      </c>
      <c r="M285">
        <f t="shared" si="46"/>
        <v>-4.1064834841280651E-2</v>
      </c>
      <c r="N285">
        <f t="shared" si="46"/>
        <v>0</v>
      </c>
      <c r="O285">
        <f t="shared" si="46"/>
        <v>6.4866115088533238E-3</v>
      </c>
      <c r="P285">
        <f t="shared" si="45"/>
        <v>-6.1444229398308625E-3</v>
      </c>
      <c r="Q285">
        <f t="shared" si="45"/>
        <v>-3.9813432432406204E-3</v>
      </c>
      <c r="R285">
        <f t="shared" si="45"/>
        <v>-1.3763651662793253E-2</v>
      </c>
      <c r="S285">
        <f t="shared" si="47"/>
        <v>-2.4262322636736999E-2</v>
      </c>
      <c r="T285">
        <f t="shared" si="48"/>
        <v>-4.9129273774342064E-3</v>
      </c>
      <c r="U285">
        <f t="shared" si="49"/>
        <v>-1.2446984104077519E-3</v>
      </c>
      <c r="V285">
        <f t="shared" si="50"/>
        <v>-3.5398523040820473E-3</v>
      </c>
      <c r="W285">
        <f t="shared" si="51"/>
        <v>-9.8939290347133113E-3</v>
      </c>
    </row>
    <row r="286" spans="1:23" x14ac:dyDescent="0.3">
      <c r="A286" t="s">
        <v>223</v>
      </c>
      <c r="B286" s="1">
        <v>16.794905</v>
      </c>
      <c r="C286" s="1">
        <v>10.764481999999999</v>
      </c>
      <c r="D286" s="1">
        <v>18.081088999999999</v>
      </c>
      <c r="E286" s="1">
        <v>18.206429</v>
      </c>
      <c r="F286" s="1">
        <v>8.1394640000000003</v>
      </c>
      <c r="G286" s="1">
        <v>6.2617830000000003</v>
      </c>
      <c r="H286" s="1">
        <v>3976.1599120000001</v>
      </c>
      <c r="I286" s="1">
        <v>43.787604999999999</v>
      </c>
      <c r="J286" s="1">
        <v>10.87885</v>
      </c>
      <c r="K286" s="1">
        <v>1.4413130000000001</v>
      </c>
      <c r="L286" s="1">
        <v>21.931141</v>
      </c>
      <c r="M286">
        <f t="shared" si="46"/>
        <v>1.34903295760056E-2</v>
      </c>
      <c r="N286">
        <f t="shared" si="46"/>
        <v>-1.282047049415469E-2</v>
      </c>
      <c r="O286">
        <f t="shared" si="46"/>
        <v>-6.4448065524976839E-3</v>
      </c>
      <c r="P286">
        <f t="shared" si="45"/>
        <v>-2.8358186572499777E-2</v>
      </c>
      <c r="Q286">
        <f t="shared" si="45"/>
        <v>-2.8681904954203641E-2</v>
      </c>
      <c r="R286">
        <f t="shared" si="45"/>
        <v>-1.5880362612404775E-2</v>
      </c>
      <c r="S286">
        <f t="shared" si="47"/>
        <v>4.7390093133117706E-2</v>
      </c>
      <c r="T286">
        <f t="shared" si="48"/>
        <v>-6.6549284939654285E-3</v>
      </c>
      <c r="U286">
        <f t="shared" si="49"/>
        <v>2.1826288056938647E-3</v>
      </c>
      <c r="V286">
        <f t="shared" si="50"/>
        <v>-2.0372730346719936E-2</v>
      </c>
      <c r="W286">
        <f t="shared" si="51"/>
        <v>-1.7599073444700686E-3</v>
      </c>
    </row>
    <row r="287" spans="1:23" x14ac:dyDescent="0.3">
      <c r="A287" t="s">
        <v>222</v>
      </c>
      <c r="B287" s="1">
        <v>16.571352000000001</v>
      </c>
      <c r="C287" s="1">
        <v>10.90428</v>
      </c>
      <c r="D287" s="1">
        <v>18.198374000000001</v>
      </c>
      <c r="E287" s="1">
        <v>18.737798999999999</v>
      </c>
      <c r="F287" s="1">
        <v>8.3798130000000004</v>
      </c>
      <c r="G287" s="1">
        <v>6.3628270000000002</v>
      </c>
      <c r="H287" s="1">
        <v>3983.169922</v>
      </c>
      <c r="I287" s="1">
        <v>41.806395999999999</v>
      </c>
      <c r="J287" s="1">
        <v>10.951733000000001</v>
      </c>
      <c r="K287" s="1">
        <v>1.4381740000000001</v>
      </c>
      <c r="L287" s="1">
        <v>22.387229999999999</v>
      </c>
      <c r="M287">
        <f t="shared" si="46"/>
        <v>3.4561004396378436E-3</v>
      </c>
      <c r="N287">
        <f t="shared" si="46"/>
        <v>-1.9279159911492871E-2</v>
      </c>
      <c r="O287">
        <f t="shared" si="46"/>
        <v>1.3057811913577799E-2</v>
      </c>
      <c r="P287">
        <f t="shared" si="45"/>
        <v>-2.332357306658428E-2</v>
      </c>
      <c r="Q287">
        <f t="shared" si="45"/>
        <v>0.15515274410038749</v>
      </c>
      <c r="R287">
        <f t="shared" si="45"/>
        <v>-1.0476205139163031E-2</v>
      </c>
      <c r="S287">
        <f t="shared" si="47"/>
        <v>4.1379285166536217E-3</v>
      </c>
      <c r="T287">
        <f t="shared" si="48"/>
        <v>2.3150369121331504E-2</v>
      </c>
      <c r="U287">
        <f t="shared" si="49"/>
        <v>-1.0185323471255114E-2</v>
      </c>
      <c r="V287">
        <f t="shared" si="50"/>
        <v>-2.617143365214547E-2</v>
      </c>
      <c r="W287">
        <f t="shared" si="51"/>
        <v>-5.4805335068056626E-3</v>
      </c>
    </row>
    <row r="288" spans="1:23" x14ac:dyDescent="0.3">
      <c r="A288" t="s">
        <v>221</v>
      </c>
      <c r="B288" s="1">
        <v>16.514277</v>
      </c>
      <c r="C288" s="1">
        <v>11.118638000000001</v>
      </c>
      <c r="D288" s="1">
        <v>17.963806000000002</v>
      </c>
      <c r="E288" s="1">
        <v>19.185268000000001</v>
      </c>
      <c r="F288" s="1">
        <v>7.2542900000000001</v>
      </c>
      <c r="G288" s="1">
        <v>6.4301909999999998</v>
      </c>
      <c r="H288" s="1">
        <v>4005.1201169999999</v>
      </c>
      <c r="I288" s="1">
        <v>41.634117000000003</v>
      </c>
      <c r="J288" s="1">
        <v>10.703932999999999</v>
      </c>
      <c r="K288" s="1">
        <v>1.4529730000000001</v>
      </c>
      <c r="L288" s="1">
        <v>22.988882</v>
      </c>
      <c r="M288">
        <f t="shared" si="46"/>
        <v>4.2955940429356687E-2</v>
      </c>
      <c r="N288">
        <f t="shared" si="46"/>
        <v>3.9198567599595835E-2</v>
      </c>
      <c r="O288">
        <f t="shared" si="46"/>
        <v>1.4348637040410006E-2</v>
      </c>
      <c r="P288">
        <f t="shared" si="45"/>
        <v>4.6263392161581596E-2</v>
      </c>
      <c r="Q288">
        <f t="shared" si="45"/>
        <v>5.7142736397991944E-2</v>
      </c>
      <c r="R288">
        <f t="shared" si="45"/>
        <v>2.6732083897646586E-2</v>
      </c>
      <c r="S288">
        <f t="shared" si="47"/>
        <v>2.232670384542712E-2</v>
      </c>
      <c r="T288">
        <f t="shared" si="48"/>
        <v>3.964133315021634E-2</v>
      </c>
      <c r="U288">
        <f t="shared" si="49"/>
        <v>5.7786193631615523E-2</v>
      </c>
      <c r="V288">
        <f t="shared" si="50"/>
        <v>4.3015289242568588E-2</v>
      </c>
      <c r="W288">
        <f t="shared" si="51"/>
        <v>2.9890415105937596E-2</v>
      </c>
    </row>
    <row r="289" spans="1:23" x14ac:dyDescent="0.3">
      <c r="A289" t="s">
        <v>220</v>
      </c>
      <c r="B289" s="1">
        <v>15.834108000000001</v>
      </c>
      <c r="C289" s="1">
        <v>10.699242999999999</v>
      </c>
      <c r="D289" s="1">
        <v>17.709696000000001</v>
      </c>
      <c r="E289" s="1">
        <v>18.336939000000001</v>
      </c>
      <c r="F289" s="1">
        <v>6.8621670000000003</v>
      </c>
      <c r="G289" s="1">
        <v>6.2627740000000003</v>
      </c>
      <c r="H289" s="1">
        <v>3888.8798830000001</v>
      </c>
      <c r="I289" s="1">
        <v>40.724865000000001</v>
      </c>
      <c r="J289" s="1">
        <v>10.295794000000001</v>
      </c>
      <c r="K289" s="1">
        <v>1.3735980000000001</v>
      </c>
      <c r="L289" s="1">
        <v>22.040790999999999</v>
      </c>
      <c r="M289">
        <f t="shared" si="46"/>
        <v>-3.2935026938084588E-3</v>
      </c>
      <c r="N289">
        <f t="shared" si="46"/>
        <v>-1.7963904223962768E-2</v>
      </c>
      <c r="O289">
        <f t="shared" si="46"/>
        <v>2.2124318239091778E-3</v>
      </c>
      <c r="P289">
        <f t="shared" si="45"/>
        <v>-2.5272668877905691E-2</v>
      </c>
      <c r="Q289">
        <f t="shared" si="45"/>
        <v>2.2155142751171919E-2</v>
      </c>
      <c r="R289">
        <f t="shared" si="45"/>
        <v>-1.8627630570092424E-2</v>
      </c>
      <c r="S289">
        <f t="shared" si="47"/>
        <v>-1.527426510079799E-2</v>
      </c>
      <c r="T289">
        <f t="shared" si="48"/>
        <v>-4.7171766683140604E-4</v>
      </c>
      <c r="U289">
        <f t="shared" si="49"/>
        <v>1.9640883383229113E-2</v>
      </c>
      <c r="V289">
        <f t="shared" si="50"/>
        <v>1.2505417214895953E-2</v>
      </c>
      <c r="W289">
        <f t="shared" si="51"/>
        <v>-4.1892705805258723E-3</v>
      </c>
    </row>
    <row r="290" spans="1:23" x14ac:dyDescent="0.3">
      <c r="A290" t="s">
        <v>219</v>
      </c>
      <c r="B290" s="1">
        <v>15.886430000000001</v>
      </c>
      <c r="C290" s="1">
        <v>10.894959</v>
      </c>
      <c r="D290" s="1">
        <v>17.670601000000001</v>
      </c>
      <c r="E290" s="1">
        <v>18.812377999999999</v>
      </c>
      <c r="F290" s="1">
        <v>6.7134299999999998</v>
      </c>
      <c r="G290" s="1">
        <v>6.3816490000000003</v>
      </c>
      <c r="H290" s="1">
        <v>3905.23999</v>
      </c>
      <c r="I290" s="1">
        <v>41.356555999999998</v>
      </c>
      <c r="J290" s="1">
        <v>10.300653000000001</v>
      </c>
      <c r="K290" s="1">
        <v>1.3471390000000001</v>
      </c>
      <c r="L290" s="1">
        <v>21.768566</v>
      </c>
      <c r="M290">
        <f t="shared" si="46"/>
        <v>1.9847390382212282E-2</v>
      </c>
      <c r="N290">
        <f t="shared" si="46"/>
        <v>0</v>
      </c>
      <c r="O290">
        <f t="shared" si="46"/>
        <v>1.3452943860229771E-2</v>
      </c>
      <c r="P290">
        <f t="shared" si="45"/>
        <v>2.4838847505612716E-3</v>
      </c>
      <c r="Q290">
        <f t="shared" si="45"/>
        <v>3.3683097308534471E-3</v>
      </c>
      <c r="R290">
        <f t="shared" si="45"/>
        <v>4.6785772704394102E-3</v>
      </c>
      <c r="S290">
        <f t="shared" si="47"/>
        <v>-5.0656384180575165E-3</v>
      </c>
      <c r="T290">
        <f t="shared" si="48"/>
        <v>1.1450464506181701E-2</v>
      </c>
      <c r="U290">
        <f t="shared" si="49"/>
        <v>-2.6563472855728465E-3</v>
      </c>
      <c r="V290">
        <f t="shared" si="50"/>
        <v>-6.4266567226716198E-3</v>
      </c>
      <c r="W290">
        <f t="shared" si="51"/>
        <v>6.3962324951696292E-3</v>
      </c>
    </row>
    <row r="291" spans="1:23" x14ac:dyDescent="0.3">
      <c r="A291" t="s">
        <v>218</v>
      </c>
      <c r="B291" s="1">
        <v>15.577261999999999</v>
      </c>
      <c r="C291" s="1">
        <v>10.894959</v>
      </c>
      <c r="D291" s="1">
        <v>17.436035</v>
      </c>
      <c r="E291" s="1">
        <v>18.765765999999999</v>
      </c>
      <c r="F291" s="1">
        <v>6.690893</v>
      </c>
      <c r="G291" s="1">
        <v>6.3519310000000004</v>
      </c>
      <c r="H291" s="1">
        <v>3880.419922</v>
      </c>
      <c r="I291" s="1">
        <v>41.567120000000003</v>
      </c>
      <c r="J291" s="1">
        <v>10.184041000000001</v>
      </c>
      <c r="K291" s="1">
        <v>1.350727</v>
      </c>
      <c r="L291" s="1">
        <v>21.909369999999999</v>
      </c>
      <c r="M291">
        <f t="shared" si="46"/>
        <v>-5.1549318088398355E-2</v>
      </c>
      <c r="N291">
        <f t="shared" si="46"/>
        <v>-2.5021034389011154E-2</v>
      </c>
      <c r="O291">
        <f t="shared" si="46"/>
        <v>-6.6814156367946964E-3</v>
      </c>
      <c r="P291">
        <f t="shared" si="45"/>
        <v>-8.2155358514362509E-2</v>
      </c>
      <c r="Q291">
        <f t="shared" si="45"/>
        <v>-7.6516350311064851E-2</v>
      </c>
      <c r="R291">
        <f t="shared" si="45"/>
        <v>-5.8719806501987271E-2</v>
      </c>
      <c r="S291">
        <f t="shared" si="47"/>
        <v>-4.583996361367082E-3</v>
      </c>
      <c r="T291">
        <f t="shared" si="48"/>
        <v>-4.3359212191071417E-2</v>
      </c>
      <c r="U291">
        <f t="shared" si="49"/>
        <v>-4.1984592055446912E-2</v>
      </c>
      <c r="V291">
        <f t="shared" si="50"/>
        <v>-3.7525799970408946E-2</v>
      </c>
      <c r="W291">
        <f t="shared" si="51"/>
        <v>-4.1677577394453991E-2</v>
      </c>
    </row>
    <row r="292" spans="1:23" x14ac:dyDescent="0.3">
      <c r="A292" t="s">
        <v>217</v>
      </c>
      <c r="B292" s="1">
        <v>16.423902999999999</v>
      </c>
      <c r="C292" s="1">
        <v>11.174557999999999</v>
      </c>
      <c r="D292" s="1">
        <v>17.553315999999999</v>
      </c>
      <c r="E292" s="1">
        <v>20.445471000000001</v>
      </c>
      <c r="F292" s="1">
        <v>7.2452750000000004</v>
      </c>
      <c r="G292" s="1">
        <v>6.748183</v>
      </c>
      <c r="H292" s="1">
        <v>4049.179932</v>
      </c>
      <c r="I292" s="1">
        <v>41.758541000000001</v>
      </c>
      <c r="J292" s="1">
        <v>10.645626999999999</v>
      </c>
      <c r="K292" s="1">
        <v>1.4099219999999999</v>
      </c>
      <c r="L292" s="1">
        <v>22.763591999999999</v>
      </c>
      <c r="M292">
        <f t="shared" si="46"/>
        <v>-1.1734399524012229E-2</v>
      </c>
      <c r="N292">
        <f t="shared" si="46"/>
        <v>-4.1527803238116112E-3</v>
      </c>
      <c r="O292">
        <f t="shared" si="46"/>
        <v>1.2401274196505607E-2</v>
      </c>
      <c r="P292">
        <f t="shared" si="45"/>
        <v>-3.3304939142403955E-2</v>
      </c>
      <c r="Q292">
        <f t="shared" si="45"/>
        <v>6.2244778454445537E-4</v>
      </c>
      <c r="R292">
        <f t="shared" si="45"/>
        <v>-4.384690129777602E-3</v>
      </c>
      <c r="S292">
        <f t="shared" si="47"/>
        <v>5.5312411243897408E-3</v>
      </c>
      <c r="T292">
        <f t="shared" si="48"/>
        <v>-1.5723275964490524E-2</v>
      </c>
      <c r="U292">
        <f t="shared" si="49"/>
        <v>-1.5961842333011456E-2</v>
      </c>
      <c r="V292">
        <f t="shared" si="50"/>
        <v>-1.0204072758870364E-2</v>
      </c>
      <c r="W292">
        <f t="shared" si="51"/>
        <v>-9.8739537792419396E-3</v>
      </c>
    </row>
    <row r="293" spans="1:23" x14ac:dyDescent="0.3">
      <c r="A293" t="s">
        <v>216</v>
      </c>
      <c r="B293" s="1">
        <v>16.618915999999999</v>
      </c>
      <c r="C293" s="1">
        <v>11.221157</v>
      </c>
      <c r="D293" s="1">
        <v>17.338298999999999</v>
      </c>
      <c r="E293" s="1">
        <v>21.149865999999999</v>
      </c>
      <c r="F293" s="1">
        <v>7.2407680000000001</v>
      </c>
      <c r="G293" s="1">
        <v>6.7779020000000001</v>
      </c>
      <c r="H293" s="1">
        <v>4089.5600589999999</v>
      </c>
      <c r="I293" s="1">
        <v>41.528835000000001</v>
      </c>
      <c r="J293" s="1">
        <v>10.815685</v>
      </c>
      <c r="K293" s="1">
        <v>1.4327920000000001</v>
      </c>
      <c r="L293" s="1">
        <v>22.998267999999999</v>
      </c>
      <c r="M293">
        <f t="shared" si="46"/>
        <v>-1.4942319984674324E-2</v>
      </c>
      <c r="N293">
        <f t="shared" si="46"/>
        <v>-1.5535563181492518E-2</v>
      </c>
      <c r="O293">
        <f t="shared" si="46"/>
        <v>-3.3707652035358526E-3</v>
      </c>
      <c r="P293">
        <f t="shared" si="45"/>
        <v>-4.3300580532504518E-2</v>
      </c>
      <c r="Q293">
        <f t="shared" si="45"/>
        <v>-8.6392579931618974E-3</v>
      </c>
      <c r="R293">
        <f t="shared" si="45"/>
        <v>-1.6388727402227299E-2</v>
      </c>
      <c r="S293">
        <f t="shared" si="47"/>
        <v>2.3349080077500695E-2</v>
      </c>
      <c r="T293">
        <f t="shared" si="48"/>
        <v>-4.0268287036482331E-3</v>
      </c>
      <c r="U293">
        <f t="shared" si="49"/>
        <v>-1.5408719673725146E-2</v>
      </c>
      <c r="V293">
        <f t="shared" si="50"/>
        <v>-8.4985830808838037E-3</v>
      </c>
      <c r="W293">
        <f t="shared" si="51"/>
        <v>-9.5279236440061199E-3</v>
      </c>
    </row>
    <row r="294" spans="1:23" x14ac:dyDescent="0.3">
      <c r="A294" t="s">
        <v>215</v>
      </c>
      <c r="B294" s="1">
        <v>16.871008</v>
      </c>
      <c r="C294" s="1">
        <v>11.398235</v>
      </c>
      <c r="D294" s="1">
        <v>17.396940000000001</v>
      </c>
      <c r="E294" s="1">
        <v>22.107116999999999</v>
      </c>
      <c r="F294" s="1">
        <v>7.3038679999999996</v>
      </c>
      <c r="G294" s="1">
        <v>6.8908339999999999</v>
      </c>
      <c r="H294" s="1">
        <v>4128.8999020000001</v>
      </c>
      <c r="I294" s="1">
        <v>40.581299000000001</v>
      </c>
      <c r="J294" s="1">
        <v>10.859413999999999</v>
      </c>
      <c r="K294" s="1">
        <v>1.4552149999999999</v>
      </c>
      <c r="L294" s="1">
        <v>23.195395999999999</v>
      </c>
      <c r="M294">
        <f t="shared" si="46"/>
        <v>-2.8112894404616062E-3</v>
      </c>
      <c r="N294">
        <f t="shared" si="46"/>
        <v>3.2814142825139392E-3</v>
      </c>
      <c r="O294">
        <f t="shared" si="46"/>
        <v>-7.8039112177344938E-3</v>
      </c>
      <c r="P294">
        <f t="shared" si="45"/>
        <v>3.4657593191467662E-2</v>
      </c>
      <c r="Q294">
        <f t="shared" si="45"/>
        <v>5.5847862074889232E-3</v>
      </c>
      <c r="R294">
        <f t="shared" si="45"/>
        <v>1.9194176771959226E-2</v>
      </c>
      <c r="S294">
        <f t="shared" si="47"/>
        <v>-4.0506880820819213E-2</v>
      </c>
      <c r="T294">
        <f t="shared" si="48"/>
        <v>-3.2467630241918455E-2</v>
      </c>
      <c r="U294">
        <f t="shared" si="49"/>
        <v>-1.0670937942540482E-2</v>
      </c>
      <c r="V294">
        <f t="shared" si="50"/>
        <v>1.5618585445889011E-2</v>
      </c>
      <c r="W294">
        <f t="shared" si="51"/>
        <v>-2.1485229835752628E-3</v>
      </c>
    </row>
    <row r="295" spans="1:23" x14ac:dyDescent="0.3">
      <c r="A295" t="s">
        <v>214</v>
      </c>
      <c r="B295" s="1">
        <v>16.918571</v>
      </c>
      <c r="C295" s="1">
        <v>11.360955000000001</v>
      </c>
      <c r="D295" s="1">
        <v>17.533771999999999</v>
      </c>
      <c r="E295" s="1">
        <v>21.366602</v>
      </c>
      <c r="F295" s="1">
        <v>7.2633039999999998</v>
      </c>
      <c r="G295" s="1">
        <v>6.7610609999999998</v>
      </c>
      <c r="H295" s="1">
        <v>4137.7900390000004</v>
      </c>
      <c r="I295" s="1">
        <v>42.294517999999997</v>
      </c>
      <c r="J295" s="1">
        <v>11.223825</v>
      </c>
      <c r="K295" s="1">
        <v>1.4709110000000001</v>
      </c>
      <c r="L295" s="1">
        <v>22.838688000000001</v>
      </c>
      <c r="M295">
        <f t="shared" si="46"/>
        <v>5.3702716493904123E-3</v>
      </c>
      <c r="N295">
        <f t="shared" si="46"/>
        <v>1.2458430088804651E-2</v>
      </c>
      <c r="O295">
        <f t="shared" si="46"/>
        <v>-2.6058522457019673E-2</v>
      </c>
      <c r="P295">
        <f t="shared" si="45"/>
        <v>2.6019123389657173E-2</v>
      </c>
      <c r="Q295">
        <f t="shared" si="45"/>
        <v>3.500310074691515E-2</v>
      </c>
      <c r="R295">
        <f t="shared" si="45"/>
        <v>1.8352624271487539E-2</v>
      </c>
      <c r="S295">
        <f t="shared" si="47"/>
        <v>-1.0302448887605564E-2</v>
      </c>
      <c r="T295">
        <f t="shared" si="48"/>
        <v>2.6666767895783261E-2</v>
      </c>
      <c r="U295">
        <f t="shared" si="49"/>
        <v>2.0852751645712875E-2</v>
      </c>
      <c r="V295">
        <f t="shared" si="50"/>
        <v>1.12219317768536E-2</v>
      </c>
      <c r="W295">
        <f t="shared" si="51"/>
        <v>1.4559626982389551E-2</v>
      </c>
    </row>
    <row r="296" spans="1:23" x14ac:dyDescent="0.3">
      <c r="A296" t="s">
        <v>213</v>
      </c>
      <c r="B296" s="1">
        <v>16.828199000000001</v>
      </c>
      <c r="C296" s="1">
        <v>11.221157</v>
      </c>
      <c r="D296" s="1">
        <v>18.002901000000001</v>
      </c>
      <c r="E296" s="1">
        <v>20.824760000000001</v>
      </c>
      <c r="F296" s="1">
        <v>7.0176639999999999</v>
      </c>
      <c r="G296" s="1">
        <v>6.6392139999999999</v>
      </c>
      <c r="H296" s="1">
        <v>4078.4099120000001</v>
      </c>
      <c r="I296" s="1">
        <v>42.734791000000001</v>
      </c>
      <c r="J296" s="1">
        <v>10.932295999999999</v>
      </c>
      <c r="K296" s="1">
        <v>1.4408650000000001</v>
      </c>
      <c r="L296" s="1">
        <v>22.585238</v>
      </c>
      <c r="M296">
        <f t="shared" si="46"/>
        <v>-1.9129431125695207E-2</v>
      </c>
      <c r="N296">
        <f t="shared" si="46"/>
        <v>5.0084024190439891E-3</v>
      </c>
      <c r="O296">
        <f t="shared" si="46"/>
        <v>1.9933599425122184E-2</v>
      </c>
      <c r="P296">
        <f t="shared" si="45"/>
        <v>-8.6653337376929596E-4</v>
      </c>
      <c r="Q296">
        <f t="shared" si="45"/>
        <v>1.2864107314278783E-3</v>
      </c>
      <c r="R296">
        <f t="shared" si="45"/>
        <v>1.4944246811920969E-3</v>
      </c>
      <c r="S296">
        <f t="shared" si="47"/>
        <v>-1.2823265579052112E-2</v>
      </c>
      <c r="T296">
        <f t="shared" si="48"/>
        <v>-3.9319568735718402E-3</v>
      </c>
      <c r="U296">
        <f t="shared" si="49"/>
        <v>-1.8634551506523378E-3</v>
      </c>
      <c r="V296">
        <f t="shared" si="50"/>
        <v>-1.2720623032510869E-2</v>
      </c>
      <c r="W296">
        <f t="shared" si="51"/>
        <v>4.3903894614483185E-4</v>
      </c>
    </row>
    <row r="297" spans="1:23" x14ac:dyDescent="0.3">
      <c r="A297" t="s">
        <v>212</v>
      </c>
      <c r="B297" s="1">
        <v>17.156390999999999</v>
      </c>
      <c r="C297" s="1">
        <v>11.165236999999999</v>
      </c>
      <c r="D297" s="1">
        <v>17.651052</v>
      </c>
      <c r="E297" s="1">
        <v>20.842821000000001</v>
      </c>
      <c r="F297" s="1">
        <v>7.008648</v>
      </c>
      <c r="G297" s="1">
        <v>6.6293069999999998</v>
      </c>
      <c r="H297" s="1">
        <v>4076.6201169999999</v>
      </c>
      <c r="I297" s="1">
        <v>43.289909000000002</v>
      </c>
      <c r="J297" s="1">
        <v>10.975451</v>
      </c>
      <c r="K297" s="1">
        <v>1.4435549999999999</v>
      </c>
      <c r="L297" s="1">
        <v>22.876238000000001</v>
      </c>
      <c r="M297">
        <f t="shared" si="46"/>
        <v>2.7342582319666908E-2</v>
      </c>
      <c r="N297">
        <f t="shared" si="46"/>
        <v>1.0970311696402169E-2</v>
      </c>
      <c r="O297">
        <f t="shared" si="46"/>
        <v>-1.8478365132646224E-2</v>
      </c>
      <c r="P297">
        <f t="shared" si="45"/>
        <v>3.4977556341537763E-2</v>
      </c>
      <c r="Q297">
        <f t="shared" si="45"/>
        <v>3.7012201374239551E-2</v>
      </c>
      <c r="R297">
        <f t="shared" si="45"/>
        <v>4.2692415735197109E-2</v>
      </c>
      <c r="S297">
        <f t="shared" si="47"/>
        <v>-7.678826152873075E-3</v>
      </c>
      <c r="T297">
        <f t="shared" si="48"/>
        <v>2.0508258245762967E-2</v>
      </c>
      <c r="U297">
        <f t="shared" si="49"/>
        <v>3.1730489529781636E-2</v>
      </c>
      <c r="V297">
        <f t="shared" si="50"/>
        <v>2.3089900607555114E-2</v>
      </c>
      <c r="W297">
        <f t="shared" si="51"/>
        <v>1.0567732469757507E-2</v>
      </c>
    </row>
    <row r="298" spans="1:23" x14ac:dyDescent="0.3">
      <c r="A298" t="s">
        <v>211</v>
      </c>
      <c r="B298" s="1">
        <v>16.699776</v>
      </c>
      <c r="C298" s="1">
        <v>11.044079999999999</v>
      </c>
      <c r="D298" s="1">
        <v>17.983355</v>
      </c>
      <c r="E298" s="1">
        <v>20.138428000000001</v>
      </c>
      <c r="F298" s="1">
        <v>6.7585009999999999</v>
      </c>
      <c r="G298" s="1">
        <v>6.3578739999999998</v>
      </c>
      <c r="H298" s="1">
        <v>4033.98999</v>
      </c>
      <c r="I298" s="1">
        <v>43.624896999999997</v>
      </c>
      <c r="J298" s="1">
        <v>10.754887</v>
      </c>
      <c r="K298" s="1">
        <v>1.399159</v>
      </c>
      <c r="L298" s="1">
        <v>22.359949</v>
      </c>
      <c r="M298">
        <f t="shared" si="46"/>
        <v>1.9158172601694723E-2</v>
      </c>
      <c r="N298">
        <f t="shared" si="46"/>
        <v>3.4934599710269021E-2</v>
      </c>
      <c r="O298">
        <f t="shared" si="46"/>
        <v>-2.1691835554648042E-3</v>
      </c>
      <c r="P298">
        <f t="shared" si="45"/>
        <v>1.7335815880376693E-2</v>
      </c>
      <c r="Q298">
        <f t="shared" si="45"/>
        <v>8.4060934367147233E-3</v>
      </c>
      <c r="R298">
        <f t="shared" si="45"/>
        <v>3.2164627513982857E-2</v>
      </c>
      <c r="S298">
        <f t="shared" si="47"/>
        <v>-2.6900048223490125E-2</v>
      </c>
      <c r="T298">
        <f t="shared" si="48"/>
        <v>7.1845650691610974E-3</v>
      </c>
      <c r="U298">
        <f t="shared" si="49"/>
        <v>-5.1019174676854018E-3</v>
      </c>
      <c r="V298">
        <f t="shared" si="50"/>
        <v>1.1035687696874907E-2</v>
      </c>
      <c r="W298">
        <f t="shared" si="51"/>
        <v>8.6967249379683587E-3</v>
      </c>
    </row>
    <row r="299" spans="1:23" x14ac:dyDescent="0.3">
      <c r="A299" t="s">
        <v>210</v>
      </c>
      <c r="B299" s="1">
        <v>16.385853000000001</v>
      </c>
      <c r="C299" s="1">
        <v>10.671283000000001</v>
      </c>
      <c r="D299" s="1">
        <v>18.022449000000002</v>
      </c>
      <c r="E299" s="1">
        <v>19.795261</v>
      </c>
      <c r="F299" s="1">
        <v>6.7021620000000004</v>
      </c>
      <c r="G299" s="1">
        <v>6.1597479999999996</v>
      </c>
      <c r="H299" s="1">
        <v>3999.209961</v>
      </c>
      <c r="I299" s="1">
        <v>44.830849000000001</v>
      </c>
      <c r="J299" s="1">
        <v>10.678169</v>
      </c>
      <c r="K299" s="1">
        <v>1.406334</v>
      </c>
      <c r="L299" s="1">
        <v>22.115884999999999</v>
      </c>
      <c r="M299">
        <f t="shared" si="46"/>
        <v>2.9039570978661722E-4</v>
      </c>
      <c r="N299">
        <f t="shared" si="46"/>
        <v>-4.3477806529311769E-3</v>
      </c>
      <c r="O299">
        <f t="shared" si="46"/>
        <v>6.550288701612228E-3</v>
      </c>
      <c r="P299">
        <f t="shared" si="45"/>
        <v>1.8587235302023775E-2</v>
      </c>
      <c r="Q299">
        <f t="shared" si="45"/>
        <v>1.9540724890841688E-2</v>
      </c>
      <c r="R299">
        <f t="shared" si="45"/>
        <v>2.2529266532658854E-2</v>
      </c>
      <c r="S299">
        <f t="shared" si="47"/>
        <v>-2.6195454402090923E-2</v>
      </c>
      <c r="T299">
        <f t="shared" si="48"/>
        <v>9.97741254086848E-3</v>
      </c>
      <c r="U299">
        <f t="shared" si="49"/>
        <v>1.7191222697505948E-2</v>
      </c>
      <c r="V299">
        <f t="shared" si="50"/>
        <v>7.6988942137570238E-3</v>
      </c>
      <c r="W299">
        <f t="shared" si="51"/>
        <v>1.041436969374443E-2</v>
      </c>
    </row>
    <row r="300" spans="1:23" x14ac:dyDescent="0.3">
      <c r="A300" t="s">
        <v>209</v>
      </c>
      <c r="B300" s="1">
        <v>16.381095999999999</v>
      </c>
      <c r="C300" s="1">
        <v>10.717881999999999</v>
      </c>
      <c r="D300" s="1">
        <v>17.905165</v>
      </c>
      <c r="E300" s="1">
        <v>19.434035999999999</v>
      </c>
      <c r="F300" s="1">
        <v>6.5737069999999997</v>
      </c>
      <c r="G300" s="1">
        <v>6.0240309999999999</v>
      </c>
      <c r="H300" s="1">
        <v>3957.98999</v>
      </c>
      <c r="I300" s="1">
        <v>46.036803999999997</v>
      </c>
      <c r="J300" s="1">
        <v>10.572680999999999</v>
      </c>
      <c r="K300" s="1">
        <v>1.382566</v>
      </c>
      <c r="L300" s="1">
        <v>21.946918</v>
      </c>
      <c r="M300">
        <f t="shared" si="46"/>
        <v>3.4965656127063927E-3</v>
      </c>
      <c r="N300">
        <f t="shared" si="46"/>
        <v>-2.1276646260391829E-2</v>
      </c>
      <c r="O300">
        <f t="shared" si="46"/>
        <v>3.7372529064268578E-2</v>
      </c>
      <c r="P300">
        <f t="shared" si="45"/>
        <v>-2.9756572895281219E-2</v>
      </c>
      <c r="Q300">
        <f t="shared" si="45"/>
        <v>-1.1856447337823539E-2</v>
      </c>
      <c r="R300">
        <f t="shared" si="45"/>
        <v>-2.1088256954560181E-2</v>
      </c>
      <c r="S300">
        <f t="shared" si="47"/>
        <v>2.5586300601990075E-2</v>
      </c>
      <c r="T300">
        <f t="shared" si="48"/>
        <v>9.1531896473966423E-3</v>
      </c>
      <c r="U300">
        <f t="shared" si="49"/>
        <v>-1.1859266888180731E-2</v>
      </c>
      <c r="V300">
        <f t="shared" si="50"/>
        <v>-9.7416750331558166E-3</v>
      </c>
      <c r="W300">
        <f t="shared" si="51"/>
        <v>-1.0054537576557832E-2</v>
      </c>
    </row>
    <row r="301" spans="1:23" x14ac:dyDescent="0.3">
      <c r="A301" t="s">
        <v>208</v>
      </c>
      <c r="B301" s="1">
        <v>16.324017999999999</v>
      </c>
      <c r="C301" s="1">
        <v>10.95088</v>
      </c>
      <c r="D301" s="1">
        <v>17.260110999999998</v>
      </c>
      <c r="E301" s="1">
        <v>20.030062000000001</v>
      </c>
      <c r="F301" s="1">
        <v>6.6525829999999999</v>
      </c>
      <c r="G301" s="1">
        <v>6.1538040000000001</v>
      </c>
      <c r="H301" s="1">
        <v>3998.1899410000001</v>
      </c>
      <c r="I301" s="1">
        <v>44.888278999999997</v>
      </c>
      <c r="J301" s="1">
        <v>10.476785</v>
      </c>
      <c r="K301" s="1">
        <v>1.399159</v>
      </c>
      <c r="L301" s="1">
        <v>22.162821000000001</v>
      </c>
      <c r="M301">
        <f t="shared" si="46"/>
        <v>1.5384577106536401E-2</v>
      </c>
      <c r="N301">
        <f t="shared" si="46"/>
        <v>4.2735513027911676E-3</v>
      </c>
      <c r="O301">
        <f t="shared" si="46"/>
        <v>9.142916344636598E-3</v>
      </c>
      <c r="P301">
        <f t="shared" si="45"/>
        <v>2.8757034226430056E-2</v>
      </c>
      <c r="Q301">
        <f t="shared" si="45"/>
        <v>1.1305348229777801E-2</v>
      </c>
      <c r="R301">
        <f t="shared" si="45"/>
        <v>1.2385917878640296E-2</v>
      </c>
      <c r="S301">
        <f t="shared" si="47"/>
        <v>2.1341578705588171E-2</v>
      </c>
      <c r="T301">
        <f t="shared" si="48"/>
        <v>-1.8272737978142217E-3</v>
      </c>
      <c r="U301">
        <f t="shared" si="49"/>
        <v>2.6315885989922849E-2</v>
      </c>
      <c r="V301">
        <f t="shared" si="50"/>
        <v>1.9870446922500173E-2</v>
      </c>
      <c r="W301">
        <f t="shared" si="51"/>
        <v>1.1219466220065533E-2</v>
      </c>
    </row>
    <row r="302" spans="1:23" x14ac:dyDescent="0.3">
      <c r="A302" t="s">
        <v>207</v>
      </c>
      <c r="B302" s="1">
        <v>16.076685000000001</v>
      </c>
      <c r="C302" s="1">
        <v>10.90428</v>
      </c>
      <c r="D302" s="1">
        <v>17.103732999999998</v>
      </c>
      <c r="E302" s="1">
        <v>19.470158000000001</v>
      </c>
      <c r="F302" s="1">
        <v>6.578214</v>
      </c>
      <c r="G302" s="1">
        <v>6.0785159999999996</v>
      </c>
      <c r="H302" s="1">
        <v>3953.830078</v>
      </c>
      <c r="I302" s="1">
        <v>43.950310000000002</v>
      </c>
      <c r="J302" s="1">
        <v>10.495964000000001</v>
      </c>
      <c r="K302" s="1">
        <v>1.363283</v>
      </c>
      <c r="L302" s="1">
        <v>21.731016</v>
      </c>
      <c r="M302">
        <f t="shared" si="46"/>
        <v>2.331213999657944E-2</v>
      </c>
      <c r="N302">
        <f t="shared" si="46"/>
        <v>4.4642869973372079E-2</v>
      </c>
      <c r="O302">
        <f t="shared" si="46"/>
        <v>5.7471490792335711E-3</v>
      </c>
      <c r="P302">
        <f t="shared" si="45"/>
        <v>5.6862887293408715E-2</v>
      </c>
      <c r="Q302">
        <f t="shared" si="45"/>
        <v>1.1434465084197765E-2</v>
      </c>
      <c r="R302">
        <f t="shared" si="45"/>
        <v>4.3537466819252524E-2</v>
      </c>
      <c r="S302">
        <f t="shared" si="47"/>
        <v>-2.711867100610732E-2</v>
      </c>
      <c r="T302">
        <f t="shared" si="48"/>
        <v>4.1285553003025388E-3</v>
      </c>
      <c r="U302">
        <f t="shared" si="49"/>
        <v>5.290876537856759E-3</v>
      </c>
      <c r="V302">
        <f t="shared" si="50"/>
        <v>1.1800591202877353E-2</v>
      </c>
      <c r="W302">
        <f t="shared" si="51"/>
        <v>1.8994259785710454E-2</v>
      </c>
    </row>
    <row r="303" spans="1:23" x14ac:dyDescent="0.3">
      <c r="A303" t="s">
        <v>206</v>
      </c>
      <c r="B303" s="1">
        <v>15.710440999999999</v>
      </c>
      <c r="C303" s="1">
        <v>10.438285</v>
      </c>
      <c r="D303" s="1">
        <v>17.005997000000001</v>
      </c>
      <c r="E303" s="1">
        <v>18.422595999999999</v>
      </c>
      <c r="F303" s="1">
        <v>6.5038460000000002</v>
      </c>
      <c r="G303" s="1">
        <v>5.8249139999999997</v>
      </c>
      <c r="H303" s="1">
        <v>3880.1298830000001</v>
      </c>
      <c r="I303" s="1">
        <v>45.175407</v>
      </c>
      <c r="J303" s="1">
        <v>10.452809</v>
      </c>
      <c r="K303" s="1">
        <v>1.3561080000000001</v>
      </c>
      <c r="L303" s="1">
        <v>21.477568000000002</v>
      </c>
      <c r="M303">
        <f t="shared" si="46"/>
        <v>3.2187444708729362E-2</v>
      </c>
      <c r="N303">
        <f t="shared" si="46"/>
        <v>7.1942272499292415E-3</v>
      </c>
      <c r="O303">
        <f t="shared" si="46"/>
        <v>-1.0238901692074975E-2</v>
      </c>
      <c r="P303">
        <f t="shared" si="45"/>
        <v>2.7190277748350367E-2</v>
      </c>
      <c r="Q303">
        <f t="shared" si="45"/>
        <v>3.7383040427314995E-2</v>
      </c>
      <c r="R303">
        <f t="shared" si="45"/>
        <v>5.2254748764824166E-2</v>
      </c>
      <c r="S303">
        <f t="shared" si="47"/>
        <v>3.3727495549005004E-2</v>
      </c>
      <c r="T303">
        <f t="shared" si="48"/>
        <v>2.299375348776489E-2</v>
      </c>
      <c r="U303">
        <f t="shared" si="49"/>
        <v>1.5446892088905928E-2</v>
      </c>
      <c r="V303">
        <f t="shared" si="50"/>
        <v>1.553485619972661E-2</v>
      </c>
      <c r="W303">
        <f t="shared" si="51"/>
        <v>2.449186721509955E-2</v>
      </c>
    </row>
    <row r="304" spans="1:23" x14ac:dyDescent="0.3">
      <c r="A304" t="s">
        <v>205</v>
      </c>
      <c r="B304" s="1">
        <v>15.220530999999999</v>
      </c>
      <c r="C304" s="1">
        <v>10.363726</v>
      </c>
      <c r="D304" s="1">
        <v>17.181920999999999</v>
      </c>
      <c r="E304" s="1">
        <v>17.934940000000001</v>
      </c>
      <c r="F304" s="1">
        <v>6.2694739999999998</v>
      </c>
      <c r="G304" s="1">
        <v>5.5356500000000004</v>
      </c>
      <c r="H304" s="1">
        <v>3787.3701169999999</v>
      </c>
      <c r="I304" s="1">
        <v>43.701466000000003</v>
      </c>
      <c r="J304" s="1">
        <v>10.217862</v>
      </c>
      <c r="K304" s="1">
        <v>1.3354790000000001</v>
      </c>
      <c r="L304" s="1">
        <v>21.149021000000001</v>
      </c>
      <c r="M304">
        <f t="shared" si="46"/>
        <v>1.3620533557360925E-2</v>
      </c>
      <c r="N304">
        <f t="shared" si="46"/>
        <v>-1.1555586923461814E-2</v>
      </c>
      <c r="O304">
        <f t="shared" si="46"/>
        <v>1.2672730393240794E-2</v>
      </c>
      <c r="P304">
        <f t="shared" si="45"/>
        <v>9.1463229364563414E-3</v>
      </c>
      <c r="Q304">
        <f t="shared" si="45"/>
        <v>2.6189841734173935E-2</v>
      </c>
      <c r="R304">
        <f t="shared" si="45"/>
        <v>1.305303272646352E-2</v>
      </c>
      <c r="S304">
        <f t="shared" si="47"/>
        <v>1.8741677107253052E-2</v>
      </c>
      <c r="T304">
        <f t="shared" si="48"/>
        <v>4.2414984767127351E-3</v>
      </c>
      <c r="U304">
        <f t="shared" si="49"/>
        <v>1.7076181765148135E-2</v>
      </c>
      <c r="V304">
        <f t="shared" si="50"/>
        <v>1.3039548164404779E-2</v>
      </c>
      <c r="W304">
        <f t="shared" si="51"/>
        <v>9.2198820646089974E-3</v>
      </c>
    </row>
    <row r="305" spans="1:23" x14ac:dyDescent="0.3">
      <c r="A305" t="s">
        <v>204</v>
      </c>
      <c r="B305" s="1">
        <v>15.016005</v>
      </c>
      <c r="C305" s="1">
        <v>10.484885</v>
      </c>
      <c r="D305" s="1">
        <v>16.966904</v>
      </c>
      <c r="E305" s="1">
        <v>17.772387999999999</v>
      </c>
      <c r="F305" s="1">
        <v>6.1094679999999997</v>
      </c>
      <c r="G305" s="1">
        <v>5.4643240000000004</v>
      </c>
      <c r="H305" s="1">
        <v>3752.7700199999999</v>
      </c>
      <c r="I305" s="1">
        <v>42.897494999999999</v>
      </c>
      <c r="J305" s="1">
        <v>10.174706</v>
      </c>
      <c r="K305" s="1">
        <v>1.3130569999999999</v>
      </c>
      <c r="L305" s="1">
        <v>20.876797</v>
      </c>
      <c r="M305">
        <f t="shared" si="46"/>
        <v>5.7344122604181536E-3</v>
      </c>
      <c r="N305">
        <f t="shared" si="46"/>
        <v>1.078169324613043E-2</v>
      </c>
      <c r="O305">
        <f t="shared" si="46"/>
        <v>1.7585002294332241E-2</v>
      </c>
      <c r="P305">
        <f t="shared" si="45"/>
        <v>-4.552342869228343E-3</v>
      </c>
      <c r="Q305">
        <f t="shared" si="45"/>
        <v>-1.2026351923571044E-2</v>
      </c>
      <c r="R305">
        <f t="shared" si="45"/>
        <v>-1.9203552196762175E-2</v>
      </c>
      <c r="S305">
        <f t="shared" si="47"/>
        <v>9.2321668555344072E-3</v>
      </c>
      <c r="T305">
        <f t="shared" si="48"/>
        <v>-2.4816291166161797E-2</v>
      </c>
      <c r="U305">
        <f t="shared" si="49"/>
        <v>-1.7779440091260978E-2</v>
      </c>
      <c r="V305">
        <f t="shared" si="50"/>
        <v>2.2533035626113307E-3</v>
      </c>
      <c r="W305">
        <f t="shared" si="51"/>
        <v>-3.3383619291283972E-3</v>
      </c>
    </row>
    <row r="306" spans="1:23" x14ac:dyDescent="0.3">
      <c r="A306" t="s">
        <v>203</v>
      </c>
      <c r="B306" s="1">
        <v>14.930388000000001</v>
      </c>
      <c r="C306" s="1">
        <v>10.373046</v>
      </c>
      <c r="D306" s="1">
        <v>16.673697000000001</v>
      </c>
      <c r="E306" s="1">
        <v>17.853663999999998</v>
      </c>
      <c r="F306" s="1">
        <v>6.1838369999999996</v>
      </c>
      <c r="G306" s="1">
        <v>5.571313</v>
      </c>
      <c r="H306" s="1">
        <v>3765.3400879999999</v>
      </c>
      <c r="I306" s="1">
        <v>42.505080999999997</v>
      </c>
      <c r="J306" s="1">
        <v>10.433630000000001</v>
      </c>
      <c r="K306" s="1">
        <v>1.3368249999999999</v>
      </c>
      <c r="L306" s="1">
        <v>20.829861000000001</v>
      </c>
      <c r="M306">
        <f t="shared" si="46"/>
        <v>9.0002101747559404E-3</v>
      </c>
      <c r="N306">
        <f t="shared" si="46"/>
        <v>1.800296588746475E-3</v>
      </c>
      <c r="O306">
        <f t="shared" si="46"/>
        <v>1.1737014497887888E-3</v>
      </c>
      <c r="P306">
        <f t="shared" si="45"/>
        <v>-1.4456692052769116E-2</v>
      </c>
      <c r="Q306">
        <f t="shared" si="45"/>
        <v>3.1191359242421113E-2</v>
      </c>
      <c r="R306">
        <f t="shared" si="45"/>
        <v>1.7734363054829227E-2</v>
      </c>
      <c r="S306">
        <f t="shared" si="47"/>
        <v>2.0306966173435637E-3</v>
      </c>
      <c r="T306">
        <f t="shared" si="48"/>
        <v>2.5447811465019177E-2</v>
      </c>
      <c r="U306">
        <f t="shared" si="49"/>
        <v>-1.3394411251007599E-3</v>
      </c>
      <c r="V306">
        <f t="shared" si="50"/>
        <v>2.399633187613226E-2</v>
      </c>
      <c r="W306">
        <f t="shared" si="51"/>
        <v>1.5767987905541903E-2</v>
      </c>
    </row>
    <row r="307" spans="1:23" x14ac:dyDescent="0.3">
      <c r="A307" t="s">
        <v>202</v>
      </c>
      <c r="B307" s="1">
        <v>14.79721</v>
      </c>
      <c r="C307" s="1">
        <v>10.354405</v>
      </c>
      <c r="D307" s="1">
        <v>16.654150000000001</v>
      </c>
      <c r="E307" s="1">
        <v>18.115555000000001</v>
      </c>
      <c r="F307" s="1">
        <v>5.9967889999999997</v>
      </c>
      <c r="G307" s="1">
        <v>5.4742309999999996</v>
      </c>
      <c r="H307" s="1">
        <v>3706.889893</v>
      </c>
      <c r="I307" s="1">
        <v>42.418940999999997</v>
      </c>
      <c r="J307" s="1">
        <v>10.174706</v>
      </c>
      <c r="K307" s="1">
        <v>1.3386180000000001</v>
      </c>
      <c r="L307" s="1">
        <v>20.341733999999999</v>
      </c>
      <c r="M307">
        <f t="shared" si="46"/>
        <v>-1.8921413650728858E-2</v>
      </c>
      <c r="N307">
        <f t="shared" si="46"/>
        <v>1.6468421846756787E-2</v>
      </c>
      <c r="O307">
        <f t="shared" si="46"/>
        <v>1.7921155278152412E-2</v>
      </c>
      <c r="P307">
        <f t="shared" si="45"/>
        <v>7.0281910336489339E-3</v>
      </c>
      <c r="Q307">
        <f t="shared" si="45"/>
        <v>1.9540260761229167E-2</v>
      </c>
      <c r="R307">
        <f t="shared" si="45"/>
        <v>-9.039667220521741E-4</v>
      </c>
      <c r="S307">
        <f t="shared" si="47"/>
        <v>-6.7645668529869862E-4</v>
      </c>
      <c r="T307">
        <f t="shared" si="48"/>
        <v>8.5548740578413884E-3</v>
      </c>
      <c r="U307">
        <f t="shared" si="49"/>
        <v>-1.8737996452080963E-2</v>
      </c>
      <c r="V307">
        <f t="shared" si="50"/>
        <v>1.0256356771865427E-2</v>
      </c>
      <c r="W307">
        <f t="shared" si="51"/>
        <v>3.5002902404226433E-3</v>
      </c>
    </row>
    <row r="308" spans="1:23" x14ac:dyDescent="0.3">
      <c r="A308" t="s">
        <v>201</v>
      </c>
      <c r="B308" s="1">
        <v>15.082594</v>
      </c>
      <c r="C308" s="1">
        <v>10.186647000000001</v>
      </c>
      <c r="D308" s="1">
        <v>16.360942999999999</v>
      </c>
      <c r="E308" s="1">
        <v>17.989124</v>
      </c>
      <c r="F308" s="1">
        <v>5.881856</v>
      </c>
      <c r="G308" s="1">
        <v>5.4791840000000001</v>
      </c>
      <c r="H308" s="1">
        <v>3693.959961</v>
      </c>
      <c r="I308" s="1">
        <v>42.447654999999997</v>
      </c>
      <c r="J308" s="1">
        <v>10.088400999999999</v>
      </c>
      <c r="K308" s="1">
        <v>1.3641799999999999</v>
      </c>
      <c r="L308" s="1">
        <v>20.13522</v>
      </c>
      <c r="M308">
        <f t="shared" si="46"/>
        <v>6.2667506039006948E-2</v>
      </c>
      <c r="N308">
        <f t="shared" si="46"/>
        <v>4.8944259248447253E-2</v>
      </c>
      <c r="O308">
        <f t="shared" si="46"/>
        <v>1.0869557829990661E-2</v>
      </c>
      <c r="P308">
        <f t="shared" si="45"/>
        <v>7.0967653594450342E-2</v>
      </c>
      <c r="Q308">
        <f t="shared" si="45"/>
        <v>6.2703575411161783E-2</v>
      </c>
      <c r="R308">
        <f t="shared" si="45"/>
        <v>6.4472749130518814E-2</v>
      </c>
      <c r="S308">
        <f t="shared" si="47"/>
        <v>-2.5917018415338999E-2</v>
      </c>
      <c r="T308">
        <f t="shared" si="48"/>
        <v>7.062898969348308E-2</v>
      </c>
      <c r="U308">
        <f t="shared" si="49"/>
        <v>4.142396699640738E-2</v>
      </c>
      <c r="V308">
        <f t="shared" si="50"/>
        <v>5.9259377723084983E-2</v>
      </c>
      <c r="W308">
        <f t="shared" si="51"/>
        <v>5.1840902098695407E-2</v>
      </c>
    </row>
    <row r="309" spans="1:23" x14ac:dyDescent="0.3">
      <c r="A309" t="s">
        <v>200</v>
      </c>
      <c r="B309" s="1">
        <v>14.193144999999999</v>
      </c>
      <c r="C309" s="1">
        <v>9.7113329999999998</v>
      </c>
      <c r="D309" s="1">
        <v>16.185019</v>
      </c>
      <c r="E309" s="1">
        <v>16.797075</v>
      </c>
      <c r="F309" s="1">
        <v>5.5348040000000003</v>
      </c>
      <c r="G309" s="1">
        <v>5.147322</v>
      </c>
      <c r="H309" s="1">
        <v>3511.8999020000001</v>
      </c>
      <c r="I309" s="1">
        <v>43.577041999999999</v>
      </c>
      <c r="J309" s="1">
        <v>9.4228729999999992</v>
      </c>
      <c r="K309" s="1">
        <v>1.3099179999999999</v>
      </c>
      <c r="L309" s="1">
        <v>19.008772</v>
      </c>
      <c r="M309">
        <f t="shared" si="46"/>
        <v>-2.1960022257710543E-2</v>
      </c>
      <c r="N309">
        <f t="shared" si="46"/>
        <v>-3.8240315646986822E-3</v>
      </c>
      <c r="O309">
        <f t="shared" si="46"/>
        <v>-6.0024240369643822E-3</v>
      </c>
      <c r="P309">
        <f t="shared" si="45"/>
        <v>2.7056963283045743E-2</v>
      </c>
      <c r="Q309">
        <f t="shared" si="45"/>
        <v>3.5413131374166351E-2</v>
      </c>
      <c r="R309">
        <f t="shared" si="45"/>
        <v>-2.6871704612364544E-3</v>
      </c>
      <c r="S309">
        <f t="shared" si="47"/>
        <v>8.1931083218085288E-3</v>
      </c>
      <c r="T309">
        <f t="shared" si="48"/>
        <v>-4.0692886563076236E-4</v>
      </c>
      <c r="U309">
        <f t="shared" si="49"/>
        <v>-4.0910849928419424E-3</v>
      </c>
      <c r="V309">
        <f t="shared" si="50"/>
        <v>1.3006490002056559E-2</v>
      </c>
      <c r="W309">
        <f t="shared" si="51"/>
        <v>-6.4311529827731917E-4</v>
      </c>
    </row>
    <row r="310" spans="1:23" x14ac:dyDescent="0.3">
      <c r="A310" t="s">
        <v>199</v>
      </c>
      <c r="B310" s="1">
        <v>14.511825</v>
      </c>
      <c r="C310" s="1">
        <v>9.7486119999999996</v>
      </c>
      <c r="D310" s="1">
        <v>16.282755000000002</v>
      </c>
      <c r="E310" s="1">
        <v>16.354569999999999</v>
      </c>
      <c r="F310" s="1">
        <v>5.3455029999999999</v>
      </c>
      <c r="G310" s="1">
        <v>5.1611909999999996</v>
      </c>
      <c r="H310" s="1">
        <v>3514.1599120000001</v>
      </c>
      <c r="I310" s="1">
        <v>43.222912000000001</v>
      </c>
      <c r="J310" s="1">
        <v>9.4267090000000007</v>
      </c>
      <c r="K310" s="1">
        <v>1.315299</v>
      </c>
      <c r="L310" s="1">
        <v>18.764709</v>
      </c>
      <c r="M310">
        <f t="shared" si="46"/>
        <v>-1.6440991644392056E-2</v>
      </c>
      <c r="N310">
        <f t="shared" si="46"/>
        <v>-1.5065978252995604E-2</v>
      </c>
      <c r="O310">
        <f t="shared" si="46"/>
        <v>-2.5730950623387705E-2</v>
      </c>
      <c r="P310">
        <f t="shared" si="45"/>
        <v>-3.361797887718776E-2</v>
      </c>
      <c r="Q310">
        <f t="shared" si="45"/>
        <v>-3.6164153656858322E-2</v>
      </c>
      <c r="R310">
        <f t="shared" si="45"/>
        <v>-2.1963599290897862E-2</v>
      </c>
      <c r="S310">
        <f t="shared" si="47"/>
        <v>-5.0063093362880617E-2</v>
      </c>
      <c r="T310">
        <f t="shared" si="48"/>
        <v>-3.4855122439067077E-2</v>
      </c>
      <c r="U310">
        <f t="shared" si="49"/>
        <v>-2.2333304840022494E-2</v>
      </c>
      <c r="V310">
        <f t="shared" si="50"/>
        <v>-2.8668668956763121E-2</v>
      </c>
      <c r="W310">
        <f t="shared" si="51"/>
        <v>-2.5228132373378287E-2</v>
      </c>
    </row>
    <row r="311" spans="1:23" x14ac:dyDescent="0.3">
      <c r="A311" t="s">
        <v>198</v>
      </c>
      <c r="B311" s="1">
        <v>14.754402000000001</v>
      </c>
      <c r="C311" s="1">
        <v>9.8977310000000003</v>
      </c>
      <c r="D311" s="1">
        <v>16.712790999999999</v>
      </c>
      <c r="E311" s="1">
        <v>16.923504000000001</v>
      </c>
      <c r="F311" s="1">
        <v>5.5460719999999997</v>
      </c>
      <c r="G311" s="1">
        <v>5.2770950000000001</v>
      </c>
      <c r="H311" s="1">
        <v>3605.110107</v>
      </c>
      <c r="I311" s="1">
        <v>45.500824000000001</v>
      </c>
      <c r="J311" s="1">
        <v>9.767144</v>
      </c>
      <c r="K311" s="1">
        <v>1.345345</v>
      </c>
      <c r="L311" s="1">
        <v>19.318546000000001</v>
      </c>
      <c r="M311">
        <f t="shared" si="46"/>
        <v>-3.6047219202012037E-2</v>
      </c>
      <c r="N311">
        <f t="shared" si="46"/>
        <v>-4.6678666500487354E-2</v>
      </c>
      <c r="O311">
        <f t="shared" si="46"/>
        <v>-4.6565480190285946E-3</v>
      </c>
      <c r="P311">
        <f t="shared" si="45"/>
        <v>-4.7280083376131987E-2</v>
      </c>
      <c r="Q311">
        <f t="shared" si="45"/>
        <v>-2.9574157261887946E-2</v>
      </c>
      <c r="R311">
        <f t="shared" si="45"/>
        <v>-4.7899860426111607E-2</v>
      </c>
      <c r="S311">
        <f t="shared" si="47"/>
        <v>-6.0632321508735654E-3</v>
      </c>
      <c r="T311">
        <f t="shared" si="48"/>
        <v>-2.3489983546443716E-2</v>
      </c>
      <c r="U311">
        <f t="shared" si="49"/>
        <v>-3.1633355958750164E-2</v>
      </c>
      <c r="V311">
        <f t="shared" si="50"/>
        <v>-3.1984933505337598E-2</v>
      </c>
      <c r="W311">
        <f t="shared" si="51"/>
        <v>-2.5400968154896786E-2</v>
      </c>
    </row>
    <row r="312" spans="1:23" x14ac:dyDescent="0.3">
      <c r="A312" t="s">
        <v>197</v>
      </c>
      <c r="B312" s="1">
        <v>15.306146</v>
      </c>
      <c r="C312" s="1">
        <v>10.382365999999999</v>
      </c>
      <c r="D312" s="1">
        <v>16.790979</v>
      </c>
      <c r="E312" s="1">
        <v>17.763356999999999</v>
      </c>
      <c r="F312" s="1">
        <v>5.7150910000000001</v>
      </c>
      <c r="G312" s="1">
        <v>5.5425839999999997</v>
      </c>
      <c r="H312" s="1">
        <v>3699.070068</v>
      </c>
      <c r="I312" s="1">
        <v>45.778388999999997</v>
      </c>
      <c r="J312" s="1">
        <v>10.002093</v>
      </c>
      <c r="K312" s="1">
        <v>1.3892929999999999</v>
      </c>
      <c r="L312" s="1">
        <v>19.956865000000001</v>
      </c>
      <c r="M312">
        <f t="shared" si="46"/>
        <v>4.4127222407277511E-2</v>
      </c>
      <c r="N312">
        <f t="shared" si="46"/>
        <v>8.9848247081891763E-4</v>
      </c>
      <c r="O312">
        <f t="shared" si="46"/>
        <v>-1.1507466245154307E-2</v>
      </c>
      <c r="P312">
        <f t="shared" si="45"/>
        <v>-9.5669681638188564E-3</v>
      </c>
      <c r="Q312">
        <f t="shared" si="45"/>
        <v>-1.6291773369626394E-2</v>
      </c>
      <c r="R312">
        <f t="shared" si="45"/>
        <v>1.1571066056551338E-2</v>
      </c>
      <c r="S312">
        <f t="shared" si="47"/>
        <v>4.8320337150788983E-3</v>
      </c>
      <c r="T312">
        <f t="shared" si="48"/>
        <v>2.8846955021910592E-3</v>
      </c>
      <c r="U312">
        <f t="shared" si="49"/>
        <v>1.3411558916833766E-2</v>
      </c>
      <c r="V312">
        <f t="shared" si="50"/>
        <v>-1.3457008047026209E-2</v>
      </c>
      <c r="W312">
        <f t="shared" si="51"/>
        <v>7.2732412458917928E-3</v>
      </c>
    </row>
    <row r="313" spans="1:23" x14ac:dyDescent="0.3">
      <c r="A313" t="s">
        <v>196</v>
      </c>
      <c r="B313" s="1">
        <v>14.659273000000001</v>
      </c>
      <c r="C313" s="1">
        <v>10.373046</v>
      </c>
      <c r="D313" s="1">
        <v>16.986450000000001</v>
      </c>
      <c r="E313" s="1">
        <v>17.934940000000001</v>
      </c>
      <c r="F313" s="1">
        <v>5.809742</v>
      </c>
      <c r="G313" s="1">
        <v>5.4791840000000001</v>
      </c>
      <c r="H313" s="1">
        <v>3672.360107</v>
      </c>
      <c r="I313" s="1">
        <v>45.558250000000001</v>
      </c>
      <c r="J313" s="1">
        <v>9.9733230000000006</v>
      </c>
      <c r="K313" s="1">
        <v>1.3709070000000001</v>
      </c>
      <c r="L313" s="1">
        <v>20.229088000000001</v>
      </c>
      <c r="M313">
        <f t="shared" si="46"/>
        <v>-1.1545865197838068E-2</v>
      </c>
      <c r="N313">
        <f t="shared" si="46"/>
        <v>9.0661855181308759E-3</v>
      </c>
      <c r="O313">
        <f t="shared" si="46"/>
        <v>-6.8571580250929021E-3</v>
      </c>
      <c r="P313">
        <f t="shared" si="45"/>
        <v>-5.0334452149158881E-4</v>
      </c>
      <c r="Q313">
        <f t="shared" si="45"/>
        <v>-2.3854624832695293E-2</v>
      </c>
      <c r="R313">
        <f t="shared" si="45"/>
        <v>-1.6361352180358724E-2</v>
      </c>
      <c r="S313">
        <f t="shared" si="47"/>
        <v>5.0077191474963367E-2</v>
      </c>
      <c r="T313">
        <f t="shared" si="48"/>
        <v>-2.2556524353754659E-2</v>
      </c>
      <c r="U313">
        <f t="shared" si="49"/>
        <v>-9.7178479586234046E-3</v>
      </c>
      <c r="V313">
        <f t="shared" si="50"/>
        <v>-2.3149506713002754E-3</v>
      </c>
      <c r="W313">
        <f t="shared" si="51"/>
        <v>-3.3192243120423459E-3</v>
      </c>
    </row>
    <row r="314" spans="1:23" x14ac:dyDescent="0.3">
      <c r="A314" t="s">
        <v>195</v>
      </c>
      <c r="B314" s="1">
        <v>14.830503999999999</v>
      </c>
      <c r="C314" s="1">
        <v>10.279847</v>
      </c>
      <c r="D314" s="1">
        <v>17.103732999999998</v>
      </c>
      <c r="E314" s="1">
        <v>17.943971999999999</v>
      </c>
      <c r="F314" s="1">
        <v>5.9517179999999996</v>
      </c>
      <c r="G314" s="1">
        <v>5.570322</v>
      </c>
      <c r="H314" s="1">
        <v>3684.5900879999999</v>
      </c>
      <c r="I314" s="1">
        <v>43.385620000000003</v>
      </c>
      <c r="J314" s="1">
        <v>10.203478</v>
      </c>
      <c r="K314" s="1">
        <v>1.38436</v>
      </c>
      <c r="L314" s="1">
        <v>20.276026000000002</v>
      </c>
      <c r="M314">
        <f t="shared" si="46"/>
        <v>3.3134485505016631E-2</v>
      </c>
      <c r="N314">
        <f t="shared" si="46"/>
        <v>1.8164527997093227E-3</v>
      </c>
      <c r="O314">
        <f t="shared" si="46"/>
        <v>0</v>
      </c>
      <c r="P314">
        <f t="shared" si="45"/>
        <v>1.897445376404705E-2</v>
      </c>
      <c r="Q314">
        <f t="shared" si="45"/>
        <v>6.1921977152608054E-2</v>
      </c>
      <c r="R314">
        <f t="shared" si="45"/>
        <v>2.6748450443905281E-3</v>
      </c>
      <c r="S314">
        <f t="shared" si="47"/>
        <v>6.6224742461451491E-4</v>
      </c>
      <c r="T314">
        <f t="shared" si="48"/>
        <v>2.2585421419149432E-2</v>
      </c>
      <c r="U314">
        <f t="shared" si="49"/>
        <v>1.2130712226049889E-2</v>
      </c>
      <c r="V314">
        <f t="shared" si="50"/>
        <v>1.3133290564866229E-2</v>
      </c>
      <c r="W314">
        <f t="shared" si="51"/>
        <v>7.5306705215945069E-3</v>
      </c>
    </row>
    <row r="315" spans="1:23" x14ac:dyDescent="0.3">
      <c r="A315" t="s">
        <v>194</v>
      </c>
      <c r="B315" s="1">
        <v>14.354863</v>
      </c>
      <c r="C315" s="1">
        <v>10.261208</v>
      </c>
      <c r="D315" s="1">
        <v>17.103732999999998</v>
      </c>
      <c r="E315" s="1">
        <v>17.609835</v>
      </c>
      <c r="F315" s="1">
        <v>5.6046659999999999</v>
      </c>
      <c r="G315" s="1">
        <v>5.5554620000000003</v>
      </c>
      <c r="H315" s="1">
        <v>3657.0500489999999</v>
      </c>
      <c r="I315" s="1">
        <v>43.356907</v>
      </c>
      <c r="J315" s="1">
        <v>9.9781180000000003</v>
      </c>
      <c r="K315" s="1">
        <v>1.3677680000000001</v>
      </c>
      <c r="L315" s="1">
        <v>20.013186999999999</v>
      </c>
      <c r="M315">
        <f t="shared" si="46"/>
        <v>1.8562277287156981E-2</v>
      </c>
      <c r="N315">
        <f t="shared" si="46"/>
        <v>2.1335943239517263E-2</v>
      </c>
      <c r="O315">
        <f t="shared" si="46"/>
        <v>7.7586154213024949E-2</v>
      </c>
      <c r="P315">
        <f t="shared" si="45"/>
        <v>7.2313712785714301E-3</v>
      </c>
      <c r="Q315">
        <f t="shared" si="45"/>
        <v>-2.4066482657127963E-3</v>
      </c>
      <c r="R315">
        <f t="shared" si="45"/>
        <v>1.8895220614195241E-2</v>
      </c>
      <c r="S315">
        <f t="shared" si="47"/>
        <v>-3.7194437598054186E-2</v>
      </c>
      <c r="T315">
        <f t="shared" si="48"/>
        <v>1.1175905233933747E-2</v>
      </c>
      <c r="U315">
        <f t="shared" si="49"/>
        <v>6.6006819257300453E-3</v>
      </c>
      <c r="V315">
        <f t="shared" si="50"/>
        <v>2.0584059506129293E-2</v>
      </c>
      <c r="W315">
        <f t="shared" si="51"/>
        <v>1.5119711379251166E-2</v>
      </c>
    </row>
    <row r="316" spans="1:23" x14ac:dyDescent="0.3">
      <c r="A316" t="s">
        <v>193</v>
      </c>
      <c r="B316" s="1">
        <v>14.093260000000001</v>
      </c>
      <c r="C316" s="1">
        <v>10.046849</v>
      </c>
      <c r="D316" s="1">
        <v>15.872265000000001</v>
      </c>
      <c r="E316" s="1">
        <v>17.483405999999999</v>
      </c>
      <c r="F316" s="1">
        <v>5.6181869999999998</v>
      </c>
      <c r="G316" s="1">
        <v>5.4524369999999998</v>
      </c>
      <c r="H316" s="1">
        <v>3602.580078</v>
      </c>
      <c r="I316" s="1">
        <v>45.031841</v>
      </c>
      <c r="J316" s="1">
        <v>9.8678360000000005</v>
      </c>
      <c r="K316" s="1">
        <v>1.3587990000000001</v>
      </c>
      <c r="L316" s="1">
        <v>19.609542999999999</v>
      </c>
      <c r="M316">
        <f t="shared" si="46"/>
        <v>-2.0209181563906053E-3</v>
      </c>
      <c r="N316">
        <f t="shared" si="46"/>
        <v>-1.1915706596611675E-2</v>
      </c>
      <c r="O316">
        <f t="shared" si="46"/>
        <v>-8.5469546246652595E-3</v>
      </c>
      <c r="P316">
        <f t="shared" si="45"/>
        <v>4.1492346031106742E-3</v>
      </c>
      <c r="Q316">
        <f t="shared" si="45"/>
        <v>1.7966381773608653E-2</v>
      </c>
      <c r="R316">
        <f t="shared" si="45"/>
        <v>-2.0989052187946444E-2</v>
      </c>
      <c r="S316">
        <f t="shared" si="47"/>
        <v>2.8918986194574892E-3</v>
      </c>
      <c r="T316">
        <f t="shared" si="48"/>
        <v>9.7268814627993194E-4</v>
      </c>
      <c r="U316">
        <f t="shared" si="49"/>
        <v>-2.0051175463471016E-2</v>
      </c>
      <c r="V316">
        <f t="shared" si="50"/>
        <v>3.8441831658522219E-3</v>
      </c>
      <c r="W316">
        <f t="shared" si="51"/>
        <v>-3.6891978494428823E-3</v>
      </c>
    </row>
    <row r="317" spans="1:23" x14ac:dyDescent="0.3">
      <c r="A317" t="s">
        <v>192</v>
      </c>
      <c r="B317" s="1">
        <v>14.121798999999999</v>
      </c>
      <c r="C317" s="1">
        <v>10.168008</v>
      </c>
      <c r="D317" s="1">
        <v>16.009094000000001</v>
      </c>
      <c r="E317" s="1">
        <v>17.411162999999998</v>
      </c>
      <c r="F317" s="1">
        <v>5.5190299999999999</v>
      </c>
      <c r="G317" s="1">
        <v>5.5693320000000002</v>
      </c>
      <c r="H317" s="1">
        <v>3615.919922</v>
      </c>
      <c r="I317" s="1">
        <v>44.901989</v>
      </c>
      <c r="J317" s="1">
        <v>9.8582470000000004</v>
      </c>
      <c r="K317" s="1">
        <v>1.3866019999999999</v>
      </c>
      <c r="L317" s="1">
        <v>19.534448999999999</v>
      </c>
      <c r="M317">
        <f t="shared" si="46"/>
        <v>2.027494785484163E-2</v>
      </c>
      <c r="N317">
        <f t="shared" si="46"/>
        <v>1.2669715163960094E-2</v>
      </c>
      <c r="O317">
        <f t="shared" si="46"/>
        <v>2.1196936057206628E-2</v>
      </c>
      <c r="P317">
        <f t="shared" si="45"/>
        <v>1.4203078940503877E-2</v>
      </c>
      <c r="Q317">
        <f t="shared" si="45"/>
        <v>3.4206004321192252E-2</v>
      </c>
      <c r="R317">
        <f t="shared" si="45"/>
        <v>3.004770969071191E-2</v>
      </c>
      <c r="S317">
        <f t="shared" si="47"/>
        <v>2.8905510489020791E-2</v>
      </c>
      <c r="T317">
        <f t="shared" si="48"/>
        <v>3.906358596590831E-3</v>
      </c>
      <c r="U317">
        <f t="shared" si="49"/>
        <v>1.7439381876749538E-2</v>
      </c>
      <c r="V317">
        <f t="shared" si="50"/>
        <v>4.9420138056764928E-2</v>
      </c>
      <c r="W317">
        <f t="shared" si="51"/>
        <v>9.771202080030017E-3</v>
      </c>
    </row>
    <row r="318" spans="1:23" x14ac:dyDescent="0.3">
      <c r="A318" t="s">
        <v>191</v>
      </c>
      <c r="B318" s="1">
        <v>13.84117</v>
      </c>
      <c r="C318" s="1">
        <v>10.040794</v>
      </c>
      <c r="D318" s="1">
        <v>15.676793999999999</v>
      </c>
      <c r="E318" s="1">
        <v>17.167334</v>
      </c>
      <c r="F318" s="1">
        <v>5.3364900000000004</v>
      </c>
      <c r="G318" s="1">
        <v>5.4068680000000002</v>
      </c>
      <c r="H318" s="1">
        <v>3580.929932</v>
      </c>
      <c r="I318" s="1">
        <v>43.640537000000002</v>
      </c>
      <c r="J318" s="1">
        <v>9.8198869999999996</v>
      </c>
      <c r="K318" s="1">
        <v>1.362835</v>
      </c>
      <c r="L318" s="1">
        <v>18.614516999999999</v>
      </c>
      <c r="M318">
        <f t="shared" si="46"/>
        <v>-3.9603967266030771E-2</v>
      </c>
      <c r="N318">
        <f t="shared" si="46"/>
        <v>5.4594937010541411E-3</v>
      </c>
      <c r="O318">
        <f t="shared" si="46"/>
        <v>-2.1951143581043553E-2</v>
      </c>
      <c r="P318">
        <f t="shared" si="45"/>
        <v>-4.1834627457459028E-2</v>
      </c>
      <c r="Q318">
        <f t="shared" si="45"/>
        <v>-6.5140055823672438E-2</v>
      </c>
      <c r="R318">
        <f t="shared" si="45"/>
        <v>-6.6529724425319903E-2</v>
      </c>
      <c r="S318">
        <f t="shared" si="47"/>
        <v>1.4445771787889639E-2</v>
      </c>
      <c r="T318">
        <f t="shared" si="48"/>
        <v>-5.1852028509650649E-2</v>
      </c>
      <c r="U318">
        <f t="shared" si="49"/>
        <v>-4.7036505088448255E-2</v>
      </c>
      <c r="V318">
        <f t="shared" si="50"/>
        <v>-5.1196163542243989E-2</v>
      </c>
      <c r="W318">
        <f t="shared" si="51"/>
        <v>-4.2329805132865661E-2</v>
      </c>
    </row>
    <row r="319" spans="1:23" x14ac:dyDescent="0.3">
      <c r="A319" t="s">
        <v>190</v>
      </c>
      <c r="B319" s="1">
        <v>14.41194</v>
      </c>
      <c r="C319" s="1">
        <v>9.9862739999999999</v>
      </c>
      <c r="D319" s="1">
        <v>16.028641</v>
      </c>
      <c r="E319" s="1">
        <v>17.916879999999999</v>
      </c>
      <c r="F319" s="1">
        <v>5.7083310000000003</v>
      </c>
      <c r="G319" s="1">
        <v>5.7922229999999999</v>
      </c>
      <c r="H319" s="1">
        <v>3739.209961</v>
      </c>
      <c r="I319" s="1">
        <v>43.019092999999998</v>
      </c>
      <c r="J319" s="1">
        <v>10.356914</v>
      </c>
      <c r="K319" s="1">
        <v>1.430102</v>
      </c>
      <c r="L319" s="1">
        <v>19.618931</v>
      </c>
      <c r="M319">
        <f t="shared" si="46"/>
        <v>-1.9417479031048179E-2</v>
      </c>
      <c r="N319">
        <f t="shared" si="46"/>
        <v>-3.5964972488685798E-2</v>
      </c>
      <c r="O319">
        <f t="shared" si="46"/>
        <v>0</v>
      </c>
      <c r="P319">
        <f t="shared" si="45"/>
        <v>0</v>
      </c>
      <c r="Q319">
        <f t="shared" si="45"/>
        <v>-5.8868358000701004E-3</v>
      </c>
      <c r="R319">
        <f t="shared" si="45"/>
        <v>-2.3873233787515935E-2</v>
      </c>
      <c r="S319">
        <f t="shared" si="47"/>
        <v>-2.5805699804181126E-3</v>
      </c>
      <c r="T319">
        <f t="shared" si="48"/>
        <v>-1.728826048709764E-2</v>
      </c>
      <c r="U319">
        <f t="shared" si="49"/>
        <v>-3.43754681941566E-3</v>
      </c>
      <c r="V319">
        <f t="shared" si="50"/>
        <v>-1.4615722637685069E-2</v>
      </c>
      <c r="W319">
        <f t="shared" si="51"/>
        <v>-2.5874057333176159E-3</v>
      </c>
    </row>
    <row r="320" spans="1:23" x14ac:dyDescent="0.3">
      <c r="A320" t="s">
        <v>189</v>
      </c>
      <c r="B320" s="1">
        <v>14.697324999999999</v>
      </c>
      <c r="C320" s="1">
        <v>10.358829</v>
      </c>
      <c r="D320" s="1">
        <v>16.028641</v>
      </c>
      <c r="E320" s="1">
        <v>17.916879999999999</v>
      </c>
      <c r="F320" s="1">
        <v>5.7421340000000001</v>
      </c>
      <c r="G320" s="1">
        <v>5.9338839999999999</v>
      </c>
      <c r="H320" s="1">
        <v>3748.9099120000001</v>
      </c>
      <c r="I320" s="1">
        <v>43.130394000000003</v>
      </c>
      <c r="J320" s="1">
        <v>10.539116999999999</v>
      </c>
      <c r="K320" s="1">
        <v>1.4350350000000001</v>
      </c>
      <c r="L320" s="1">
        <v>19.909929000000002</v>
      </c>
      <c r="M320">
        <f t="shared" si="46"/>
        <v>2.1150060369984791E-2</v>
      </c>
      <c r="N320">
        <f t="shared" si="46"/>
        <v>5.6533804081190464E-2</v>
      </c>
      <c r="O320">
        <f t="shared" si="46"/>
        <v>-6.0606297372312046E-3</v>
      </c>
      <c r="P320">
        <f t="shared" si="45"/>
        <v>4.8625727479094216E-2</v>
      </c>
      <c r="Q320">
        <f t="shared" si="45"/>
        <v>4.8991241803463037E-2</v>
      </c>
      <c r="R320">
        <f t="shared" si="45"/>
        <v>8.8694964237854501E-2</v>
      </c>
      <c r="S320">
        <f t="shared" si="47"/>
        <v>-3.1855066817551903E-2</v>
      </c>
      <c r="T320">
        <f t="shared" si="48"/>
        <v>2.7102676771968648E-2</v>
      </c>
      <c r="U320">
        <f t="shared" si="49"/>
        <v>1.5873431628784074E-2</v>
      </c>
      <c r="V320">
        <f t="shared" si="50"/>
        <v>4.534245509447965E-2</v>
      </c>
      <c r="W320">
        <f t="shared" si="51"/>
        <v>3.6767539583937303E-2</v>
      </c>
    </row>
    <row r="321" spans="1:23" x14ac:dyDescent="0.3">
      <c r="A321" t="s">
        <v>188</v>
      </c>
      <c r="B321" s="1">
        <v>14.392913999999999</v>
      </c>
      <c r="C321" s="1">
        <v>9.8045410000000004</v>
      </c>
      <c r="D321" s="1">
        <v>16.126377000000002</v>
      </c>
      <c r="E321" s="1">
        <v>17.086058000000001</v>
      </c>
      <c r="F321" s="1">
        <v>5.4739579999999997</v>
      </c>
      <c r="G321" s="1">
        <v>5.450456</v>
      </c>
      <c r="H321" s="1">
        <v>3615.959961</v>
      </c>
      <c r="I321" s="1">
        <v>44.549522000000003</v>
      </c>
      <c r="J321" s="1">
        <v>10.261016</v>
      </c>
      <c r="K321" s="1">
        <v>1.412612</v>
      </c>
      <c r="L321" s="1">
        <v>19.046322</v>
      </c>
      <c r="M321">
        <f t="shared" si="46"/>
        <v>1.1363626781613956E-2</v>
      </c>
      <c r="N321">
        <f t="shared" si="46"/>
        <v>0.10609935459663045</v>
      </c>
      <c r="O321">
        <f t="shared" si="46"/>
        <v>-1.4336948670990224E-2</v>
      </c>
      <c r="P321">
        <f t="shared" si="45"/>
        <v>2.2702652876648299E-2</v>
      </c>
      <c r="Q321">
        <f t="shared" si="45"/>
        <v>3.8034371830784952E-2</v>
      </c>
      <c r="R321">
        <f t="shared" si="45"/>
        <v>6.6279056118756063E-2</v>
      </c>
      <c r="S321">
        <f t="shared" si="47"/>
        <v>2.3221191834189359E-2</v>
      </c>
      <c r="T321">
        <f t="shared" si="48"/>
        <v>2.5886881875623269E-2</v>
      </c>
      <c r="U321">
        <f t="shared" si="49"/>
        <v>2.2394638372404518E-2</v>
      </c>
      <c r="V321">
        <f t="shared" si="50"/>
        <v>2.9688043748513637E-2</v>
      </c>
      <c r="W321">
        <f t="shared" si="51"/>
        <v>3.1486909596706081E-2</v>
      </c>
    </row>
    <row r="322" spans="1:23" x14ac:dyDescent="0.3">
      <c r="A322" t="s">
        <v>187</v>
      </c>
      <c r="B322" s="1">
        <v>14.231196000000001</v>
      </c>
      <c r="C322" s="1">
        <v>8.8640690000000006</v>
      </c>
      <c r="D322" s="1">
        <v>16.360942999999999</v>
      </c>
      <c r="E322" s="1">
        <v>16.706769999999999</v>
      </c>
      <c r="F322" s="1">
        <v>5.2733879999999997</v>
      </c>
      <c r="G322" s="1">
        <v>5.1116599999999996</v>
      </c>
      <c r="H322" s="1">
        <v>3505.580078</v>
      </c>
      <c r="I322" s="1">
        <v>43.538505999999998</v>
      </c>
      <c r="J322" s="1">
        <v>10.002093</v>
      </c>
      <c r="K322" s="1">
        <v>1.38167</v>
      </c>
      <c r="L322" s="1">
        <v>18.497177000000001</v>
      </c>
      <c r="M322">
        <f t="shared" si="46"/>
        <v>6.7295238484650355E-3</v>
      </c>
      <c r="N322">
        <f t="shared" si="46"/>
        <v>2.2536699541627181E-2</v>
      </c>
      <c r="O322">
        <f t="shared" si="46"/>
        <v>-5.9382651548159915E-3</v>
      </c>
      <c r="P322">
        <f t="shared" si="45"/>
        <v>3.7577310883296633E-2</v>
      </c>
      <c r="Q322">
        <f t="shared" si="45"/>
        <v>2.4967084125860461E-2</v>
      </c>
      <c r="R322">
        <f t="shared" si="45"/>
        <v>1.554813843525249E-2</v>
      </c>
      <c r="S322">
        <f t="shared" si="47"/>
        <v>-5.508606951386219E-3</v>
      </c>
      <c r="T322">
        <f t="shared" si="48"/>
        <v>2.2549135472494708E-2</v>
      </c>
      <c r="U322">
        <f t="shared" si="49"/>
        <v>-1.1231854239944439E-2</v>
      </c>
      <c r="V322">
        <f t="shared" si="50"/>
        <v>7.6705784960895418E-3</v>
      </c>
      <c r="W322">
        <f t="shared" si="51"/>
        <v>1.0608931293521362E-2</v>
      </c>
    </row>
    <row r="323" spans="1:23" x14ac:dyDescent="0.3">
      <c r="A323" t="s">
        <v>186</v>
      </c>
      <c r="B323" s="1">
        <v>14.136067000000001</v>
      </c>
      <c r="C323" s="1">
        <v>8.6687049999999992</v>
      </c>
      <c r="D323" s="1">
        <v>16.458679</v>
      </c>
      <c r="E323" s="1">
        <v>16.101711000000002</v>
      </c>
      <c r="F323" s="1">
        <v>5.1449340000000001</v>
      </c>
      <c r="G323" s="1">
        <v>5.0334000000000003</v>
      </c>
      <c r="H323" s="1">
        <v>3468.780029</v>
      </c>
      <c r="I323" s="1">
        <v>43.779671</v>
      </c>
      <c r="J323" s="1">
        <v>9.7815279999999998</v>
      </c>
      <c r="K323" s="1">
        <v>1.397365</v>
      </c>
      <c r="L323" s="1">
        <v>18.356373000000001</v>
      </c>
      <c r="M323">
        <f t="shared" si="46"/>
        <v>1.6763499456664332E-2</v>
      </c>
      <c r="N323">
        <f t="shared" si="46"/>
        <v>-7.2839824417614274E-3</v>
      </c>
      <c r="O323">
        <f t="shared" si="46"/>
        <v>1.0804314134800874E-2</v>
      </c>
      <c r="P323">
        <f t="shared" si="45"/>
        <v>-2.1941830795936923E-2</v>
      </c>
      <c r="Q323">
        <f t="shared" si="45"/>
        <v>-1.4248648574081368E-2</v>
      </c>
      <c r="R323">
        <f t="shared" si="45"/>
        <v>-2.4010573121839851E-2</v>
      </c>
      <c r="S323">
        <f t="shared" si="47"/>
        <v>4.0105762778031684E-2</v>
      </c>
      <c r="T323">
        <f t="shared" si="48"/>
        <v>-1.875923531353163E-2</v>
      </c>
      <c r="U323">
        <f t="shared" si="49"/>
        <v>8.413761649296303E-3</v>
      </c>
      <c r="V323">
        <f t="shared" si="50"/>
        <v>3.9883031964480287E-2</v>
      </c>
      <c r="W323">
        <f t="shared" si="51"/>
        <v>-9.6895961655508733E-3</v>
      </c>
    </row>
    <row r="324" spans="1:23" x14ac:dyDescent="0.3">
      <c r="A324" t="s">
        <v>185</v>
      </c>
      <c r="B324" s="1">
        <v>13.903003999999999</v>
      </c>
      <c r="C324" s="1">
        <v>8.7323109999999993</v>
      </c>
      <c r="D324" s="1">
        <v>16.282755000000002</v>
      </c>
      <c r="E324" s="1">
        <v>16.462938000000001</v>
      </c>
      <c r="F324" s="1">
        <v>5.2193019999999999</v>
      </c>
      <c r="G324" s="1">
        <v>5.1572279999999999</v>
      </c>
      <c r="H324" s="1">
        <v>3502.719971</v>
      </c>
      <c r="I324" s="1">
        <v>42.091557000000002</v>
      </c>
      <c r="J324" s="1">
        <v>9.9685299999999994</v>
      </c>
      <c r="K324" s="1">
        <v>1.3857060000000001</v>
      </c>
      <c r="L324" s="1">
        <v>17.652343999999999</v>
      </c>
      <c r="M324">
        <f t="shared" si="46"/>
        <v>3.0491892781733476E-2</v>
      </c>
      <c r="N324">
        <f t="shared" si="46"/>
        <v>1.854794668187032E-2</v>
      </c>
      <c r="O324">
        <f t="shared" si="46"/>
        <v>3.0940651418924547E-2</v>
      </c>
      <c r="P324">
        <f t="shared" si="45"/>
        <v>-1.0958680356694117E-3</v>
      </c>
      <c r="Q324">
        <f t="shared" si="45"/>
        <v>3.763438615618564E-2</v>
      </c>
      <c r="R324">
        <f t="shared" si="45"/>
        <v>3.7671838565762394E-2</v>
      </c>
      <c r="S324">
        <f t="shared" si="47"/>
        <v>4.58630898826069E-2</v>
      </c>
      <c r="T324">
        <f t="shared" si="48"/>
        <v>1.4641491704260767E-2</v>
      </c>
      <c r="U324">
        <f t="shared" si="49"/>
        <v>-4.1888993090363202E-3</v>
      </c>
      <c r="V324">
        <f t="shared" si="50"/>
        <v>4.0099558190203277E-2</v>
      </c>
      <c r="W324">
        <f t="shared" si="51"/>
        <v>1.358008775717745E-2</v>
      </c>
    </row>
    <row r="325" spans="1:23" x14ac:dyDescent="0.3">
      <c r="A325" t="s">
        <v>184</v>
      </c>
      <c r="B325" s="1">
        <v>13.491619</v>
      </c>
      <c r="C325" s="1">
        <v>8.5732940000000006</v>
      </c>
      <c r="D325" s="1">
        <v>15.794076</v>
      </c>
      <c r="E325" s="1">
        <v>16.480999000000001</v>
      </c>
      <c r="F325" s="1">
        <v>5.0300010000000004</v>
      </c>
      <c r="G325" s="1">
        <v>4.9699989999999996</v>
      </c>
      <c r="H325" s="1">
        <v>3455.790039</v>
      </c>
      <c r="I325" s="1">
        <v>40.245761999999999</v>
      </c>
      <c r="J325" s="1">
        <v>9.8246819999999992</v>
      </c>
      <c r="K325" s="1">
        <v>1.391535</v>
      </c>
      <c r="L325" s="1">
        <v>16.971782999999999</v>
      </c>
      <c r="M325">
        <f t="shared" si="46"/>
        <v>2.8320935130796476E-2</v>
      </c>
      <c r="N325">
        <f t="shared" si="46"/>
        <v>1.2338941134267367E-2</v>
      </c>
      <c r="O325">
        <f t="shared" si="46"/>
        <v>-9.8039221832758594E-3</v>
      </c>
      <c r="P325">
        <f t="shared" si="46"/>
        <v>1.0970702799220078E-3</v>
      </c>
      <c r="Q325">
        <f t="shared" si="46"/>
        <v>9.4979083528612396E-3</v>
      </c>
      <c r="R325">
        <f t="shared" si="46"/>
        <v>3.5073159068908621E-2</v>
      </c>
      <c r="S325">
        <f t="shared" si="47"/>
        <v>1.0950767064623612E-2</v>
      </c>
      <c r="T325">
        <f t="shared" si="48"/>
        <v>1.8896078258729521E-2</v>
      </c>
      <c r="U325">
        <f t="shared" si="49"/>
        <v>-6.0861851240235909E-3</v>
      </c>
      <c r="V325">
        <f t="shared" si="50"/>
        <v>1.5160065011270207E-2</v>
      </c>
      <c r="W325">
        <f t="shared" si="51"/>
        <v>3.2257001140870711E-2</v>
      </c>
    </row>
    <row r="326" spans="1:23" x14ac:dyDescent="0.3">
      <c r="A326" t="s">
        <v>183</v>
      </c>
      <c r="B326" s="1">
        <v>13.120047</v>
      </c>
      <c r="C326" s="1">
        <v>8.4687979999999996</v>
      </c>
      <c r="D326" s="1">
        <v>15.950453</v>
      </c>
      <c r="E326" s="1">
        <v>16.462938000000001</v>
      </c>
      <c r="F326" s="1">
        <v>4.9826759999999997</v>
      </c>
      <c r="G326" s="1">
        <v>4.8015920000000003</v>
      </c>
      <c r="H326" s="1">
        <v>3347.8000489999999</v>
      </c>
      <c r="I326" s="1">
        <v>39.809814000000003</v>
      </c>
      <c r="J326" s="1">
        <v>9.6424769999999995</v>
      </c>
      <c r="K326" s="1">
        <v>1.400056</v>
      </c>
      <c r="L326" s="1">
        <v>16.718332</v>
      </c>
      <c r="M326">
        <f t="shared" ref="M326:P389" si="52">+B326/B327-1</f>
        <v>-5.1183683889091558E-2</v>
      </c>
      <c r="N326">
        <f t="shared" si="52"/>
        <v>-2.866064259031853E-2</v>
      </c>
      <c r="O326">
        <f t="shared" si="52"/>
        <v>-1.3301127242062671E-2</v>
      </c>
      <c r="P326">
        <f t="shared" si="52"/>
        <v>-4.5049937411468233E-2</v>
      </c>
      <c r="Q326">
        <f t="shared" ref="Q326:R389" si="53">+F326/F327-1</f>
        <v>-5.1073035181141146E-2</v>
      </c>
      <c r="R326">
        <f t="shared" si="53"/>
        <v>-4.8301513868289292E-2</v>
      </c>
      <c r="S326">
        <f t="shared" ref="S326:S389" si="54">+I326/I327-1</f>
        <v>5.1521547661794731E-3</v>
      </c>
      <c r="T326">
        <f t="shared" ref="T326:T389" si="55">+J326/J327-1</f>
        <v>-8.3826700767896112E-3</v>
      </c>
      <c r="U326">
        <f t="shared" ref="U326:U389" si="56">+K326/K327-1</f>
        <v>-4.0565331118498582E-2</v>
      </c>
      <c r="V326">
        <f t="shared" ref="V326:V389" si="57">+L326/L327-1</f>
        <v>-3.7557371650047355E-2</v>
      </c>
      <c r="W326">
        <f t="shared" ref="W326:W389" si="58">+H326/H327-1</f>
        <v>-3.2883305797369089E-2</v>
      </c>
    </row>
    <row r="327" spans="1:23" x14ac:dyDescent="0.3">
      <c r="A327" t="s">
        <v>182</v>
      </c>
      <c r="B327" s="1">
        <v>13.827805</v>
      </c>
      <c r="C327" s="1">
        <v>8.7186810000000001</v>
      </c>
      <c r="D327" s="1">
        <v>16.165472000000001</v>
      </c>
      <c r="E327" s="1">
        <v>17.23958</v>
      </c>
      <c r="F327" s="1">
        <v>5.2508530000000002</v>
      </c>
      <c r="G327" s="1">
        <v>5.0452870000000001</v>
      </c>
      <c r="H327" s="1">
        <v>3461.6298830000001</v>
      </c>
      <c r="I327" s="1">
        <v>39.605758999999999</v>
      </c>
      <c r="J327" s="1">
        <v>9.7239900000000006</v>
      </c>
      <c r="K327" s="1">
        <v>1.4592510000000001</v>
      </c>
      <c r="L327" s="1">
        <v>17.370730999999999</v>
      </c>
      <c r="M327">
        <f t="shared" si="52"/>
        <v>-1.2010020651768261E-2</v>
      </c>
      <c r="N327">
        <f t="shared" si="52"/>
        <v>1.3199383295880773E-2</v>
      </c>
      <c r="O327">
        <f t="shared" si="52"/>
        <v>3.7641171886002356E-2</v>
      </c>
      <c r="P327">
        <f t="shared" si="52"/>
        <v>1.6507025773621065E-2</v>
      </c>
      <c r="Q327">
        <f t="shared" si="53"/>
        <v>-1.2859445368184064E-3</v>
      </c>
      <c r="R327">
        <f t="shared" si="53"/>
        <v>-5.8871781340852358E-4</v>
      </c>
      <c r="S327">
        <f t="shared" si="54"/>
        <v>2.2264734106694828E-2</v>
      </c>
      <c r="T327">
        <f t="shared" si="55"/>
        <v>1.9762363223767565E-3</v>
      </c>
      <c r="U327">
        <f t="shared" si="56"/>
        <v>-6.1087575431474361E-3</v>
      </c>
      <c r="V327">
        <f t="shared" si="57"/>
        <v>1.0818375031891314E-3</v>
      </c>
      <c r="W327">
        <f t="shared" si="58"/>
        <v>-2.4494760388195091E-3</v>
      </c>
    </row>
    <row r="328" spans="1:23" x14ac:dyDescent="0.3">
      <c r="A328" t="s">
        <v>181</v>
      </c>
      <c r="B328" s="1">
        <v>13.995896</v>
      </c>
      <c r="C328" s="1">
        <v>8.6050989999999992</v>
      </c>
      <c r="D328" s="1">
        <v>15.579058</v>
      </c>
      <c r="E328" s="1">
        <v>16.959627000000001</v>
      </c>
      <c r="F328" s="1">
        <v>5.2576140000000002</v>
      </c>
      <c r="G328" s="1">
        <v>5.0482589999999998</v>
      </c>
      <c r="H328" s="1">
        <v>3470.1298830000001</v>
      </c>
      <c r="I328" s="1">
        <v>38.743153</v>
      </c>
      <c r="J328" s="1">
        <v>9.7048109999999994</v>
      </c>
      <c r="K328" s="1">
        <v>1.4682200000000001</v>
      </c>
      <c r="L328" s="1">
        <v>17.351959000000001</v>
      </c>
      <c r="M328">
        <f t="shared" si="52"/>
        <v>3.9080435193520779E-2</v>
      </c>
      <c r="N328">
        <f t="shared" si="52"/>
        <v>2.4891902244183806E-2</v>
      </c>
      <c r="O328">
        <f t="shared" si="52"/>
        <v>-6.2344379852156129E-3</v>
      </c>
      <c r="P328">
        <f t="shared" si="52"/>
        <v>7.6834805590216382E-2</v>
      </c>
      <c r="Q328">
        <f t="shared" si="53"/>
        <v>8.360442608030394E-2</v>
      </c>
      <c r="R328">
        <f t="shared" si="53"/>
        <v>5.4853980845603445E-2</v>
      </c>
      <c r="S328">
        <f t="shared" si="54"/>
        <v>-4.3508029262026016E-2</v>
      </c>
      <c r="T328">
        <f t="shared" si="55"/>
        <v>3.7948699629764437E-2</v>
      </c>
      <c r="U328">
        <f t="shared" si="56"/>
        <v>1.5823859842847732E-2</v>
      </c>
      <c r="V328">
        <f t="shared" si="57"/>
        <v>5.6889630786989942E-2</v>
      </c>
      <c r="W328">
        <f t="shared" si="58"/>
        <v>2.5818878202035656E-2</v>
      </c>
    </row>
    <row r="329" spans="1:23" x14ac:dyDescent="0.3">
      <c r="A329" t="s">
        <v>180</v>
      </c>
      <c r="B329" s="1">
        <v>13.469502</v>
      </c>
      <c r="C329" s="1">
        <v>8.3961039999999993</v>
      </c>
      <c r="D329" s="1">
        <v>15.676793999999999</v>
      </c>
      <c r="E329" s="1">
        <v>15.749516</v>
      </c>
      <c r="F329" s="1">
        <v>4.8519680000000003</v>
      </c>
      <c r="G329" s="1">
        <v>4.7857419999999999</v>
      </c>
      <c r="H329" s="1">
        <v>3382.790039</v>
      </c>
      <c r="I329" s="1">
        <v>40.505465999999998</v>
      </c>
      <c r="J329" s="1">
        <v>9.3499909999999993</v>
      </c>
      <c r="K329" s="1">
        <v>1.445349</v>
      </c>
      <c r="L329" s="1">
        <v>16.417947999999999</v>
      </c>
      <c r="M329">
        <f t="shared" si="52"/>
        <v>2.8368757505957021E-2</v>
      </c>
      <c r="N329">
        <f t="shared" si="52"/>
        <v>-1.7021152047242416E-2</v>
      </c>
      <c r="O329">
        <f t="shared" si="52"/>
        <v>-1.7156816800124708E-2</v>
      </c>
      <c r="P329">
        <f t="shared" si="52"/>
        <v>2.2988669601784473E-3</v>
      </c>
      <c r="Q329">
        <f t="shared" si="53"/>
        <v>4.6456338155964616E-4</v>
      </c>
      <c r="R329">
        <f t="shared" si="53"/>
        <v>-3.4379243482313804E-2</v>
      </c>
      <c r="S329">
        <f t="shared" si="54"/>
        <v>2.6563133793433336E-2</v>
      </c>
      <c r="T329">
        <f t="shared" si="55"/>
        <v>-1.5151306084422278E-2</v>
      </c>
      <c r="U329">
        <f t="shared" si="56"/>
        <v>5.9297244139699945E-3</v>
      </c>
      <c r="V329">
        <f t="shared" si="57"/>
        <v>-4.0855602976757166E-2</v>
      </c>
      <c r="W329">
        <f t="shared" si="58"/>
        <v>-8.7719477790160205E-4</v>
      </c>
    </row>
    <row r="330" spans="1:23" x14ac:dyDescent="0.3">
      <c r="A330" t="s">
        <v>179</v>
      </c>
      <c r="B330" s="1">
        <v>13.09793</v>
      </c>
      <c r="C330" s="1">
        <v>8.5414899999999996</v>
      </c>
      <c r="D330" s="1">
        <v>15.950453</v>
      </c>
      <c r="E330" s="1">
        <v>15.713393</v>
      </c>
      <c r="F330" s="1">
        <v>4.8497149999999998</v>
      </c>
      <c r="G330" s="1">
        <v>4.9561299999999999</v>
      </c>
      <c r="H330" s="1">
        <v>3385.76001</v>
      </c>
      <c r="I330" s="1">
        <v>39.457355</v>
      </c>
      <c r="J330" s="1">
        <v>9.4938350000000007</v>
      </c>
      <c r="K330" s="1">
        <v>1.4368289999999999</v>
      </c>
      <c r="L330" s="1">
        <v>17.117284999999999</v>
      </c>
      <c r="M330">
        <f t="shared" si="52"/>
        <v>-5.3388713786305608E-2</v>
      </c>
      <c r="N330">
        <f t="shared" si="52"/>
        <v>-4.2769960144039221E-2</v>
      </c>
      <c r="O330">
        <f t="shared" si="52"/>
        <v>-3.8869310968407178E-2</v>
      </c>
      <c r="P330">
        <f t="shared" si="52"/>
        <v>-5.4347794033880126E-2</v>
      </c>
      <c r="Q330">
        <f t="shared" si="53"/>
        <v>-6.5566590867139785E-2</v>
      </c>
      <c r="R330">
        <f t="shared" si="53"/>
        <v>-5.8878910363795667E-2</v>
      </c>
      <c r="S330">
        <f t="shared" si="54"/>
        <v>-2.3416000052668751E-2</v>
      </c>
      <c r="T330">
        <f t="shared" si="55"/>
        <v>-3.7901014974306424E-2</v>
      </c>
      <c r="U330">
        <f t="shared" si="56"/>
        <v>-1.9883654461390288E-2</v>
      </c>
      <c r="V330">
        <f t="shared" si="57"/>
        <v>-3.7476824366315387E-2</v>
      </c>
      <c r="W330">
        <f t="shared" si="58"/>
        <v>-4.1971221532709269E-2</v>
      </c>
    </row>
    <row r="331" spans="1:23" x14ac:dyDescent="0.3">
      <c r="A331" t="s">
        <v>178</v>
      </c>
      <c r="B331" s="1">
        <v>13.836651</v>
      </c>
      <c r="C331" s="1">
        <v>8.9231320000000007</v>
      </c>
      <c r="D331" s="1">
        <v>16.595509</v>
      </c>
      <c r="E331" s="1">
        <v>16.616461000000001</v>
      </c>
      <c r="F331" s="1">
        <v>5.1900060000000003</v>
      </c>
      <c r="G331" s="1">
        <v>5.2661980000000002</v>
      </c>
      <c r="H331" s="1">
        <v>3534.0900879999999</v>
      </c>
      <c r="I331" s="1">
        <v>40.403441999999998</v>
      </c>
      <c r="J331" s="1">
        <v>9.8678360000000005</v>
      </c>
      <c r="K331" s="1">
        <v>1.465978</v>
      </c>
      <c r="L331" s="1">
        <v>17.783764000000001</v>
      </c>
      <c r="M331">
        <f t="shared" si="52"/>
        <v>8.3816505620573079E-3</v>
      </c>
      <c r="N331">
        <f t="shared" si="52"/>
        <v>-2.7722731066071038E-2</v>
      </c>
      <c r="O331">
        <f t="shared" si="52"/>
        <v>1.9207683220683336E-2</v>
      </c>
      <c r="P331">
        <f t="shared" si="52"/>
        <v>2.7246488056769103E-3</v>
      </c>
      <c r="Q331">
        <f t="shared" si="53"/>
        <v>-6.4711388813911697E-3</v>
      </c>
      <c r="R331">
        <f t="shared" si="53"/>
        <v>2.1718164228132109E-2</v>
      </c>
      <c r="S331">
        <f t="shared" si="54"/>
        <v>7.955405817894512E-2</v>
      </c>
      <c r="T331">
        <f t="shared" si="55"/>
        <v>4.3924067974923098E-3</v>
      </c>
      <c r="U331">
        <f t="shared" si="56"/>
        <v>1.5217409370057E-2</v>
      </c>
      <c r="V331">
        <f t="shared" si="57"/>
        <v>1.9370649496868175E-2</v>
      </c>
      <c r="W331">
        <f t="shared" si="58"/>
        <v>1.9274608136469196E-2</v>
      </c>
    </row>
    <row r="332" spans="1:23" x14ac:dyDescent="0.3">
      <c r="A332" t="s">
        <v>177</v>
      </c>
      <c r="B332" s="1">
        <v>13.721641</v>
      </c>
      <c r="C332" s="1">
        <v>9.1775590000000005</v>
      </c>
      <c r="D332" s="1">
        <v>16.282755000000002</v>
      </c>
      <c r="E332" s="1">
        <v>16.57131</v>
      </c>
      <c r="F332" s="1">
        <v>5.2238100000000003</v>
      </c>
      <c r="G332" s="1">
        <v>5.1542570000000003</v>
      </c>
      <c r="H332" s="1">
        <v>3467.26001</v>
      </c>
      <c r="I332" s="1">
        <v>37.426048000000002</v>
      </c>
      <c r="J332" s="1">
        <v>9.8246819999999992</v>
      </c>
      <c r="K332" s="1">
        <v>1.4440040000000001</v>
      </c>
      <c r="L332" s="1">
        <v>17.445827000000001</v>
      </c>
      <c r="M332">
        <f t="shared" si="52"/>
        <v>4.5148281340377849E-2</v>
      </c>
      <c r="N332">
        <f t="shared" si="52"/>
        <v>4.1774106912182196E-2</v>
      </c>
      <c r="O332">
        <f t="shared" si="52"/>
        <v>1.0922322336404999E-2</v>
      </c>
      <c r="P332">
        <f t="shared" si="52"/>
        <v>4.928917057286597E-3</v>
      </c>
      <c r="Q332">
        <f t="shared" si="53"/>
        <v>-6.8553051141206911E-3</v>
      </c>
      <c r="R332">
        <f t="shared" si="53"/>
        <v>4.6342633371023734E-3</v>
      </c>
      <c r="S332">
        <f t="shared" si="54"/>
        <v>1.9969475628004218E-2</v>
      </c>
      <c r="T332">
        <f t="shared" si="55"/>
        <v>1.9559424947399595E-3</v>
      </c>
      <c r="U332">
        <f t="shared" si="56"/>
        <v>-9.2304610015938593E-3</v>
      </c>
      <c r="V332">
        <f t="shared" si="57"/>
        <v>-1.7706292732958873E-2</v>
      </c>
      <c r="W332">
        <f t="shared" si="58"/>
        <v>9.5326245907281226E-3</v>
      </c>
    </row>
    <row r="333" spans="1:23" x14ac:dyDescent="0.3">
      <c r="A333" t="s">
        <v>176</v>
      </c>
      <c r="B333" s="1">
        <v>13.128894000000001</v>
      </c>
      <c r="C333" s="1">
        <v>8.8095479999999995</v>
      </c>
      <c r="D333" s="1">
        <v>16.106831</v>
      </c>
      <c r="E333" s="1">
        <v>16.490031999999999</v>
      </c>
      <c r="F333" s="1">
        <v>5.259868</v>
      </c>
      <c r="G333" s="1">
        <v>5.1304809999999996</v>
      </c>
      <c r="H333" s="1">
        <v>3434.5200199999999</v>
      </c>
      <c r="I333" s="1">
        <v>36.693302000000003</v>
      </c>
      <c r="J333" s="1">
        <v>9.8055029999999999</v>
      </c>
      <c r="K333" s="1">
        <v>1.457457</v>
      </c>
      <c r="L333" s="1">
        <v>17.760296</v>
      </c>
      <c r="M333">
        <f t="shared" si="52"/>
        <v>-4.3609328065985498E-3</v>
      </c>
      <c r="N333">
        <f t="shared" si="52"/>
        <v>8.3202708526122215E-3</v>
      </c>
      <c r="O333">
        <f t="shared" si="52"/>
        <v>9.8039848774200689E-3</v>
      </c>
      <c r="P333">
        <f t="shared" si="52"/>
        <v>-3.8188882217488063E-3</v>
      </c>
      <c r="Q333">
        <f t="shared" si="53"/>
        <v>0</v>
      </c>
      <c r="R333">
        <f t="shared" si="53"/>
        <v>-1.8385278460666399E-2</v>
      </c>
      <c r="S333">
        <f t="shared" si="54"/>
        <v>1.748976556749593E-2</v>
      </c>
      <c r="T333">
        <f t="shared" si="55"/>
        <v>-1.2554267706823441E-2</v>
      </c>
      <c r="U333">
        <f t="shared" si="56"/>
        <v>-9.2267427473080588E-4</v>
      </c>
      <c r="V333">
        <f t="shared" si="57"/>
        <v>-7.6055485547714685E-3</v>
      </c>
      <c r="W333">
        <f t="shared" si="58"/>
        <v>-2.7584044067200386E-3</v>
      </c>
    </row>
    <row r="334" spans="1:23" x14ac:dyDescent="0.3">
      <c r="A334" t="s">
        <v>175</v>
      </c>
      <c r="B334" s="1">
        <v>13.186399</v>
      </c>
      <c r="C334" s="1">
        <v>8.7368550000000003</v>
      </c>
      <c r="D334" s="1">
        <v>15.950453</v>
      </c>
      <c r="E334" s="1">
        <v>16.553246999999999</v>
      </c>
      <c r="F334" s="1">
        <v>5.259868</v>
      </c>
      <c r="G334" s="1">
        <v>5.2265730000000001</v>
      </c>
      <c r="H334" s="1">
        <v>3444.0200199999999</v>
      </c>
      <c r="I334" s="1">
        <v>36.062576</v>
      </c>
      <c r="J334" s="1">
        <v>9.9301689999999994</v>
      </c>
      <c r="K334" s="1">
        <v>1.4588030000000001</v>
      </c>
      <c r="L334" s="1">
        <v>17.896408000000001</v>
      </c>
      <c r="M334">
        <f t="shared" si="52"/>
        <v>3.4351170187114199E-2</v>
      </c>
      <c r="N334">
        <f t="shared" si="52"/>
        <v>2.6147161599543001E-2</v>
      </c>
      <c r="O334">
        <f t="shared" si="52"/>
        <v>3.6900134484350033E-3</v>
      </c>
      <c r="P334">
        <f t="shared" si="52"/>
        <v>5.5267646893448763E-2</v>
      </c>
      <c r="Q334">
        <f t="shared" si="53"/>
        <v>5.4677159430484013E-2</v>
      </c>
      <c r="R334">
        <f t="shared" si="53"/>
        <v>5.4356550909287815E-2</v>
      </c>
      <c r="S334">
        <f t="shared" si="54"/>
        <v>7.2539448240789284E-3</v>
      </c>
      <c r="T334">
        <f t="shared" si="55"/>
        <v>6.1180559844969729E-2</v>
      </c>
      <c r="U334">
        <f t="shared" si="56"/>
        <v>3.6647856677404222E-2</v>
      </c>
      <c r="V334">
        <f t="shared" si="57"/>
        <v>-9.8674615873184379E-3</v>
      </c>
      <c r="W334">
        <f t="shared" si="58"/>
        <v>3.2135669235015873E-2</v>
      </c>
    </row>
    <row r="335" spans="1:23" x14ac:dyDescent="0.3">
      <c r="A335" t="s">
        <v>174</v>
      </c>
      <c r="B335" s="1">
        <v>12.748474</v>
      </c>
      <c r="C335" s="1">
        <v>8.5142319999999998</v>
      </c>
      <c r="D335" s="1">
        <v>15.891812</v>
      </c>
      <c r="E335" s="1">
        <v>15.686302</v>
      </c>
      <c r="F335" s="1">
        <v>4.9871829999999999</v>
      </c>
      <c r="G335" s="1">
        <v>4.9571209999999999</v>
      </c>
      <c r="H335" s="1">
        <v>3336.790039</v>
      </c>
      <c r="I335" s="1">
        <v>35.802864</v>
      </c>
      <c r="J335" s="1">
        <v>9.3576619999999995</v>
      </c>
      <c r="K335" s="1">
        <v>1.4072309999999999</v>
      </c>
      <c r="L335" s="1">
        <v>18.074760000000001</v>
      </c>
      <c r="M335">
        <f t="shared" si="52"/>
        <v>3.818434921177305E-2</v>
      </c>
      <c r="N335">
        <f t="shared" si="52"/>
        <v>4.1111153501139031E-2</v>
      </c>
      <c r="O335">
        <f t="shared" si="52"/>
        <v>3.7036800777303647E-3</v>
      </c>
      <c r="P335">
        <f t="shared" si="52"/>
        <v>6.7609133810379252E-2</v>
      </c>
      <c r="Q335">
        <f t="shared" si="53"/>
        <v>6.0882012211076031E-2</v>
      </c>
      <c r="R335">
        <f t="shared" si="53"/>
        <v>2.5409766039762305E-2</v>
      </c>
      <c r="S335">
        <f t="shared" si="54"/>
        <v>-1.076371525105424E-2</v>
      </c>
      <c r="T335">
        <f t="shared" si="55"/>
        <v>6.1806447864759306E-2</v>
      </c>
      <c r="U335">
        <f t="shared" si="56"/>
        <v>-9.1569288484449896E-3</v>
      </c>
      <c r="V335">
        <f t="shared" si="57"/>
        <v>5.075019327956265E-2</v>
      </c>
      <c r="W335">
        <f t="shared" si="58"/>
        <v>2.5439389782331956E-2</v>
      </c>
    </row>
    <row r="336" spans="1:23" x14ac:dyDescent="0.3">
      <c r="A336" t="s">
        <v>173</v>
      </c>
      <c r="B336" s="1">
        <v>12.279586</v>
      </c>
      <c r="C336" s="1">
        <v>8.1780240000000006</v>
      </c>
      <c r="D336" s="1">
        <v>15.833171</v>
      </c>
      <c r="E336" s="1">
        <v>14.692926</v>
      </c>
      <c r="F336" s="1">
        <v>4.7009780000000001</v>
      </c>
      <c r="G336" s="1">
        <v>4.8342830000000001</v>
      </c>
      <c r="H336" s="1">
        <v>3254.01001</v>
      </c>
      <c r="I336" s="1">
        <v>36.192428999999997</v>
      </c>
      <c r="J336" s="1">
        <v>8.8129639999999991</v>
      </c>
      <c r="K336" s="1">
        <v>1.4202360000000001</v>
      </c>
      <c r="L336" s="1">
        <v>17.201767</v>
      </c>
      <c r="M336">
        <f t="shared" si="52"/>
        <v>1.2399675889268158E-2</v>
      </c>
      <c r="N336">
        <f t="shared" si="52"/>
        <v>2.681127193895505E-2</v>
      </c>
      <c r="O336">
        <f t="shared" si="52"/>
        <v>-1.0988941660283857E-2</v>
      </c>
      <c r="P336">
        <f t="shared" si="52"/>
        <v>3.1051992705900089E-2</v>
      </c>
      <c r="Q336">
        <f t="shared" si="53"/>
        <v>9.1920414927784133E-3</v>
      </c>
      <c r="R336">
        <f t="shared" si="53"/>
        <v>-4.9953144485610501E-3</v>
      </c>
      <c r="S336">
        <f t="shared" si="54"/>
        <v>5.1468591539479469E-2</v>
      </c>
      <c r="T336">
        <f t="shared" si="55"/>
        <v>1.5469349707502467E-2</v>
      </c>
      <c r="U336">
        <f t="shared" si="56"/>
        <v>0.27086716902319652</v>
      </c>
      <c r="V336">
        <f t="shared" si="57"/>
        <v>2.1876908221329927E-3</v>
      </c>
      <c r="W336">
        <f t="shared" si="58"/>
        <v>-1.2206216146456561E-2</v>
      </c>
    </row>
    <row r="337" spans="1:23" x14ac:dyDescent="0.3">
      <c r="A337" t="s">
        <v>172</v>
      </c>
      <c r="B337" s="1">
        <v>12.129187999999999</v>
      </c>
      <c r="C337" s="1">
        <v>7.964486</v>
      </c>
      <c r="D337" s="1">
        <v>16.009094000000001</v>
      </c>
      <c r="E337" s="1">
        <v>14.250422</v>
      </c>
      <c r="F337" s="1">
        <v>4.6581599999999996</v>
      </c>
      <c r="G337" s="1">
        <v>4.8585529999999997</v>
      </c>
      <c r="H337" s="1">
        <v>3294.219971</v>
      </c>
      <c r="I337" s="1">
        <v>34.420836999999999</v>
      </c>
      <c r="J337" s="1">
        <v>8.6787100000000006</v>
      </c>
      <c r="K337" s="1">
        <v>1.1175330000000001</v>
      </c>
      <c r="L337" s="1">
        <v>17.164217000000001</v>
      </c>
      <c r="M337">
        <f t="shared" si="52"/>
        <v>5.8687324875021929E-2</v>
      </c>
      <c r="N337">
        <f t="shared" si="52"/>
        <v>1.1540690500772222E-2</v>
      </c>
      <c r="O337">
        <f t="shared" si="52"/>
        <v>-1.9161798448092626E-2</v>
      </c>
      <c r="P337">
        <f t="shared" si="52"/>
        <v>7.0198155844456434E-3</v>
      </c>
      <c r="Q337">
        <f t="shared" si="53"/>
        <v>1.4727640597470559E-2</v>
      </c>
      <c r="R337">
        <f t="shared" si="53"/>
        <v>-1.3576098368038081E-2</v>
      </c>
      <c r="S337">
        <f t="shared" si="54"/>
        <v>-2.187658218342925E-2</v>
      </c>
      <c r="T337">
        <f t="shared" si="55"/>
        <v>5.5557100417575889E-3</v>
      </c>
      <c r="U337">
        <f t="shared" si="56"/>
        <v>2.4773570700869607E-2</v>
      </c>
      <c r="V337">
        <f t="shared" si="57"/>
        <v>2.6670423819792566E-2</v>
      </c>
      <c r="W337">
        <f t="shared" si="58"/>
        <v>9.5307107568545213E-3</v>
      </c>
    </row>
    <row r="338" spans="1:23" x14ac:dyDescent="0.3">
      <c r="A338" t="s">
        <v>171</v>
      </c>
      <c r="B338" s="1">
        <v>11.456818</v>
      </c>
      <c r="C338" s="1">
        <v>7.8736189999999997</v>
      </c>
      <c r="D338" s="1">
        <v>16.321850000000001</v>
      </c>
      <c r="E338" s="1">
        <v>14.151084000000001</v>
      </c>
      <c r="F338" s="1">
        <v>4.5905519999999997</v>
      </c>
      <c r="G338" s="1">
        <v>4.925421</v>
      </c>
      <c r="H338" s="1">
        <v>3263.1201169999999</v>
      </c>
      <c r="I338" s="1">
        <v>35.190688999999999</v>
      </c>
      <c r="J338" s="1">
        <v>8.6307600000000004</v>
      </c>
      <c r="K338" s="1">
        <v>1.090517</v>
      </c>
      <c r="L338" s="1">
        <v>16.718332</v>
      </c>
      <c r="M338">
        <f t="shared" si="52"/>
        <v>-3.1775704409787942E-2</v>
      </c>
      <c r="N338">
        <f t="shared" si="52"/>
        <v>-1.8686244702936228E-2</v>
      </c>
      <c r="O338">
        <f t="shared" si="52"/>
        <v>-3.3564777807856938E-2</v>
      </c>
      <c r="P338">
        <f t="shared" si="52"/>
        <v>4.1653704582562678E-3</v>
      </c>
      <c r="Q338">
        <f t="shared" si="53"/>
        <v>-6.2154709112921425E-2</v>
      </c>
      <c r="R338">
        <f t="shared" si="53"/>
        <v>-3.1365537889347928E-2</v>
      </c>
      <c r="S338">
        <f t="shared" si="54"/>
        <v>1.7703795171325698E-2</v>
      </c>
      <c r="T338">
        <f t="shared" si="55"/>
        <v>-2.6606161412607299E-2</v>
      </c>
      <c r="U338">
        <f t="shared" si="56"/>
        <v>1.5337360480576212E-2</v>
      </c>
      <c r="V338">
        <f t="shared" si="57"/>
        <v>-3.3576843543020596E-3</v>
      </c>
      <c r="W338">
        <f t="shared" si="58"/>
        <v>-3.528196796887384E-2</v>
      </c>
    </row>
    <row r="339" spans="1:23" x14ac:dyDescent="0.3">
      <c r="A339" t="s">
        <v>170</v>
      </c>
      <c r="B339" s="1">
        <v>11.832814000000001</v>
      </c>
      <c r="C339" s="1">
        <v>8.0235489999999992</v>
      </c>
      <c r="D339" s="1">
        <v>16.888715999999999</v>
      </c>
      <c r="E339" s="1">
        <v>14.092383999999999</v>
      </c>
      <c r="F339" s="1">
        <v>4.8947859999999999</v>
      </c>
      <c r="G339" s="1">
        <v>5.0849120000000001</v>
      </c>
      <c r="H339" s="1">
        <v>3382.459961</v>
      </c>
      <c r="I339" s="1">
        <v>34.578518000000003</v>
      </c>
      <c r="J339" s="1">
        <v>8.8666680000000007</v>
      </c>
      <c r="K339" s="1">
        <v>1.074044</v>
      </c>
      <c r="L339" s="1">
        <v>16.774656</v>
      </c>
      <c r="M339">
        <f t="shared" si="52"/>
        <v>2.0213617966457154E-2</v>
      </c>
      <c r="N339">
        <f t="shared" si="52"/>
        <v>3.456350673819264E-2</v>
      </c>
      <c r="O339">
        <f t="shared" si="52"/>
        <v>1.7667852188203437E-2</v>
      </c>
      <c r="P339">
        <f t="shared" si="52"/>
        <v>7.1771930227510161E-2</v>
      </c>
      <c r="Q339">
        <f t="shared" si="53"/>
        <v>5.3346193541833786E-2</v>
      </c>
      <c r="R339">
        <f t="shared" si="53"/>
        <v>4.3716788038901111E-2</v>
      </c>
      <c r="S339">
        <f t="shared" si="54"/>
        <v>1.9693610517083515E-2</v>
      </c>
      <c r="T339">
        <f t="shared" si="55"/>
        <v>5.1637987198404955E-2</v>
      </c>
      <c r="U339">
        <f t="shared" si="56"/>
        <v>1.9068321272322164E-2</v>
      </c>
      <c r="V339">
        <f t="shared" si="57"/>
        <v>6.7503020729583696E-2</v>
      </c>
      <c r="W339">
        <f t="shared" si="58"/>
        <v>4.879875202900319E-2</v>
      </c>
    </row>
    <row r="340" spans="1:23" x14ac:dyDescent="0.3">
      <c r="A340" t="s">
        <v>169</v>
      </c>
      <c r="B340" s="1">
        <v>11.598369</v>
      </c>
      <c r="C340" s="1">
        <v>7.7554920000000003</v>
      </c>
      <c r="D340" s="1">
        <v>16.595509</v>
      </c>
      <c r="E340" s="1">
        <v>13.148678</v>
      </c>
      <c r="F340" s="1">
        <v>4.6468920000000002</v>
      </c>
      <c r="G340" s="1">
        <v>4.8719270000000003</v>
      </c>
      <c r="H340" s="1">
        <v>3225.080078</v>
      </c>
      <c r="I340" s="1">
        <v>33.910693999999999</v>
      </c>
      <c r="J340" s="1">
        <v>8.4312930000000001</v>
      </c>
      <c r="K340" s="1">
        <v>1.053947</v>
      </c>
      <c r="L340" s="1">
        <v>15.713919000000001</v>
      </c>
      <c r="M340">
        <f t="shared" si="52"/>
        <v>7.6327558951305718E-4</v>
      </c>
      <c r="N340">
        <f t="shared" si="52"/>
        <v>-1.3864779239247671E-2</v>
      </c>
      <c r="O340">
        <f t="shared" si="52"/>
        <v>-5.8547042057675025E-3</v>
      </c>
      <c r="P340">
        <f t="shared" si="52"/>
        <v>-1.4551553016798335E-2</v>
      </c>
      <c r="Q340">
        <f t="shared" si="53"/>
        <v>5.7435775838430292E-2</v>
      </c>
      <c r="R340">
        <f t="shared" si="53"/>
        <v>-2.5945583690661911E-2</v>
      </c>
      <c r="S340">
        <f t="shared" si="54"/>
        <v>2.9569224118727533E-2</v>
      </c>
      <c r="T340">
        <f t="shared" si="55"/>
        <v>4.9164418298304646E-2</v>
      </c>
      <c r="U340">
        <f t="shared" si="56"/>
        <v>2.2044890779217452E-2</v>
      </c>
      <c r="V340">
        <f t="shared" si="57"/>
        <v>1.94883924737832E-2</v>
      </c>
      <c r="W340">
        <f t="shared" si="58"/>
        <v>4.9827177054930782E-3</v>
      </c>
    </row>
    <row r="341" spans="1:23" x14ac:dyDescent="0.3">
      <c r="A341" t="s">
        <v>168</v>
      </c>
      <c r="B341" s="1">
        <v>11.589523</v>
      </c>
      <c r="C341" s="1">
        <v>7.8645319999999996</v>
      </c>
      <c r="D341" s="1">
        <v>16.693242999999999</v>
      </c>
      <c r="E341" s="1">
        <v>13.342836999999999</v>
      </c>
      <c r="F341" s="1">
        <v>4.3944910000000004</v>
      </c>
      <c r="G341" s="1">
        <v>5.0016990000000003</v>
      </c>
      <c r="H341" s="1">
        <v>3209.0900879999999</v>
      </c>
      <c r="I341" s="1">
        <v>32.936779000000001</v>
      </c>
      <c r="J341" s="1">
        <v>8.0361980000000006</v>
      </c>
      <c r="K341" s="1">
        <v>1.0312140000000001</v>
      </c>
      <c r="L341" s="1">
        <v>15.413534</v>
      </c>
      <c r="M341">
        <f t="shared" si="52"/>
        <v>-5.9245919260496271E-2</v>
      </c>
      <c r="N341">
        <f t="shared" si="52"/>
        <v>-6.3146052395669505E-3</v>
      </c>
      <c r="O341">
        <f t="shared" si="52"/>
        <v>1.66666220045526E-2</v>
      </c>
      <c r="P341">
        <f t="shared" si="52"/>
        <v>-0.12470383855151057</v>
      </c>
      <c r="Q341">
        <f t="shared" si="53"/>
        <v>-4.7386469240025542E-2</v>
      </c>
      <c r="R341">
        <f t="shared" si="53"/>
        <v>-2.2648103027921418E-2</v>
      </c>
      <c r="S341">
        <f t="shared" si="54"/>
        <v>-7.2687152969713731E-3</v>
      </c>
      <c r="T341">
        <f t="shared" si="55"/>
        <v>-2.9418428711114775E-2</v>
      </c>
      <c r="U341">
        <f t="shared" si="56"/>
        <v>-2.3706419099951304E-2</v>
      </c>
      <c r="V341">
        <f t="shared" si="57"/>
        <v>-5.4512135326733047E-3</v>
      </c>
      <c r="W341">
        <f t="shared" si="58"/>
        <v>-3.3892540994023612E-2</v>
      </c>
    </row>
    <row r="342" spans="1:23" x14ac:dyDescent="0.3">
      <c r="A342" t="s">
        <v>167</v>
      </c>
      <c r="B342" s="1">
        <v>12.319397</v>
      </c>
      <c r="C342" s="1">
        <v>7.9145089999999998</v>
      </c>
      <c r="D342" s="1">
        <v>16.419584</v>
      </c>
      <c r="E342" s="1">
        <v>15.243797000000001</v>
      </c>
      <c r="F342" s="1">
        <v>4.6130890000000004</v>
      </c>
      <c r="G342" s="1">
        <v>5.1176029999999999</v>
      </c>
      <c r="H342" s="1">
        <v>3321.669922</v>
      </c>
      <c r="I342" s="1">
        <v>33.17794</v>
      </c>
      <c r="J342" s="1">
        <v>8.279776</v>
      </c>
      <c r="K342" s="1">
        <v>1.056254</v>
      </c>
      <c r="L342" s="1">
        <v>15.498017000000001</v>
      </c>
      <c r="M342">
        <f t="shared" si="52"/>
        <v>5.8130724020158953E-2</v>
      </c>
      <c r="N342">
        <f t="shared" si="52"/>
        <v>4.7504461931141106E-2</v>
      </c>
      <c r="O342">
        <f t="shared" si="52"/>
        <v>-3.5587568710369055E-3</v>
      </c>
      <c r="P342">
        <f t="shared" si="52"/>
        <v>7.3791310063976212E-2</v>
      </c>
      <c r="Q342">
        <f t="shared" si="53"/>
        <v>8.3743954351447325E-3</v>
      </c>
      <c r="R342">
        <f t="shared" si="53"/>
        <v>9.7048051559684767E-2</v>
      </c>
      <c r="S342">
        <f t="shared" si="54"/>
        <v>8.3611076264076711E-2</v>
      </c>
      <c r="T342">
        <f t="shared" si="55"/>
        <v>7.7030515729112903E-3</v>
      </c>
      <c r="U342">
        <f t="shared" si="56"/>
        <v>-1.7768900147113187E-2</v>
      </c>
      <c r="V342">
        <f t="shared" si="57"/>
        <v>1.2883500617741905E-2</v>
      </c>
      <c r="W342">
        <f t="shared" si="58"/>
        <v>2.1360916317165302E-2</v>
      </c>
    </row>
    <row r="343" spans="1:23" x14ac:dyDescent="0.3">
      <c r="A343" t="s">
        <v>166</v>
      </c>
      <c r="B343" s="1">
        <v>11.642604</v>
      </c>
      <c r="C343" s="1">
        <v>7.5555849999999998</v>
      </c>
      <c r="D343" s="1">
        <v>16.478225999999999</v>
      </c>
      <c r="E343" s="1">
        <v>14.196237999999999</v>
      </c>
      <c r="F343" s="1">
        <v>4.5747780000000002</v>
      </c>
      <c r="G343" s="1">
        <v>4.6648849999999999</v>
      </c>
      <c r="H343" s="1">
        <v>3252.1999510000001</v>
      </c>
      <c r="I343" s="1">
        <v>30.617940999999998</v>
      </c>
      <c r="J343" s="1">
        <v>8.2164839999999995</v>
      </c>
      <c r="K343" s="1">
        <v>1.0753619999999999</v>
      </c>
      <c r="L343" s="1">
        <v>15.300888</v>
      </c>
      <c r="M343">
        <f t="shared" si="52"/>
        <v>3.1347912953153534E-2</v>
      </c>
      <c r="N343">
        <f t="shared" si="52"/>
        <v>2.1390492165304531E-2</v>
      </c>
      <c r="O343">
        <f t="shared" si="52"/>
        <v>-1.518687944266961E-2</v>
      </c>
      <c r="P343">
        <f t="shared" si="52"/>
        <v>4.1749563963642267E-2</v>
      </c>
      <c r="Q343">
        <f t="shared" si="53"/>
        <v>1.4492985022695803E-2</v>
      </c>
      <c r="R343">
        <f t="shared" si="53"/>
        <v>5.340214375443586E-2</v>
      </c>
      <c r="S343">
        <f t="shared" si="54"/>
        <v>6.1519614471198025E-2</v>
      </c>
      <c r="T343">
        <f t="shared" si="55"/>
        <v>3.5783480050177507E-2</v>
      </c>
      <c r="U343">
        <f t="shared" si="56"/>
        <v>1.0525662940100267E-2</v>
      </c>
      <c r="V343">
        <f t="shared" si="57"/>
        <v>5.5520998553864054E-3</v>
      </c>
      <c r="W343">
        <f t="shared" si="58"/>
        <v>4.5027868890515022E-2</v>
      </c>
    </row>
    <row r="344" spans="1:23" x14ac:dyDescent="0.3">
      <c r="A344" t="s">
        <v>165</v>
      </c>
      <c r="B344" s="1">
        <v>11.288726</v>
      </c>
      <c r="C344" s="1">
        <v>7.3973519999999997</v>
      </c>
      <c r="D344" s="1">
        <v>16.732337999999999</v>
      </c>
      <c r="E344" s="1">
        <v>13.627304000000001</v>
      </c>
      <c r="F344" s="1">
        <v>4.509423</v>
      </c>
      <c r="G344" s="1">
        <v>4.4283989999999998</v>
      </c>
      <c r="H344" s="1">
        <v>3112.070068</v>
      </c>
      <c r="I344" s="1">
        <v>28.843499999999999</v>
      </c>
      <c r="J344" s="1">
        <v>7.9326270000000001</v>
      </c>
      <c r="K344" s="1">
        <v>1.0641609999999999</v>
      </c>
      <c r="L344" s="1">
        <v>15.216405</v>
      </c>
      <c r="M344">
        <f t="shared" si="52"/>
        <v>3.9088017742152203E-2</v>
      </c>
      <c r="N344">
        <f t="shared" si="52"/>
        <v>3.9530492403722306E-2</v>
      </c>
      <c r="O344">
        <f t="shared" si="52"/>
        <v>4.1362516785189873E-2</v>
      </c>
      <c r="P344">
        <f t="shared" si="52"/>
        <v>6.9833350892643642E-2</v>
      </c>
      <c r="Q344">
        <f t="shared" si="53"/>
        <v>7.8706104678978095E-2</v>
      </c>
      <c r="R344">
        <f t="shared" si="53"/>
        <v>6.59339151633489E-2</v>
      </c>
      <c r="S344">
        <f t="shared" si="54"/>
        <v>-2.4017027956488968E-2</v>
      </c>
      <c r="T344">
        <f t="shared" si="55"/>
        <v>0.12360760581997465</v>
      </c>
      <c r="U344">
        <f t="shared" si="56"/>
        <v>2.2152573532942865E-2</v>
      </c>
      <c r="V344">
        <f t="shared" si="57"/>
        <v>0.13435967190324916</v>
      </c>
      <c r="W344">
        <f t="shared" si="58"/>
        <v>6.8918311811977828E-2</v>
      </c>
    </row>
    <row r="345" spans="1:23" x14ac:dyDescent="0.3">
      <c r="A345" t="s">
        <v>164</v>
      </c>
      <c r="B345" s="1">
        <v>10.864070999999999</v>
      </c>
      <c r="C345" s="1">
        <v>7.1160509999999997</v>
      </c>
      <c r="D345" s="1">
        <v>16.067736</v>
      </c>
      <c r="E345" s="1">
        <v>12.737781999999999</v>
      </c>
      <c r="F345" s="1">
        <v>4.1803999999999997</v>
      </c>
      <c r="G345" s="1">
        <v>4.1544780000000001</v>
      </c>
      <c r="H345" s="1">
        <v>2911.419922</v>
      </c>
      <c r="I345" s="1">
        <v>29.553281999999999</v>
      </c>
      <c r="J345" s="1">
        <v>7.0599619999999996</v>
      </c>
      <c r="K345" s="1">
        <v>1.0410980000000001</v>
      </c>
      <c r="L345" s="1">
        <v>13.414092</v>
      </c>
      <c r="M345">
        <f t="shared" si="52"/>
        <v>-5.3199652691082067E-2</v>
      </c>
      <c r="N345">
        <f t="shared" si="52"/>
        <v>-7.0074652240991631E-2</v>
      </c>
      <c r="O345">
        <f t="shared" si="52"/>
        <v>-5.9496597643189042E-2</v>
      </c>
      <c r="P345">
        <f t="shared" si="52"/>
        <v>-5.7467426832418567E-2</v>
      </c>
      <c r="Q345">
        <f t="shared" si="53"/>
        <v>0.28933641922000763</v>
      </c>
      <c r="R345">
        <f t="shared" si="53"/>
        <v>-7.3885574941879195E-2</v>
      </c>
      <c r="S345">
        <f t="shared" si="54"/>
        <v>-1.5079704696698171E-2</v>
      </c>
      <c r="T345">
        <f t="shared" si="55"/>
        <v>-8.3872685646868006E-2</v>
      </c>
      <c r="U345">
        <f t="shared" si="56"/>
        <v>-2.5894179587246158E-2</v>
      </c>
      <c r="V345">
        <f t="shared" si="57"/>
        <v>-9.1544760177994844E-2</v>
      </c>
      <c r="W345">
        <f t="shared" si="58"/>
        <v>-4.251338397149651E-2</v>
      </c>
    </row>
    <row r="346" spans="1:23" x14ac:dyDescent="0.3">
      <c r="A346" t="s">
        <v>163</v>
      </c>
      <c r="B346" s="1">
        <v>11.474511</v>
      </c>
      <c r="C346" s="1">
        <v>7.6522819999999996</v>
      </c>
      <c r="D346" s="1">
        <v>17.084187</v>
      </c>
      <c r="E346" s="1">
        <v>13.514421</v>
      </c>
      <c r="F346" s="1">
        <v>3.2422879999999998</v>
      </c>
      <c r="G346" s="1">
        <v>4.4859229999999997</v>
      </c>
      <c r="H346" s="1">
        <v>3040.6899410000001</v>
      </c>
      <c r="I346" s="1">
        <v>30.005759999999999</v>
      </c>
      <c r="J346" s="1">
        <v>7.7063110000000004</v>
      </c>
      <c r="K346" s="1">
        <v>1.068773</v>
      </c>
      <c r="L346" s="1">
        <v>14.765826000000001</v>
      </c>
      <c r="M346">
        <f t="shared" si="52"/>
        <v>-1.1809615179251165E-2</v>
      </c>
      <c r="N346">
        <f t="shared" si="52"/>
        <v>2.4720401709875439E-2</v>
      </c>
      <c r="O346">
        <f t="shared" si="52"/>
        <v>6.3260374703691946E-2</v>
      </c>
      <c r="P346">
        <f t="shared" si="52"/>
        <v>2.3947998942594806E-2</v>
      </c>
      <c r="Q346">
        <f t="shared" si="53"/>
        <v>2.7975008373946064E-3</v>
      </c>
      <c r="R346">
        <f t="shared" si="53"/>
        <v>-1.1180277465050459E-3</v>
      </c>
      <c r="S346">
        <f t="shared" si="54"/>
        <v>7.3650755211251751E-2</v>
      </c>
      <c r="T346">
        <f t="shared" si="55"/>
        <v>5.4870200489798071E-2</v>
      </c>
      <c r="U346">
        <f t="shared" si="56"/>
        <v>9.3343117172810519E-3</v>
      </c>
      <c r="V346">
        <f t="shared" si="57"/>
        <v>0.10774637125515096</v>
      </c>
      <c r="W346">
        <f t="shared" si="58"/>
        <v>9.5352776676138618E-3</v>
      </c>
    </row>
    <row r="347" spans="1:23" x14ac:dyDescent="0.3">
      <c r="A347" t="s">
        <v>162</v>
      </c>
      <c r="B347" s="1">
        <v>11.61164</v>
      </c>
      <c r="C347" s="1">
        <v>7.4676780000000003</v>
      </c>
      <c r="D347" s="1">
        <v>16.067736</v>
      </c>
      <c r="E347" s="1">
        <v>13.198347</v>
      </c>
      <c r="F347" s="1">
        <v>3.2332429999999999</v>
      </c>
      <c r="G347" s="1">
        <v>4.4909439999999998</v>
      </c>
      <c r="H347" s="1">
        <v>3011.969971</v>
      </c>
      <c r="I347" s="1">
        <v>27.947412</v>
      </c>
      <c r="J347" s="1">
        <v>7.3054589999999999</v>
      </c>
      <c r="K347" s="1">
        <v>1.058889</v>
      </c>
      <c r="L347" s="1">
        <v>13.329609</v>
      </c>
      <c r="M347">
        <f t="shared" si="52"/>
        <v>5.4216957712623248E-2</v>
      </c>
      <c r="N347">
        <f t="shared" si="52"/>
        <v>3.7240598803093938E-2</v>
      </c>
      <c r="O347">
        <f t="shared" si="52"/>
        <v>6.8920706308212676E-2</v>
      </c>
      <c r="P347">
        <f t="shared" si="52"/>
        <v>-3.2439547388909085E-2</v>
      </c>
      <c r="Q347">
        <f t="shared" si="53"/>
        <v>2.3958446816434664E-2</v>
      </c>
      <c r="R347">
        <f t="shared" si="53"/>
        <v>6.0364060505963435E-2</v>
      </c>
      <c r="S347">
        <f t="shared" si="54"/>
        <v>3.5043318237961696E-3</v>
      </c>
      <c r="T347">
        <f t="shared" si="55"/>
        <v>7.4946980707054411E-2</v>
      </c>
      <c r="U347">
        <f t="shared" si="56"/>
        <v>5.1013753941714812E-2</v>
      </c>
      <c r="V347">
        <f t="shared" si="57"/>
        <v>6.9137615361768434E-2</v>
      </c>
      <c r="W347">
        <f t="shared" si="58"/>
        <v>3.6551525464761259E-2</v>
      </c>
    </row>
    <row r="348" spans="1:23" x14ac:dyDescent="0.3">
      <c r="A348" t="s">
        <v>161</v>
      </c>
      <c r="B348" s="1">
        <v>11.014469</v>
      </c>
      <c r="C348" s="1">
        <v>7.1995620000000002</v>
      </c>
      <c r="D348" s="1">
        <v>15.031738000000001</v>
      </c>
      <c r="E348" s="1">
        <v>13.64085</v>
      </c>
      <c r="F348" s="1">
        <v>3.1575920000000002</v>
      </c>
      <c r="G348" s="1">
        <v>4.2352850000000002</v>
      </c>
      <c r="H348" s="1">
        <v>2905.76001</v>
      </c>
      <c r="I348" s="1">
        <v>27.849817000000002</v>
      </c>
      <c r="J348" s="1">
        <v>6.7961109999999998</v>
      </c>
      <c r="K348" s="1">
        <v>1.007493</v>
      </c>
      <c r="L348" s="1">
        <v>12.467627</v>
      </c>
      <c r="M348">
        <f t="shared" si="52"/>
        <v>1.9656008965629246E-2</v>
      </c>
      <c r="N348">
        <f t="shared" si="52"/>
        <v>-4.2665158949856785E-2</v>
      </c>
      <c r="O348">
        <f t="shared" si="52"/>
        <v>6.2154654165546219E-2</v>
      </c>
      <c r="P348">
        <f t="shared" si="52"/>
        <v>-0.11147065502027531</v>
      </c>
      <c r="Q348">
        <f t="shared" si="53"/>
        <v>-8.8751699792907979E-2</v>
      </c>
      <c r="R348">
        <f t="shared" si="53"/>
        <v>-1.5180316837144159E-2</v>
      </c>
      <c r="S348">
        <f t="shared" si="54"/>
        <v>-3.4450846811239888E-2</v>
      </c>
      <c r="T348">
        <f t="shared" si="55"/>
        <v>-8.4384031303962215E-2</v>
      </c>
      <c r="U348">
        <f t="shared" si="56"/>
        <v>-6.1963010826372122E-2</v>
      </c>
      <c r="V348">
        <f t="shared" si="57"/>
        <v>-9.880053560833657E-3</v>
      </c>
      <c r="W348">
        <f t="shared" si="58"/>
        <v>-2.5785592778039934E-2</v>
      </c>
    </row>
    <row r="349" spans="1:23" x14ac:dyDescent="0.3">
      <c r="A349" t="s">
        <v>160</v>
      </c>
      <c r="B349" s="1">
        <v>10.802142</v>
      </c>
      <c r="C349" s="1">
        <v>7.5204219999999999</v>
      </c>
      <c r="D349" s="1">
        <v>14.152118</v>
      </c>
      <c r="E349" s="1">
        <v>15.352166</v>
      </c>
      <c r="F349" s="1">
        <v>3.465128</v>
      </c>
      <c r="G349" s="1">
        <v>4.3005690000000003</v>
      </c>
      <c r="H349" s="1">
        <v>2982.669922</v>
      </c>
      <c r="I349" s="1">
        <v>28.843499999999999</v>
      </c>
      <c r="J349" s="1">
        <v>7.422447</v>
      </c>
      <c r="K349" s="1">
        <v>1.074044</v>
      </c>
      <c r="L349" s="1">
        <v>12.592036999999999</v>
      </c>
      <c r="M349">
        <f t="shared" si="52"/>
        <v>7.9515338633484589E-3</v>
      </c>
      <c r="N349">
        <f t="shared" si="52"/>
        <v>9.4394744122123786E-3</v>
      </c>
      <c r="O349">
        <f t="shared" si="52"/>
        <v>1.5427816075640921E-2</v>
      </c>
      <c r="P349">
        <f t="shared" si="52"/>
        <v>-1.0765222046397405E-2</v>
      </c>
      <c r="Q349">
        <f t="shared" si="53"/>
        <v>1.7382953167173865E-2</v>
      </c>
      <c r="R349">
        <f t="shared" si="53"/>
        <v>1.6290877845710705E-2</v>
      </c>
      <c r="S349">
        <f t="shared" si="54"/>
        <v>4.0986166344634034E-2</v>
      </c>
      <c r="T349">
        <f t="shared" si="55"/>
        <v>1.551335130828746E-2</v>
      </c>
      <c r="U349">
        <f t="shared" si="56"/>
        <v>0.10997614785847443</v>
      </c>
      <c r="V349">
        <f t="shared" si="57"/>
        <v>-6.3450032580567695E-2</v>
      </c>
      <c r="W349">
        <f t="shared" si="58"/>
        <v>1.6134535039932008E-2</v>
      </c>
    </row>
    <row r="350" spans="1:23" x14ac:dyDescent="0.3">
      <c r="A350" t="s">
        <v>159</v>
      </c>
      <c r="B350" s="1">
        <v>10.716926000000001</v>
      </c>
      <c r="C350" s="1">
        <v>7.4500970000000004</v>
      </c>
      <c r="D350" s="1">
        <v>13.937099</v>
      </c>
      <c r="E350" s="1">
        <v>15.519234000000001</v>
      </c>
      <c r="F350" s="1">
        <v>3.405923</v>
      </c>
      <c r="G350" s="1">
        <v>4.2316320000000003</v>
      </c>
      <c r="H350" s="1">
        <v>2935.3100589999999</v>
      </c>
      <c r="I350" s="1">
        <v>27.707861000000001</v>
      </c>
      <c r="J350" s="1">
        <v>7.3090590000000004</v>
      </c>
      <c r="K350" s="1">
        <v>0.96762800000000004</v>
      </c>
      <c r="L350" s="1">
        <v>13.445131</v>
      </c>
      <c r="M350">
        <f t="shared" si="52"/>
        <v>-3.0113917377660449E-2</v>
      </c>
      <c r="N350">
        <f t="shared" si="52"/>
        <v>-4.5608067209838787E-2</v>
      </c>
      <c r="O350">
        <f t="shared" si="52"/>
        <v>-4.4235920152811414E-2</v>
      </c>
      <c r="P350">
        <f t="shared" si="52"/>
        <v>-1.8560803949678184E-2</v>
      </c>
      <c r="Q350">
        <f t="shared" si="53"/>
        <v>-1.4279094980089835E-2</v>
      </c>
      <c r="R350">
        <f t="shared" si="53"/>
        <v>-7.5688111970290017E-2</v>
      </c>
      <c r="S350">
        <f t="shared" si="54"/>
        <v>-8.2565880863200158E-3</v>
      </c>
      <c r="T350">
        <f t="shared" si="55"/>
        <v>-4.3345058555212646E-2</v>
      </c>
      <c r="U350">
        <f t="shared" si="56"/>
        <v>6.8151098949398303E-4</v>
      </c>
      <c r="V350">
        <f t="shared" si="57"/>
        <v>-9.0198450517157358E-2</v>
      </c>
      <c r="W350">
        <f t="shared" si="58"/>
        <v>-5.1746228066465227E-2</v>
      </c>
    </row>
    <row r="351" spans="1:23" x14ac:dyDescent="0.3">
      <c r="A351" t="s">
        <v>158</v>
      </c>
      <c r="B351" s="1">
        <v>11.049675000000001</v>
      </c>
      <c r="C351" s="1">
        <v>7.8061189999999998</v>
      </c>
      <c r="D351" s="1">
        <v>14.582153999999999</v>
      </c>
      <c r="E351" s="1">
        <v>15.812730999999999</v>
      </c>
      <c r="F351" s="1">
        <v>3.4552610000000001</v>
      </c>
      <c r="G351" s="1">
        <v>4.5781429999999999</v>
      </c>
      <c r="H351" s="1">
        <v>3095.48999</v>
      </c>
      <c r="I351" s="1">
        <v>27.938538000000001</v>
      </c>
      <c r="J351" s="1">
        <v>7.640225</v>
      </c>
      <c r="K351" s="1">
        <v>0.96696899999999997</v>
      </c>
      <c r="L351" s="1">
        <v>14.778091999999999</v>
      </c>
      <c r="M351">
        <f t="shared" si="52"/>
        <v>-8.3756580922291768E-3</v>
      </c>
      <c r="N351">
        <f t="shared" si="52"/>
        <v>-2.2564565663289349E-2</v>
      </c>
      <c r="O351">
        <f t="shared" si="52"/>
        <v>-1.7127826022543258E-2</v>
      </c>
      <c r="P351">
        <f t="shared" si="52"/>
        <v>-2.1787664119980232E-2</v>
      </c>
      <c r="Q351">
        <f t="shared" si="53"/>
        <v>-1.4259311975192146E-3</v>
      </c>
      <c r="R351">
        <f t="shared" si="53"/>
        <v>-1.7633127689327788E-2</v>
      </c>
      <c r="S351">
        <f t="shared" si="54"/>
        <v>-3.7297441554711597E-2</v>
      </c>
      <c r="T351">
        <f t="shared" si="55"/>
        <v>-6.552787681617378E-3</v>
      </c>
      <c r="U351">
        <f t="shared" si="56"/>
        <v>2.2648098363499125E-2</v>
      </c>
      <c r="V351">
        <f t="shared" si="57"/>
        <v>-2.2339903532580641E-2</v>
      </c>
      <c r="W351">
        <f t="shared" si="58"/>
        <v>-1.7098851345139332E-2</v>
      </c>
    </row>
    <row r="352" spans="1:23" x14ac:dyDescent="0.3">
      <c r="A352" t="s">
        <v>157</v>
      </c>
      <c r="B352" s="1">
        <v>11.143005</v>
      </c>
      <c r="C352" s="1">
        <v>7.9863270000000002</v>
      </c>
      <c r="D352" s="1">
        <v>14.836266999999999</v>
      </c>
      <c r="E352" s="1">
        <v>16.164926999999999</v>
      </c>
      <c r="F352" s="1">
        <v>3.4601950000000001</v>
      </c>
      <c r="G352" s="1">
        <v>4.6603190000000003</v>
      </c>
      <c r="H352" s="1">
        <v>3149.3400879999999</v>
      </c>
      <c r="I352" s="1">
        <v>29.020945000000001</v>
      </c>
      <c r="J352" s="1">
        <v>7.69062</v>
      </c>
      <c r="K352" s="1">
        <v>0.94555400000000001</v>
      </c>
      <c r="L352" s="1">
        <v>15.115777</v>
      </c>
      <c r="M352">
        <f t="shared" si="52"/>
        <v>-0.13073768065190505</v>
      </c>
      <c r="N352">
        <f t="shared" si="52"/>
        <v>-9.5119590357265804E-2</v>
      </c>
      <c r="O352">
        <f t="shared" si="52"/>
        <v>-9.7674436991763036E-2</v>
      </c>
      <c r="P352">
        <f t="shared" si="52"/>
        <v>-0.14066255880427747</v>
      </c>
      <c r="Q352">
        <f t="shared" si="53"/>
        <v>-0.11111102548116114</v>
      </c>
      <c r="R352">
        <f t="shared" si="53"/>
        <v>-0.13929167445437407</v>
      </c>
      <c r="S352">
        <f t="shared" si="54"/>
        <v>-4.4405479204510212E-2</v>
      </c>
      <c r="T352">
        <f t="shared" si="55"/>
        <v>-0.1011780397046258</v>
      </c>
      <c r="U352">
        <f t="shared" si="56"/>
        <v>-0.13449959450578219</v>
      </c>
      <c r="V352">
        <f t="shared" si="57"/>
        <v>-9.086044447812569E-2</v>
      </c>
      <c r="W352">
        <f t="shared" si="58"/>
        <v>-0.10128241654077486</v>
      </c>
    </row>
    <row r="353" spans="1:23" x14ac:dyDescent="0.3">
      <c r="A353" t="s">
        <v>156</v>
      </c>
      <c r="B353" s="1">
        <v>12.818921</v>
      </c>
      <c r="C353" s="1">
        <v>8.8258369999999999</v>
      </c>
      <c r="D353" s="1">
        <v>16.442254999999999</v>
      </c>
      <c r="E353" s="1">
        <v>18.810918999999998</v>
      </c>
      <c r="F353" s="1">
        <v>3.892719</v>
      </c>
      <c r="G353" s="1">
        <v>5.4145159999999999</v>
      </c>
      <c r="H353" s="1">
        <v>3504.26001</v>
      </c>
      <c r="I353" s="1">
        <v>30.369517999999999</v>
      </c>
      <c r="J353" s="1">
        <v>8.5563330000000004</v>
      </c>
      <c r="K353" s="1">
        <v>1.0924940000000001</v>
      </c>
      <c r="L353" s="1">
        <v>16.626465</v>
      </c>
      <c r="M353">
        <f t="shared" si="52"/>
        <v>-3.7770390888765104E-2</v>
      </c>
      <c r="N353">
        <f t="shared" si="52"/>
        <v>-4.9553597097563573E-3</v>
      </c>
      <c r="O353">
        <f t="shared" si="52"/>
        <v>2.8708222280616091E-2</v>
      </c>
      <c r="P353">
        <f t="shared" si="52"/>
        <v>-2.7090004414861424E-2</v>
      </c>
      <c r="Q353">
        <f t="shared" si="53"/>
        <v>-3.269301254757051E-2</v>
      </c>
      <c r="R353">
        <f t="shared" si="53"/>
        <v>-1.3147184529722189E-2</v>
      </c>
      <c r="S353">
        <f t="shared" si="54"/>
        <v>1.5726858585566772E-2</v>
      </c>
      <c r="T353">
        <f t="shared" si="55"/>
        <v>-1.0613863840743254E-2</v>
      </c>
      <c r="U353">
        <f t="shared" si="56"/>
        <v>-1.1330173192375725E-2</v>
      </c>
      <c r="V353">
        <f t="shared" si="57"/>
        <v>1.0699817818307089E-3</v>
      </c>
      <c r="W353">
        <f t="shared" si="58"/>
        <v>-9.0350831405284771E-3</v>
      </c>
    </row>
    <row r="354" spans="1:23" x14ac:dyDescent="0.3">
      <c r="A354" t="s">
        <v>155</v>
      </c>
      <c r="B354" s="1">
        <v>13.322101999999999</v>
      </c>
      <c r="C354" s="1">
        <v>8.8697900000000001</v>
      </c>
      <c r="D354" s="1">
        <v>15.9834</v>
      </c>
      <c r="E354" s="1">
        <v>19.334696000000001</v>
      </c>
      <c r="F354" s="1">
        <v>4.0242849999999999</v>
      </c>
      <c r="G354" s="1">
        <v>5.48665</v>
      </c>
      <c r="H354" s="1">
        <v>3536.209961</v>
      </c>
      <c r="I354" s="1">
        <v>29.899296</v>
      </c>
      <c r="J354" s="1">
        <v>8.648123</v>
      </c>
      <c r="K354" s="1">
        <v>1.1050139999999999</v>
      </c>
      <c r="L354" s="1">
        <v>16.608694</v>
      </c>
      <c r="M354">
        <f t="shared" si="52"/>
        <v>-3.6960844611113708E-2</v>
      </c>
      <c r="N354">
        <f t="shared" si="52"/>
        <v>-2.8873894045115089E-2</v>
      </c>
      <c r="O354">
        <f t="shared" si="52"/>
        <v>-8.3037206200343716E-3</v>
      </c>
      <c r="P354">
        <f t="shared" si="52"/>
        <v>-4.034071988929222E-2</v>
      </c>
      <c r="Q354">
        <f t="shared" si="53"/>
        <v>2.0472786407981225E-3</v>
      </c>
      <c r="R354">
        <f t="shared" si="53"/>
        <v>-1.4917934215588957E-2</v>
      </c>
      <c r="S354">
        <f t="shared" si="54"/>
        <v>-2.5729905963777999E-2</v>
      </c>
      <c r="T354">
        <f t="shared" si="55"/>
        <v>-1.247268280362368E-3</v>
      </c>
      <c r="U354">
        <f t="shared" si="56"/>
        <v>-1.4109212118184056E-2</v>
      </c>
      <c r="V354">
        <f t="shared" si="57"/>
        <v>3.1457070343389182E-2</v>
      </c>
      <c r="W354">
        <f t="shared" si="58"/>
        <v>-1.6610394216814872E-2</v>
      </c>
    </row>
    <row r="355" spans="1:23" x14ac:dyDescent="0.3">
      <c r="A355" t="s">
        <v>154</v>
      </c>
      <c r="B355" s="1">
        <v>13.833396</v>
      </c>
      <c r="C355" s="1">
        <v>9.1335099999999994</v>
      </c>
      <c r="D355" s="1">
        <v>16.117232999999999</v>
      </c>
      <c r="E355" s="1">
        <v>20.147459000000001</v>
      </c>
      <c r="F355" s="1">
        <v>4.0160629999999999</v>
      </c>
      <c r="G355" s="1">
        <v>5.5697390000000002</v>
      </c>
      <c r="H355" s="1">
        <v>3595.9399410000001</v>
      </c>
      <c r="I355" s="1">
        <v>30.688918999999999</v>
      </c>
      <c r="J355" s="1">
        <v>8.6589229999999997</v>
      </c>
      <c r="K355" s="1">
        <v>1.1208279999999999</v>
      </c>
      <c r="L355" s="1">
        <v>16.102167000000001</v>
      </c>
      <c r="M355">
        <f t="shared" si="52"/>
        <v>-0.10029033391001207</v>
      </c>
      <c r="N355">
        <f t="shared" si="52"/>
        <v>-6.9829849370344754E-2</v>
      </c>
      <c r="O355">
        <f t="shared" si="52"/>
        <v>-4.8532747368168816E-2</v>
      </c>
      <c r="P355">
        <f t="shared" si="52"/>
        <v>-5.9046730083239796E-2</v>
      </c>
      <c r="Q355">
        <f t="shared" si="53"/>
        <v>-9.0502627559195137E-2</v>
      </c>
      <c r="R355">
        <f t="shared" si="53"/>
        <v>-0.10883862311195325</v>
      </c>
      <c r="S355">
        <f t="shared" si="54"/>
        <v>-3.0820886675064219E-2</v>
      </c>
      <c r="T355">
        <f t="shared" si="55"/>
        <v>-6.4917282942304699E-2</v>
      </c>
      <c r="U355">
        <f t="shared" si="56"/>
        <v>-6.4356443908701877E-2</v>
      </c>
      <c r="V355">
        <f t="shared" si="57"/>
        <v>-9.0817943686631097E-2</v>
      </c>
      <c r="W355">
        <f t="shared" si="58"/>
        <v>-7.2977215260672912E-2</v>
      </c>
    </row>
    <row r="356" spans="1:23" x14ac:dyDescent="0.3">
      <c r="A356" t="s">
        <v>153</v>
      </c>
      <c r="B356" s="1">
        <v>15.375400000000001</v>
      </c>
      <c r="C356" s="1">
        <v>9.8191819999999996</v>
      </c>
      <c r="D356" s="1">
        <v>16.939346</v>
      </c>
      <c r="E356" s="1">
        <v>21.411753000000001</v>
      </c>
      <c r="F356" s="1">
        <v>4.4156950000000004</v>
      </c>
      <c r="G356" s="1">
        <v>6.2499779999999996</v>
      </c>
      <c r="H356" s="1">
        <v>3879.0200199999999</v>
      </c>
      <c r="I356" s="1">
        <v>31.664857999999999</v>
      </c>
      <c r="J356" s="1">
        <v>9.2600610000000003</v>
      </c>
      <c r="K356" s="1">
        <v>1.1979219999999999</v>
      </c>
      <c r="L356" s="1">
        <v>17.710608000000001</v>
      </c>
      <c r="M356">
        <f t="shared" si="52"/>
        <v>-4.6552690871464741E-2</v>
      </c>
      <c r="N356">
        <f t="shared" si="52"/>
        <v>-1.7872749399370225E-3</v>
      </c>
      <c r="O356">
        <f t="shared" si="52"/>
        <v>-3.8002252206589482E-2</v>
      </c>
      <c r="P356">
        <f t="shared" si="52"/>
        <v>-2.4681286837928473E-2</v>
      </c>
      <c r="Q356">
        <f t="shared" si="53"/>
        <v>-1.6483503021693435E-2</v>
      </c>
      <c r="R356">
        <f t="shared" si="53"/>
        <v>-4.0779154047112853E-2</v>
      </c>
      <c r="S356">
        <f t="shared" si="54"/>
        <v>-3.7226994555207837E-2</v>
      </c>
      <c r="T356">
        <f t="shared" si="55"/>
        <v>-2.2327733644975756E-2</v>
      </c>
      <c r="U356">
        <f t="shared" si="56"/>
        <v>-2.1001618149425472E-2</v>
      </c>
      <c r="V356">
        <f t="shared" si="57"/>
        <v>-8.4576054597343964E-3</v>
      </c>
      <c r="W356">
        <f t="shared" si="58"/>
        <v>-3.616296858945689E-2</v>
      </c>
    </row>
    <row r="357" spans="1:23" x14ac:dyDescent="0.3">
      <c r="A357" t="s">
        <v>152</v>
      </c>
      <c r="B357" s="1">
        <v>16.126114000000001</v>
      </c>
      <c r="C357" s="1">
        <v>9.8367629999999995</v>
      </c>
      <c r="D357" s="1">
        <v>17.608509000000002</v>
      </c>
      <c r="E357" s="1">
        <v>21.953596000000001</v>
      </c>
      <c r="F357" s="1">
        <v>4.4897010000000002</v>
      </c>
      <c r="G357" s="1">
        <v>6.515682</v>
      </c>
      <c r="H357" s="1">
        <v>4024.5600589999999</v>
      </c>
      <c r="I357" s="1">
        <v>32.889225000000003</v>
      </c>
      <c r="J357" s="1">
        <v>9.4715389999999999</v>
      </c>
      <c r="K357" s="1">
        <v>1.2236199999999999</v>
      </c>
      <c r="L357" s="1">
        <v>17.861675000000002</v>
      </c>
      <c r="M357">
        <f t="shared" si="52"/>
        <v>-1.5849435670597933E-2</v>
      </c>
      <c r="N357">
        <f t="shared" si="52"/>
        <v>-4.2771632622140121E-2</v>
      </c>
      <c r="O357">
        <f t="shared" si="52"/>
        <v>-1.084490900816637E-3</v>
      </c>
      <c r="P357">
        <f t="shared" si="52"/>
        <v>-5.334899586482611E-2</v>
      </c>
      <c r="Q357">
        <f t="shared" si="53"/>
        <v>-4.9111877002372295E-2</v>
      </c>
      <c r="R357">
        <f t="shared" si="53"/>
        <v>-5.9896774099061911E-3</v>
      </c>
      <c r="S357">
        <f t="shared" si="54"/>
        <v>-1.8013150454350479E-2</v>
      </c>
      <c r="T357">
        <f t="shared" si="55"/>
        <v>-2.7713664983423536E-2</v>
      </c>
      <c r="U357">
        <f t="shared" si="56"/>
        <v>-1.6158820696348108E-2</v>
      </c>
      <c r="V357">
        <f t="shared" si="57"/>
        <v>-6.5985150765718315E-2</v>
      </c>
      <c r="W357">
        <f t="shared" si="58"/>
        <v>-1.8043072048641862E-2</v>
      </c>
    </row>
    <row r="358" spans="1:23" x14ac:dyDescent="0.3">
      <c r="A358" t="s">
        <v>151</v>
      </c>
      <c r="B358" s="1">
        <v>16.385819999999999</v>
      </c>
      <c r="C358" s="1">
        <v>10.276297</v>
      </c>
      <c r="D358" s="1">
        <v>17.627625999999999</v>
      </c>
      <c r="E358" s="1">
        <v>23.190802000000001</v>
      </c>
      <c r="F358" s="1">
        <v>4.7215870000000004</v>
      </c>
      <c r="G358" s="1">
        <v>6.5549439999999999</v>
      </c>
      <c r="H358" s="1">
        <v>4098.5097660000001</v>
      </c>
      <c r="I358" s="1">
        <v>33.492531</v>
      </c>
      <c r="J358" s="1">
        <v>9.7415120000000002</v>
      </c>
      <c r="K358" s="1">
        <v>1.243717</v>
      </c>
      <c r="L358" s="1">
        <v>19.123545</v>
      </c>
      <c r="M358">
        <f t="shared" si="52"/>
        <v>2.8789857097974547E-2</v>
      </c>
      <c r="N358">
        <f t="shared" si="52"/>
        <v>-8.5482974430262093E-4</v>
      </c>
      <c r="O358">
        <f t="shared" si="52"/>
        <v>1.8784394744676414E-2</v>
      </c>
      <c r="P358">
        <f t="shared" si="52"/>
        <v>-2.2830960953734492E-2</v>
      </c>
      <c r="Q358">
        <f t="shared" si="53"/>
        <v>-1.4756367709560791E-2</v>
      </c>
      <c r="R358">
        <f t="shared" si="53"/>
        <v>-2.9165889629605424E-3</v>
      </c>
      <c r="S358">
        <f t="shared" si="54"/>
        <v>2.74903614483335E-2</v>
      </c>
      <c r="T358">
        <f t="shared" si="55"/>
        <v>-5.968974719204323E-3</v>
      </c>
      <c r="U358">
        <f t="shared" si="56"/>
        <v>2.5258083369810835E-2</v>
      </c>
      <c r="V358">
        <f t="shared" si="57"/>
        <v>1.4137596885350323E-2</v>
      </c>
      <c r="W358">
        <f t="shared" si="58"/>
        <v>4.0838635616831098E-3</v>
      </c>
    </row>
    <row r="359" spans="1:23" x14ac:dyDescent="0.3">
      <c r="A359" t="s">
        <v>150</v>
      </c>
      <c r="B359" s="1">
        <v>15.927276000000001</v>
      </c>
      <c r="C359" s="1">
        <v>10.285088999999999</v>
      </c>
      <c r="D359" s="1">
        <v>17.302606999999998</v>
      </c>
      <c r="E359" s="1">
        <v>23.732641000000001</v>
      </c>
      <c r="F359" s="1">
        <v>4.7923039999999997</v>
      </c>
      <c r="G359" s="1">
        <v>6.5741180000000004</v>
      </c>
      <c r="H359" s="1">
        <v>4081.8400879999999</v>
      </c>
      <c r="I359" s="1">
        <v>32.596443000000001</v>
      </c>
      <c r="J359" s="1">
        <v>9.8000080000000001</v>
      </c>
      <c r="K359" s="1">
        <v>1.213077</v>
      </c>
      <c r="L359" s="1">
        <v>18.856953000000001</v>
      </c>
      <c r="M359">
        <f t="shared" si="52"/>
        <v>1.3426281626073511E-2</v>
      </c>
      <c r="N359">
        <f t="shared" si="52"/>
        <v>3.0837045467187574E-2</v>
      </c>
      <c r="O359">
        <f t="shared" si="52"/>
        <v>3.4285832813578443E-2</v>
      </c>
      <c r="P359">
        <f t="shared" si="52"/>
        <v>-1.1286741055900662E-2</v>
      </c>
      <c r="Q359">
        <f t="shared" si="53"/>
        <v>7.9556561297251527E-3</v>
      </c>
      <c r="R359">
        <f t="shared" si="53"/>
        <v>2.2271484039431133E-3</v>
      </c>
      <c r="S359">
        <f t="shared" si="54"/>
        <v>1.6320901613672723E-2</v>
      </c>
      <c r="T359">
        <f t="shared" si="55"/>
        <v>1.6806975539171987E-2</v>
      </c>
      <c r="U359">
        <f t="shared" si="56"/>
        <v>9.8733201411569382E-3</v>
      </c>
      <c r="V359">
        <f t="shared" si="57"/>
        <v>1.8234252023352049E-2</v>
      </c>
      <c r="W359">
        <f t="shared" si="58"/>
        <v>9.9664556290093298E-3</v>
      </c>
    </row>
    <row r="360" spans="1:23" x14ac:dyDescent="0.3">
      <c r="A360" t="s">
        <v>149</v>
      </c>
      <c r="B360" s="1">
        <v>15.716265</v>
      </c>
      <c r="C360" s="1">
        <v>9.9774150000000006</v>
      </c>
      <c r="D360" s="1">
        <v>16.729037999999999</v>
      </c>
      <c r="E360" s="1">
        <v>24.003563</v>
      </c>
      <c r="F360" s="1">
        <v>4.7544789999999999</v>
      </c>
      <c r="G360" s="1">
        <v>6.5595090000000003</v>
      </c>
      <c r="H360" s="1">
        <v>4041.5600589999999</v>
      </c>
      <c r="I360" s="1">
        <v>32.072983000000001</v>
      </c>
      <c r="J360" s="1">
        <v>9.6380219999999994</v>
      </c>
      <c r="K360" s="1">
        <v>1.201217</v>
      </c>
      <c r="L360" s="1">
        <v>18.519268</v>
      </c>
      <c r="M360">
        <f t="shared" si="52"/>
        <v>4.4086892796262322E-3</v>
      </c>
      <c r="N360">
        <f t="shared" si="52"/>
        <v>-1.0462164471663926E-2</v>
      </c>
      <c r="O360">
        <f t="shared" si="52"/>
        <v>3.1839602566560377E-2</v>
      </c>
      <c r="P360">
        <f t="shared" si="52"/>
        <v>-1.8775638582949616E-3</v>
      </c>
      <c r="Q360">
        <f t="shared" si="53"/>
        <v>-1.060897395878857E-2</v>
      </c>
      <c r="R360">
        <f t="shared" si="53"/>
        <v>1.1831134955366585E-2</v>
      </c>
      <c r="S360">
        <f t="shared" si="54"/>
        <v>5.5632542982497757E-3</v>
      </c>
      <c r="T360">
        <f t="shared" si="55"/>
        <v>0</v>
      </c>
      <c r="U360">
        <f t="shared" si="56"/>
        <v>2.2721428997130699E-2</v>
      </c>
      <c r="V360">
        <f t="shared" si="57"/>
        <v>-2.4344669031407307E-2</v>
      </c>
      <c r="W360">
        <f t="shared" si="58"/>
        <v>3.8075517484472687E-3</v>
      </c>
    </row>
    <row r="361" spans="1:23" x14ac:dyDescent="0.3">
      <c r="A361" t="s">
        <v>148</v>
      </c>
      <c r="B361" s="1">
        <v>15.647281</v>
      </c>
      <c r="C361" s="1">
        <v>10.082903999999999</v>
      </c>
      <c r="D361" s="1">
        <v>16.212827999999998</v>
      </c>
      <c r="E361" s="1">
        <v>24.048715999999999</v>
      </c>
      <c r="F361" s="1">
        <v>4.8054600000000001</v>
      </c>
      <c r="G361" s="1">
        <v>6.4828099999999997</v>
      </c>
      <c r="H361" s="1">
        <v>4026.2299800000001</v>
      </c>
      <c r="I361" s="1">
        <v>31.89554</v>
      </c>
      <c r="J361" s="1">
        <v>9.6380219999999994</v>
      </c>
      <c r="K361" s="1">
        <v>1.1745300000000001</v>
      </c>
      <c r="L361" s="1">
        <v>18.981363000000002</v>
      </c>
      <c r="M361">
        <f t="shared" si="52"/>
        <v>-3.8403969764871371E-2</v>
      </c>
      <c r="N361">
        <f t="shared" si="52"/>
        <v>-2.7141495864033693E-2</v>
      </c>
      <c r="O361">
        <f t="shared" si="52"/>
        <v>-5.0391962738749574E-2</v>
      </c>
      <c r="P361">
        <f t="shared" si="52"/>
        <v>-3.128406547596474E-2</v>
      </c>
      <c r="Q361">
        <f t="shared" si="53"/>
        <v>-1.516682358274446E-2</v>
      </c>
      <c r="R361">
        <f t="shared" si="53"/>
        <v>-3.0187296173293854E-2</v>
      </c>
      <c r="S361">
        <f t="shared" si="54"/>
        <v>-1.3446623231421428E-2</v>
      </c>
      <c r="T361">
        <f t="shared" si="55"/>
        <v>-3.2957336739681042E-2</v>
      </c>
      <c r="U361">
        <f t="shared" si="56"/>
        <v>-3.9083630723012797E-2</v>
      </c>
      <c r="V361">
        <f t="shared" si="57"/>
        <v>-2.7322386730268322E-2</v>
      </c>
      <c r="W361">
        <f t="shared" si="58"/>
        <v>-3.0898309096415E-2</v>
      </c>
    </row>
    <row r="362" spans="1:23" x14ac:dyDescent="0.3">
      <c r="A362" t="s">
        <v>147</v>
      </c>
      <c r="B362" s="1">
        <v>16.272197999999999</v>
      </c>
      <c r="C362" s="1">
        <v>10.364204000000001</v>
      </c>
      <c r="D362" s="1">
        <v>17.073179</v>
      </c>
      <c r="E362" s="1">
        <v>24.825354000000001</v>
      </c>
      <c r="F362" s="1">
        <v>4.8794659999999999</v>
      </c>
      <c r="G362" s="1">
        <v>6.6845999999999997</v>
      </c>
      <c r="H362" s="1">
        <v>4154.6000979999999</v>
      </c>
      <c r="I362" s="1">
        <v>32.330272999999998</v>
      </c>
      <c r="J362" s="1">
        <v>9.9664909999999995</v>
      </c>
      <c r="K362" s="1">
        <v>1.222302</v>
      </c>
      <c r="L362" s="1">
        <v>19.514547</v>
      </c>
      <c r="M362">
        <f t="shared" si="52"/>
        <v>-2.7171256847517311E-2</v>
      </c>
      <c r="N362">
        <f t="shared" si="52"/>
        <v>-4.3019507650430056E-2</v>
      </c>
      <c r="O362">
        <f t="shared" si="52"/>
        <v>-2.51091294749195E-2</v>
      </c>
      <c r="P362">
        <f t="shared" si="52"/>
        <v>-2.5177279733259339E-2</v>
      </c>
      <c r="Q362">
        <f t="shared" si="53"/>
        <v>-4.475218884340304E-2</v>
      </c>
      <c r="R362">
        <f t="shared" si="53"/>
        <v>-3.9490993162519694E-2</v>
      </c>
      <c r="S362">
        <f t="shared" si="54"/>
        <v>-2.0430175682985885E-2</v>
      </c>
      <c r="T362">
        <f t="shared" si="55"/>
        <v>-3.8628244301022963E-2</v>
      </c>
      <c r="U362">
        <f t="shared" si="56"/>
        <v>-1.9297101222526925E-2</v>
      </c>
      <c r="V362">
        <f t="shared" si="57"/>
        <v>-2.3131716688506332E-2</v>
      </c>
      <c r="W362">
        <f t="shared" si="58"/>
        <v>-2.8459114783697892E-2</v>
      </c>
    </row>
    <row r="363" spans="1:23" x14ac:dyDescent="0.3">
      <c r="A363" t="s">
        <v>146</v>
      </c>
      <c r="B363" s="1">
        <v>16.726683000000001</v>
      </c>
      <c r="C363" s="1">
        <v>10.830109999999999</v>
      </c>
      <c r="D363" s="1">
        <v>17.512913000000001</v>
      </c>
      <c r="E363" s="1">
        <v>25.466532000000001</v>
      </c>
      <c r="F363" s="1">
        <v>5.1080629999999996</v>
      </c>
      <c r="G363" s="1">
        <v>6.959435</v>
      </c>
      <c r="H363" s="1">
        <v>4276.2998049999997</v>
      </c>
      <c r="I363" s="1">
        <v>33.004562</v>
      </c>
      <c r="J363" s="1">
        <v>10.366948000000001</v>
      </c>
      <c r="K363" s="1">
        <v>1.246353</v>
      </c>
      <c r="L363" s="1">
        <v>19.976641000000001</v>
      </c>
      <c r="M363">
        <f t="shared" si="52"/>
        <v>4.385947793638767E-3</v>
      </c>
      <c r="N363">
        <f t="shared" si="52"/>
        <v>-1.4399988642508577E-2</v>
      </c>
      <c r="O363">
        <f t="shared" si="52"/>
        <v>2.1881378515975491E-3</v>
      </c>
      <c r="P363">
        <f t="shared" si="52"/>
        <v>9.3056224631402618E-3</v>
      </c>
      <c r="Q363">
        <f t="shared" si="53"/>
        <v>3.1550974710753188E-2</v>
      </c>
      <c r="R363">
        <f t="shared" si="53"/>
        <v>-8.0686483624321514E-3</v>
      </c>
      <c r="S363">
        <f t="shared" si="54"/>
        <v>1.4453222589205339E-2</v>
      </c>
      <c r="T363">
        <f t="shared" si="55"/>
        <v>1.676947365561321E-2</v>
      </c>
      <c r="U363">
        <f t="shared" si="56"/>
        <v>-4.9975531149684116E-3</v>
      </c>
      <c r="V363">
        <f t="shared" si="57"/>
        <v>3.403868907398433E-2</v>
      </c>
      <c r="W363">
        <f t="shared" si="58"/>
        <v>9.3444782306164598E-3</v>
      </c>
    </row>
    <row r="364" spans="1:23" x14ac:dyDescent="0.3">
      <c r="A364" t="s">
        <v>145</v>
      </c>
      <c r="B364" s="1">
        <v>16.653641</v>
      </c>
      <c r="C364" s="1">
        <v>10.988341999999999</v>
      </c>
      <c r="D364" s="1">
        <v>17.474675999999999</v>
      </c>
      <c r="E364" s="1">
        <v>25.231735</v>
      </c>
      <c r="F364" s="1">
        <v>4.9518279999999999</v>
      </c>
      <c r="G364" s="1">
        <v>7.0160450000000001</v>
      </c>
      <c r="H364" s="1">
        <v>4236.7099609999996</v>
      </c>
      <c r="I364" s="1">
        <v>32.534336000000003</v>
      </c>
      <c r="J364" s="1">
        <v>10.195967</v>
      </c>
      <c r="K364" s="1">
        <v>1.252613</v>
      </c>
      <c r="L364" s="1">
        <v>19.319046</v>
      </c>
      <c r="M364">
        <f t="shared" si="52"/>
        <v>-2.3786842597505187E-2</v>
      </c>
      <c r="N364">
        <f t="shared" si="52"/>
        <v>-1.6522586518795235E-2</v>
      </c>
      <c r="O364">
        <f t="shared" si="52"/>
        <v>-7.6004731576082563E-3</v>
      </c>
      <c r="P364">
        <f t="shared" si="52"/>
        <v>-1.9993020406474882E-2</v>
      </c>
      <c r="Q364">
        <f t="shared" si="53"/>
        <v>-1.7297513985937707E-2</v>
      </c>
      <c r="R364">
        <f t="shared" si="53"/>
        <v>-2.400601506688016E-2</v>
      </c>
      <c r="S364">
        <f t="shared" si="54"/>
        <v>-3.7785359322265122E-2</v>
      </c>
      <c r="T364">
        <f t="shared" si="55"/>
        <v>-1.9472138483756396E-2</v>
      </c>
      <c r="U364">
        <f t="shared" si="56"/>
        <v>-1.5025308224052347E-2</v>
      </c>
      <c r="V364">
        <f t="shared" si="57"/>
        <v>-2.5112121426969169E-2</v>
      </c>
      <c r="W364">
        <f t="shared" si="58"/>
        <v>-1.8607674998216694E-2</v>
      </c>
    </row>
    <row r="365" spans="1:23" x14ac:dyDescent="0.3">
      <c r="A365" t="s">
        <v>144</v>
      </c>
      <c r="B365" s="1">
        <v>17.059431</v>
      </c>
      <c r="C365" s="1">
        <v>11.172948</v>
      </c>
      <c r="D365" s="1">
        <v>17.608509000000002</v>
      </c>
      <c r="E365" s="1">
        <v>25.746485</v>
      </c>
      <c r="F365" s="1">
        <v>5.0389900000000001</v>
      </c>
      <c r="G365" s="1">
        <v>7.1886150000000004</v>
      </c>
      <c r="H365" s="1">
        <v>4317.0400390000004</v>
      </c>
      <c r="I365" s="1">
        <v>33.811931999999999</v>
      </c>
      <c r="J365" s="1">
        <v>10.398447000000001</v>
      </c>
      <c r="K365" s="1">
        <v>1.2717210000000001</v>
      </c>
      <c r="L365" s="1">
        <v>19.816685</v>
      </c>
      <c r="M365">
        <f t="shared" si="52"/>
        <v>-4.3676085986590119E-2</v>
      </c>
      <c r="N365">
        <f t="shared" si="52"/>
        <v>-4.5078928572374832E-2</v>
      </c>
      <c r="O365">
        <f t="shared" si="52"/>
        <v>-1.07410261388734E-2</v>
      </c>
      <c r="P365">
        <f t="shared" si="52"/>
        <v>-5.5647523795337883E-2</v>
      </c>
      <c r="Q365">
        <f t="shared" si="53"/>
        <v>-6.1849539655600028E-2</v>
      </c>
      <c r="R365">
        <f t="shared" si="53"/>
        <v>-2.9103600828783827E-2</v>
      </c>
      <c r="S365">
        <f t="shared" si="54"/>
        <v>-2.7806173742243367E-2</v>
      </c>
      <c r="T365">
        <f t="shared" si="55"/>
        <v>-4.425133804115966E-2</v>
      </c>
      <c r="U365">
        <f t="shared" si="56"/>
        <v>-2.7952496806903038E-2</v>
      </c>
      <c r="V365">
        <f t="shared" si="57"/>
        <v>-1.8485961927031336E-2</v>
      </c>
      <c r="W365">
        <f t="shared" si="58"/>
        <v>-3.4219230648769527E-2</v>
      </c>
    </row>
    <row r="366" spans="1:23" x14ac:dyDescent="0.3">
      <c r="A366" t="s">
        <v>143</v>
      </c>
      <c r="B366" s="1">
        <v>17.838549</v>
      </c>
      <c r="C366" s="1">
        <v>11.700388999999999</v>
      </c>
      <c r="D366" s="1">
        <v>17.799696000000001</v>
      </c>
      <c r="E366" s="1">
        <v>27.263639000000001</v>
      </c>
      <c r="F366" s="1">
        <v>5.3711960000000003</v>
      </c>
      <c r="G366" s="1">
        <v>7.4041009999999998</v>
      </c>
      <c r="H366" s="1">
        <v>4470</v>
      </c>
      <c r="I366" s="1">
        <v>34.779003000000003</v>
      </c>
      <c r="J366" s="1">
        <v>10.879897</v>
      </c>
      <c r="K366" s="1">
        <v>1.3082910000000001</v>
      </c>
      <c r="L366" s="1">
        <v>20.189914999999999</v>
      </c>
      <c r="M366">
        <f t="shared" si="52"/>
        <v>-4.5290358525931218E-3</v>
      </c>
      <c r="N366">
        <f t="shared" si="52"/>
        <v>6.8080333037581209E-3</v>
      </c>
      <c r="O366">
        <f t="shared" si="52"/>
        <v>7.5756833871423179E-3</v>
      </c>
      <c r="P366">
        <f t="shared" si="52"/>
        <v>2.9899901274224039E-3</v>
      </c>
      <c r="Q366">
        <f t="shared" si="53"/>
        <v>-1.180037660972133E-2</v>
      </c>
      <c r="R366">
        <f t="shared" si="53"/>
        <v>-3.1960834918248748E-3</v>
      </c>
      <c r="S366">
        <f t="shared" si="54"/>
        <v>1.9505923534394842E-2</v>
      </c>
      <c r="T366">
        <f t="shared" si="55"/>
        <v>-8.6100481056482492E-3</v>
      </c>
      <c r="U366">
        <f t="shared" si="56"/>
        <v>-4.0135113428133584E-3</v>
      </c>
      <c r="V366">
        <f t="shared" si="57"/>
        <v>-3.1542956191356608E-2</v>
      </c>
      <c r="W366">
        <f t="shared" si="58"/>
        <v>-3.0910562380347395E-3</v>
      </c>
    </row>
    <row r="367" spans="1:23" x14ac:dyDescent="0.3">
      <c r="A367" t="s">
        <v>142</v>
      </c>
      <c r="B367" s="1">
        <v>17.919708</v>
      </c>
      <c r="C367" s="1">
        <v>11.621271</v>
      </c>
      <c r="D367" s="1">
        <v>17.665865</v>
      </c>
      <c r="E367" s="1">
        <v>27.182364</v>
      </c>
      <c r="F367" s="1">
        <v>5.4353350000000002</v>
      </c>
      <c r="G367" s="1">
        <v>7.4278409999999999</v>
      </c>
      <c r="H367" s="1">
        <v>4483.8598629999997</v>
      </c>
      <c r="I367" s="1">
        <v>34.113585999999998</v>
      </c>
      <c r="J367" s="1">
        <v>10.974387</v>
      </c>
      <c r="K367" s="1">
        <v>1.313563</v>
      </c>
      <c r="L367" s="1">
        <v>20.847507</v>
      </c>
      <c r="M367">
        <f t="shared" si="52"/>
        <v>-2.4303939502373861E-2</v>
      </c>
      <c r="N367">
        <f t="shared" si="52"/>
        <v>2.4012312885961729E-2</v>
      </c>
      <c r="O367">
        <f t="shared" si="52"/>
        <v>4.3479056804023308E-3</v>
      </c>
      <c r="P367">
        <f t="shared" si="52"/>
        <v>-1.1169538463687623E-2</v>
      </c>
      <c r="Q367">
        <f t="shared" si="53"/>
        <v>-6.0147488444605157E-3</v>
      </c>
      <c r="R367">
        <f t="shared" si="53"/>
        <v>3.8253755134611822E-3</v>
      </c>
      <c r="S367">
        <f t="shared" si="54"/>
        <v>-1.0550753497629795E-2</v>
      </c>
      <c r="T367">
        <f t="shared" si="55"/>
        <v>1.7097553954594114E-2</v>
      </c>
      <c r="U367">
        <f t="shared" si="56"/>
        <v>1.7586178758246529E-3</v>
      </c>
      <c r="V367">
        <f t="shared" si="57"/>
        <v>-2.4937732373782273E-2</v>
      </c>
      <c r="W367">
        <f t="shared" si="58"/>
        <v>-4.1798023098144066E-3</v>
      </c>
    </row>
    <row r="368" spans="1:23" x14ac:dyDescent="0.3">
      <c r="A368" t="s">
        <v>141</v>
      </c>
      <c r="B368" s="1">
        <v>18.366076</v>
      </c>
      <c r="C368" s="1">
        <v>11.348761</v>
      </c>
      <c r="D368" s="1">
        <v>17.589388</v>
      </c>
      <c r="E368" s="1">
        <v>27.489408000000001</v>
      </c>
      <c r="F368" s="1">
        <v>5.4682250000000003</v>
      </c>
      <c r="G368" s="1">
        <v>7.3995350000000002</v>
      </c>
      <c r="H368" s="1">
        <v>4502.6801759999998</v>
      </c>
      <c r="I368" s="1">
        <v>34.477347999999999</v>
      </c>
      <c r="J368" s="1">
        <v>10.789906</v>
      </c>
      <c r="K368" s="1">
        <v>1.3112569999999999</v>
      </c>
      <c r="L368" s="1">
        <v>21.380693000000001</v>
      </c>
      <c r="M368">
        <f t="shared" si="52"/>
        <v>1.9369324592080517E-2</v>
      </c>
      <c r="N368">
        <f t="shared" si="52"/>
        <v>1.0963244935211502E-2</v>
      </c>
      <c r="O368">
        <f t="shared" si="52"/>
        <v>2.2222103407610883E-2</v>
      </c>
      <c r="P368">
        <f t="shared" si="52"/>
        <v>-5.5537168293561257E-3</v>
      </c>
      <c r="Q368">
        <f t="shared" si="53"/>
        <v>1.4647394849707451E-2</v>
      </c>
      <c r="R368">
        <f t="shared" si="53"/>
        <v>1.0977998233409947E-2</v>
      </c>
      <c r="S368">
        <f t="shared" si="54"/>
        <v>7.2576038606875226E-3</v>
      </c>
      <c r="T368">
        <f t="shared" si="55"/>
        <v>1.1387630293451245E-2</v>
      </c>
      <c r="U368">
        <f t="shared" si="56"/>
        <v>7.0850793221670649E-3</v>
      </c>
      <c r="V368">
        <f t="shared" si="57"/>
        <v>1.6047324790860351E-2</v>
      </c>
      <c r="W368">
        <f t="shared" si="58"/>
        <v>9.8435083545318491E-3</v>
      </c>
    </row>
    <row r="369" spans="1:23" x14ac:dyDescent="0.3">
      <c r="A369" t="s">
        <v>140</v>
      </c>
      <c r="B369" s="1">
        <v>18.017097</v>
      </c>
      <c r="C369" s="1">
        <v>11.225690999999999</v>
      </c>
      <c r="D369" s="1">
        <v>17.207011999999999</v>
      </c>
      <c r="E369" s="1">
        <v>27.642928999999999</v>
      </c>
      <c r="F369" s="1">
        <v>5.3892860000000002</v>
      </c>
      <c r="G369" s="1">
        <v>7.3191850000000001</v>
      </c>
      <c r="H369" s="1">
        <v>4458.7900390000004</v>
      </c>
      <c r="I369" s="1">
        <v>34.228928000000003</v>
      </c>
      <c r="J369" s="1">
        <v>10.668418000000001</v>
      </c>
      <c r="K369" s="1">
        <v>1.3020320000000001</v>
      </c>
      <c r="L369" s="1">
        <v>21.043009000000001</v>
      </c>
      <c r="M369">
        <f t="shared" si="52"/>
        <v>1.3531561323310015E-3</v>
      </c>
      <c r="N369">
        <f t="shared" si="52"/>
        <v>-2.0705504011632625E-2</v>
      </c>
      <c r="O369">
        <f t="shared" si="52"/>
        <v>8.9686561440500689E-3</v>
      </c>
      <c r="P369">
        <f t="shared" si="52"/>
        <v>-3.4689324246918396E-2</v>
      </c>
      <c r="Q369">
        <f t="shared" si="53"/>
        <v>-0.72888490731213285</v>
      </c>
      <c r="R369">
        <f t="shared" si="53"/>
        <v>-1.6683050389991738E-2</v>
      </c>
      <c r="S369">
        <f t="shared" si="54"/>
        <v>-1.430744578269183E-2</v>
      </c>
      <c r="T369">
        <f t="shared" si="55"/>
        <v>-3.6570593002424268E-2</v>
      </c>
      <c r="U369">
        <f t="shared" si="56"/>
        <v>7.3927814576197903E-3</v>
      </c>
      <c r="V369">
        <f t="shared" si="57"/>
        <v>-1.3333333958507887E-2</v>
      </c>
      <c r="W369">
        <f t="shared" si="58"/>
        <v>-1.4932428507348772E-2</v>
      </c>
    </row>
    <row r="370" spans="1:23" x14ac:dyDescent="0.3">
      <c r="A370" t="s">
        <v>139</v>
      </c>
      <c r="B370" s="1">
        <v>17.992750000000001</v>
      </c>
      <c r="C370" s="1">
        <v>11.463039</v>
      </c>
      <c r="D370" s="1">
        <v>17.05406</v>
      </c>
      <c r="E370" s="1">
        <v>28.636303000000002</v>
      </c>
      <c r="F370" s="1">
        <v>19.878222000000001</v>
      </c>
      <c r="G370" s="1">
        <v>7.4433629999999997</v>
      </c>
      <c r="H370" s="1">
        <v>4526.3798829999996</v>
      </c>
      <c r="I370" s="1">
        <v>34.725765000000003</v>
      </c>
      <c r="J370" s="1">
        <v>11.073378</v>
      </c>
      <c r="K370" s="1">
        <v>1.2924770000000001</v>
      </c>
      <c r="L370" s="1">
        <v>21.327373999999999</v>
      </c>
      <c r="M370">
        <f t="shared" si="52"/>
        <v>0</v>
      </c>
      <c r="N370">
        <f t="shared" si="52"/>
        <v>1.5360678445546228E-3</v>
      </c>
      <c r="O370">
        <f t="shared" si="52"/>
        <v>-7.7863537766210689E-3</v>
      </c>
      <c r="P370">
        <f t="shared" si="52"/>
        <v>-2.2804357340108106E-2</v>
      </c>
      <c r="Q370">
        <f t="shared" si="53"/>
        <v>3.3091975846957222E-3</v>
      </c>
      <c r="R370">
        <f t="shared" si="53"/>
        <v>2.0897054743094223E-3</v>
      </c>
      <c r="S370">
        <f t="shared" si="54"/>
        <v>-1.0210217656972942E-3</v>
      </c>
      <c r="T370">
        <f t="shared" si="55"/>
        <v>5.7213263406616921E-3</v>
      </c>
      <c r="U370">
        <f t="shared" si="56"/>
        <v>0</v>
      </c>
      <c r="V370">
        <f t="shared" si="57"/>
        <v>-6.6225399993117273E-3</v>
      </c>
      <c r="W370">
        <f t="shared" si="58"/>
        <v>-4.4406974447909198E-3</v>
      </c>
    </row>
    <row r="371" spans="1:23" x14ac:dyDescent="0.3">
      <c r="A371" t="s">
        <v>138</v>
      </c>
      <c r="B371" s="1">
        <v>17.992750000000001</v>
      </c>
      <c r="C371" s="1">
        <v>11.445458</v>
      </c>
      <c r="D371" s="1">
        <v>17.187891</v>
      </c>
      <c r="E371" s="1">
        <v>29.304575</v>
      </c>
      <c r="F371" s="1">
        <v>19.812657999999999</v>
      </c>
      <c r="G371" s="1">
        <v>7.4278409999999999</v>
      </c>
      <c r="H371" s="1">
        <v>4546.5698240000002</v>
      </c>
      <c r="I371" s="1">
        <v>34.761257000000001</v>
      </c>
      <c r="J371" s="1">
        <v>11.010384</v>
      </c>
      <c r="K371" s="1">
        <v>1.2924770000000001</v>
      </c>
      <c r="L371" s="1">
        <v>21.469557000000002</v>
      </c>
      <c r="M371">
        <f t="shared" si="52"/>
        <v>6.8119246059570315E-3</v>
      </c>
      <c r="N371">
        <f t="shared" si="52"/>
        <v>-7.6740088044180421E-4</v>
      </c>
      <c r="O371">
        <f t="shared" si="52"/>
        <v>2.3918001686365598E-2</v>
      </c>
      <c r="P371">
        <f t="shared" si="52"/>
        <v>2.1618351540420022E-3</v>
      </c>
      <c r="Q371">
        <f t="shared" si="53"/>
        <v>1.506557142867182E-3</v>
      </c>
      <c r="R371">
        <f t="shared" si="53"/>
        <v>8.6128733081647368E-4</v>
      </c>
      <c r="S371">
        <f t="shared" si="54"/>
        <v>2.3024731063367998E-3</v>
      </c>
      <c r="T371">
        <f t="shared" si="55"/>
        <v>-1.4101527704303063E-2</v>
      </c>
      <c r="U371">
        <f t="shared" si="56"/>
        <v>4.3516202403182103E-3</v>
      </c>
      <c r="V371">
        <f t="shared" si="57"/>
        <v>7.5062878934242239E-3</v>
      </c>
      <c r="W371">
        <f t="shared" si="58"/>
        <v>-3.8475746379262876E-4</v>
      </c>
    </row>
    <row r="372" spans="1:23" x14ac:dyDescent="0.3">
      <c r="A372" t="s">
        <v>137</v>
      </c>
      <c r="B372" s="1">
        <v>17.871013999999999</v>
      </c>
      <c r="C372" s="1">
        <v>11.454248</v>
      </c>
      <c r="D372" s="1">
        <v>16.786394000000001</v>
      </c>
      <c r="E372" s="1">
        <v>29.24136</v>
      </c>
      <c r="F372" s="1">
        <v>19.782854</v>
      </c>
      <c r="G372" s="1">
        <v>7.421449</v>
      </c>
      <c r="H372" s="1">
        <v>4548.3198240000002</v>
      </c>
      <c r="I372" s="1">
        <v>34.681404000000001</v>
      </c>
      <c r="J372" s="1">
        <v>11.167868</v>
      </c>
      <c r="K372" s="1">
        <v>1.286877</v>
      </c>
      <c r="L372" s="1">
        <v>21.309601000000001</v>
      </c>
      <c r="M372">
        <f t="shared" si="52"/>
        <v>3.6463937105548627E-3</v>
      </c>
      <c r="N372">
        <f t="shared" si="52"/>
        <v>-1.1381041609306308E-2</v>
      </c>
      <c r="O372">
        <f t="shared" si="52"/>
        <v>1.7381197653690172E-2</v>
      </c>
      <c r="P372">
        <f t="shared" si="52"/>
        <v>3.0897299729271133E-4</v>
      </c>
      <c r="Q372">
        <f t="shared" si="53"/>
        <v>-3.1796965889763995E-2</v>
      </c>
      <c r="R372">
        <f t="shared" si="53"/>
        <v>-3.1886363126577555E-3</v>
      </c>
      <c r="S372">
        <f t="shared" si="54"/>
        <v>7.4741211930682283E-3</v>
      </c>
      <c r="T372">
        <f t="shared" si="55"/>
        <v>-4.811500979071015E-3</v>
      </c>
      <c r="U372">
        <f t="shared" si="56"/>
        <v>-6.6124098088452543E-3</v>
      </c>
      <c r="V372">
        <f t="shared" si="57"/>
        <v>-1.9623899339298756E-2</v>
      </c>
      <c r="W372">
        <f t="shared" si="58"/>
        <v>-2.2419930312255199E-3</v>
      </c>
    </row>
    <row r="373" spans="1:23" x14ac:dyDescent="0.3">
      <c r="A373" t="s">
        <v>136</v>
      </c>
      <c r="B373" s="1">
        <v>17.806086000000001</v>
      </c>
      <c r="C373" s="1">
        <v>11.58611</v>
      </c>
      <c r="D373" s="1">
        <v>16.499611000000002</v>
      </c>
      <c r="E373" s="1">
        <v>29.232327999999999</v>
      </c>
      <c r="F373" s="1">
        <v>20.432547</v>
      </c>
      <c r="G373" s="1">
        <v>7.4451890000000001</v>
      </c>
      <c r="H373" s="1">
        <v>4558.5400390000004</v>
      </c>
      <c r="I373" s="1">
        <v>34.424114000000003</v>
      </c>
      <c r="J373" s="1">
        <v>11.221862</v>
      </c>
      <c r="K373" s="1">
        <v>1.2954429999999999</v>
      </c>
      <c r="L373" s="1">
        <v>21.736149000000001</v>
      </c>
      <c r="M373">
        <f t="shared" si="52"/>
        <v>-9.4807575905833108E-3</v>
      </c>
      <c r="N373">
        <f t="shared" si="52"/>
        <v>-1.6417755485948815E-2</v>
      </c>
      <c r="O373">
        <f t="shared" si="52"/>
        <v>-1.145475351690739E-2</v>
      </c>
      <c r="P373">
        <f t="shared" si="52"/>
        <v>-8.5758313631916216E-3</v>
      </c>
      <c r="Q373">
        <f t="shared" si="53"/>
        <v>1.3002344141277877E-2</v>
      </c>
      <c r="R373">
        <f t="shared" si="53"/>
        <v>6.5424272887881774E-3</v>
      </c>
      <c r="S373">
        <f t="shared" si="54"/>
        <v>-2.267009484304594E-2</v>
      </c>
      <c r="T373">
        <f t="shared" si="55"/>
        <v>8.0256041655002441E-4</v>
      </c>
      <c r="U373">
        <f t="shared" si="56"/>
        <v>1.3141306388037233E-2</v>
      </c>
      <c r="V373">
        <f t="shared" si="57"/>
        <v>6.5843856566227821E-3</v>
      </c>
      <c r="W373">
        <f t="shared" si="58"/>
        <v>-5.0093296782960373E-3</v>
      </c>
    </row>
    <row r="374" spans="1:23" x14ac:dyDescent="0.3">
      <c r="A374" t="s">
        <v>135</v>
      </c>
      <c r="B374" s="1">
        <v>17.976517000000001</v>
      </c>
      <c r="C374" s="1">
        <v>11.779503</v>
      </c>
      <c r="D374" s="1">
        <v>16.690799999999999</v>
      </c>
      <c r="E374" s="1">
        <v>29.485188000000001</v>
      </c>
      <c r="F374" s="1">
        <v>20.170286000000001</v>
      </c>
      <c r="G374" s="1">
        <v>7.3967960000000001</v>
      </c>
      <c r="H374" s="1">
        <v>4581.4902339999999</v>
      </c>
      <c r="I374" s="1">
        <v>35.222614</v>
      </c>
      <c r="J374" s="1">
        <v>11.212863</v>
      </c>
      <c r="K374" s="1">
        <v>1.27864</v>
      </c>
      <c r="L374" s="1">
        <v>21.593966000000002</v>
      </c>
      <c r="M374">
        <f t="shared" si="52"/>
        <v>6.8181741808075458E-3</v>
      </c>
      <c r="N374">
        <f t="shared" si="52"/>
        <v>-4.9645453583911481E-2</v>
      </c>
      <c r="O374">
        <f t="shared" si="52"/>
        <v>-2.2857261726585421E-3</v>
      </c>
      <c r="P374">
        <f t="shared" si="52"/>
        <v>8.3384630537020055E-3</v>
      </c>
      <c r="Q374">
        <f t="shared" si="53"/>
        <v>1.6216253798350344E-2</v>
      </c>
      <c r="R374">
        <f t="shared" si="53"/>
        <v>7.4617148541844536E-3</v>
      </c>
      <c r="S374">
        <f t="shared" si="54"/>
        <v>7.103181758111532E-3</v>
      </c>
      <c r="T374">
        <f t="shared" si="55"/>
        <v>2.2988370469916308E-2</v>
      </c>
      <c r="U374">
        <f t="shared" si="56"/>
        <v>2.8423172728813118E-3</v>
      </c>
      <c r="V374">
        <f t="shared" si="57"/>
        <v>1.6736486385955374E-2</v>
      </c>
      <c r="W374">
        <f t="shared" si="58"/>
        <v>1.4162773588567212E-2</v>
      </c>
    </row>
    <row r="375" spans="1:23" x14ac:dyDescent="0.3">
      <c r="A375" t="s">
        <v>134</v>
      </c>
      <c r="B375" s="1">
        <v>17.854780000000002</v>
      </c>
      <c r="C375" s="1">
        <v>12.394850999999999</v>
      </c>
      <c r="D375" s="1">
        <v>16.729037999999999</v>
      </c>
      <c r="E375" s="1">
        <v>29.24136</v>
      </c>
      <c r="F375" s="1">
        <v>19.848419</v>
      </c>
      <c r="G375" s="1">
        <v>7.3420120000000004</v>
      </c>
      <c r="H375" s="1">
        <v>4517.5097660000001</v>
      </c>
      <c r="I375" s="1">
        <v>34.974186000000003</v>
      </c>
      <c r="J375" s="1">
        <v>10.960889999999999</v>
      </c>
      <c r="K375" s="1">
        <v>1.2750159999999999</v>
      </c>
      <c r="L375" s="1">
        <v>21.238507999999999</v>
      </c>
      <c r="M375">
        <f t="shared" si="52"/>
        <v>4.5661483874166464E-3</v>
      </c>
      <c r="N375">
        <f t="shared" si="52"/>
        <v>2.2480065729883814E-2</v>
      </c>
      <c r="O375">
        <f t="shared" si="52"/>
        <v>6.904463467519717E-3</v>
      </c>
      <c r="P375">
        <f t="shared" si="52"/>
        <v>-6.7483959681702288E-3</v>
      </c>
      <c r="Q375">
        <f t="shared" si="53"/>
        <v>-5.970212789399687E-3</v>
      </c>
      <c r="R375">
        <f t="shared" si="53"/>
        <v>1.6193410714280265E-3</v>
      </c>
      <c r="S375">
        <f t="shared" si="54"/>
        <v>1.3107115853428608E-2</v>
      </c>
      <c r="T375">
        <f t="shared" si="55"/>
        <v>2.8818617831749549E-3</v>
      </c>
      <c r="U375">
        <f t="shared" si="56"/>
        <v>-4.117045631174876E-3</v>
      </c>
      <c r="V375">
        <f t="shared" si="57"/>
        <v>-1.076170318744829E-2</v>
      </c>
      <c r="W375">
        <f t="shared" si="58"/>
        <v>-1.8141751168769815E-3</v>
      </c>
    </row>
    <row r="376" spans="1:23" x14ac:dyDescent="0.3">
      <c r="A376" t="s">
        <v>133</v>
      </c>
      <c r="B376" s="1">
        <v>17.773623000000001</v>
      </c>
      <c r="C376" s="1">
        <v>12.122339999999999</v>
      </c>
      <c r="D376" s="1">
        <v>16.614325000000001</v>
      </c>
      <c r="E376" s="1">
        <v>29.440033</v>
      </c>
      <c r="F376" s="1">
        <v>19.96763</v>
      </c>
      <c r="G376" s="1">
        <v>7.3301420000000004</v>
      </c>
      <c r="H376" s="1">
        <v>4525.7202150000003</v>
      </c>
      <c r="I376" s="1">
        <v>34.521706000000002</v>
      </c>
      <c r="J376" s="1">
        <v>10.929392999999999</v>
      </c>
      <c r="K376" s="1">
        <v>1.280287</v>
      </c>
      <c r="L376" s="1">
        <v>21.469557000000002</v>
      </c>
      <c r="M376">
        <f t="shared" si="52"/>
        <v>-4.0926976604702681E-3</v>
      </c>
      <c r="N376">
        <f t="shared" si="52"/>
        <v>-7.2458212878778738E-4</v>
      </c>
      <c r="O376">
        <f t="shared" si="52"/>
        <v>1.164144290103919E-2</v>
      </c>
      <c r="P376">
        <f t="shared" si="52"/>
        <v>8.975519484721195E-3</v>
      </c>
      <c r="Q376">
        <f t="shared" si="53"/>
        <v>-4.5584006773572994E-2</v>
      </c>
      <c r="R376">
        <f t="shared" si="53"/>
        <v>1.3636395064391627E-2</v>
      </c>
      <c r="S376">
        <f t="shared" si="54"/>
        <v>-9.6717470787619497E-3</v>
      </c>
      <c r="T376">
        <f t="shared" si="55"/>
        <v>-2.6062430637625034E-2</v>
      </c>
      <c r="U376">
        <f t="shared" si="56"/>
        <v>-3.8452291381535497E-3</v>
      </c>
      <c r="V376">
        <f t="shared" si="57"/>
        <v>-9.8359858854211168E-3</v>
      </c>
      <c r="W376">
        <f t="shared" si="58"/>
        <v>8.8857773575974353E-3</v>
      </c>
    </row>
    <row r="377" spans="1:23" x14ac:dyDescent="0.3">
      <c r="A377" t="s">
        <v>132</v>
      </c>
      <c r="B377" s="1">
        <v>17.846664000000001</v>
      </c>
      <c r="C377" s="1">
        <v>12.131130000000001</v>
      </c>
      <c r="D377" s="1">
        <v>16.423136</v>
      </c>
      <c r="E377" s="1">
        <v>29.178144</v>
      </c>
      <c r="F377" s="1">
        <v>20.921306999999999</v>
      </c>
      <c r="G377" s="1">
        <v>7.2315300000000002</v>
      </c>
      <c r="H377" s="1">
        <v>4485.8598629999997</v>
      </c>
      <c r="I377" s="1">
        <v>34.858851999999999</v>
      </c>
      <c r="J377" s="1">
        <v>11.221862</v>
      </c>
      <c r="K377" s="1">
        <v>1.285229</v>
      </c>
      <c r="L377" s="1">
        <v>21.682829000000002</v>
      </c>
      <c r="M377">
        <f t="shared" si="52"/>
        <v>-4.5269302651487209E-3</v>
      </c>
      <c r="N377">
        <f t="shared" si="52"/>
        <v>7.2510752874443973E-4</v>
      </c>
      <c r="O377">
        <f t="shared" si="52"/>
        <v>5.8548314164392767E-3</v>
      </c>
      <c r="P377">
        <f t="shared" si="52"/>
        <v>0.1016024464831804</v>
      </c>
      <c r="Q377">
        <f t="shared" si="53"/>
        <v>1.4450851496340178E-2</v>
      </c>
      <c r="R377">
        <f t="shared" si="53"/>
        <v>6.566198311776783E-2</v>
      </c>
      <c r="S377">
        <f t="shared" si="54"/>
        <v>-7.4658486371216415E-2</v>
      </c>
      <c r="T377">
        <f t="shared" si="55"/>
        <v>8.0256041655002441E-4</v>
      </c>
      <c r="U377">
        <f t="shared" si="56"/>
        <v>4.6353510789893804E-3</v>
      </c>
      <c r="V377">
        <f t="shared" si="57"/>
        <v>1.9214576702506925E-2</v>
      </c>
      <c r="W377">
        <f t="shared" si="58"/>
        <v>1.0296910590504416E-2</v>
      </c>
    </row>
    <row r="378" spans="1:23" x14ac:dyDescent="0.3">
      <c r="A378" t="s">
        <v>131</v>
      </c>
      <c r="B378" s="1">
        <v>17.927821999999999</v>
      </c>
      <c r="C378" s="1">
        <v>12.122339999999999</v>
      </c>
      <c r="D378" s="1">
        <v>16.327541</v>
      </c>
      <c r="E378" s="1">
        <v>26.486999999999998</v>
      </c>
      <c r="F378" s="1">
        <v>20.623283000000001</v>
      </c>
      <c r="G378" s="1">
        <v>6.7859509999999998</v>
      </c>
      <c r="H378" s="1">
        <v>4440.1401370000003</v>
      </c>
      <c r="I378" s="1">
        <v>37.671337000000001</v>
      </c>
      <c r="J378" s="1">
        <v>11.212863</v>
      </c>
      <c r="K378" s="1">
        <v>1.279299</v>
      </c>
      <c r="L378" s="1">
        <v>21.274056999999999</v>
      </c>
      <c r="M378">
        <f t="shared" si="52"/>
        <v>7.295888238939563E-3</v>
      </c>
      <c r="N378">
        <f t="shared" si="52"/>
        <v>-7.2458212878778738E-4</v>
      </c>
      <c r="O378">
        <f t="shared" si="52"/>
        <v>-4.6620894953907088E-3</v>
      </c>
      <c r="P378">
        <f t="shared" si="52"/>
        <v>3.6029675500970582E-2</v>
      </c>
      <c r="Q378">
        <f t="shared" si="53"/>
        <v>3.4379622494486339E-2</v>
      </c>
      <c r="R378">
        <f t="shared" si="53"/>
        <v>2.7228720953255792E-2</v>
      </c>
      <c r="S378">
        <f t="shared" si="54"/>
        <v>1.178967982970569E-3</v>
      </c>
      <c r="T378">
        <f t="shared" si="55"/>
        <v>2.9752051998659823E-2</v>
      </c>
      <c r="U378">
        <f t="shared" si="56"/>
        <v>6.4804077220466105E-3</v>
      </c>
      <c r="V378">
        <f t="shared" si="57"/>
        <v>0.14545451119095376</v>
      </c>
      <c r="W378">
        <f t="shared" si="58"/>
        <v>1.8436880771930175E-2</v>
      </c>
    </row>
    <row r="379" spans="1:23" x14ac:dyDescent="0.3">
      <c r="A379" t="s">
        <v>130</v>
      </c>
      <c r="B379" s="1">
        <v>17.797969999999999</v>
      </c>
      <c r="C379" s="1">
        <v>12.131130000000001</v>
      </c>
      <c r="D379" s="1">
        <v>16.404018000000001</v>
      </c>
      <c r="E379" s="1">
        <v>25.56587</v>
      </c>
      <c r="F379" s="1">
        <v>19.937828</v>
      </c>
      <c r="G379" s="1">
        <v>6.6060759999999998</v>
      </c>
      <c r="H379" s="1">
        <v>4359.7597660000001</v>
      </c>
      <c r="I379" s="1">
        <v>37.626975999999999</v>
      </c>
      <c r="J379" s="1">
        <v>10.888896000000001</v>
      </c>
      <c r="K379" s="1">
        <v>1.2710619999999999</v>
      </c>
      <c r="L379" s="1">
        <v>18.572590000000002</v>
      </c>
      <c r="M379">
        <f t="shared" si="52"/>
        <v>1.386966699981973E-2</v>
      </c>
      <c r="N379">
        <f t="shared" si="52"/>
        <v>4.3667254576296166E-3</v>
      </c>
      <c r="O379">
        <f t="shared" si="52"/>
        <v>2.1428747110422641E-2</v>
      </c>
      <c r="P379">
        <f t="shared" si="52"/>
        <v>3.8899055607267252E-2</v>
      </c>
      <c r="Q379">
        <f t="shared" si="53"/>
        <v>3.4003169663502142E-2</v>
      </c>
      <c r="R379">
        <f t="shared" si="53"/>
        <v>1.3873298297860437E-2</v>
      </c>
      <c r="S379">
        <f t="shared" si="54"/>
        <v>1.6533266760492271E-3</v>
      </c>
      <c r="T379">
        <f t="shared" si="55"/>
        <v>3.242317599309219E-2</v>
      </c>
      <c r="U379">
        <f t="shared" si="56"/>
        <v>8.6272704909577946E-3</v>
      </c>
      <c r="V379">
        <f t="shared" si="57"/>
        <v>4.0836866333208377E-2</v>
      </c>
      <c r="W379">
        <f t="shared" si="58"/>
        <v>1.5290670105846393E-2</v>
      </c>
    </row>
    <row r="380" spans="1:23" x14ac:dyDescent="0.3">
      <c r="A380" t="s">
        <v>129</v>
      </c>
      <c r="B380" s="1">
        <v>17.554494999999999</v>
      </c>
      <c r="C380" s="1">
        <v>12.078386999999999</v>
      </c>
      <c r="D380" s="1">
        <v>16.059875000000002</v>
      </c>
      <c r="E380" s="1">
        <v>24.608618</v>
      </c>
      <c r="F380" s="1">
        <v>19.282173</v>
      </c>
      <c r="G380" s="1">
        <v>6.515682</v>
      </c>
      <c r="H380" s="1">
        <v>4294.1000979999999</v>
      </c>
      <c r="I380" s="1">
        <v>37.564869000000002</v>
      </c>
      <c r="J380" s="1">
        <v>10.546931000000001</v>
      </c>
      <c r="K380" s="1">
        <v>1.2601899999999999</v>
      </c>
      <c r="L380" s="1">
        <v>17.843900999999999</v>
      </c>
      <c r="M380">
        <f t="shared" si="52"/>
        <v>-1.0521522297387675E-2</v>
      </c>
      <c r="N380">
        <f t="shared" si="52"/>
        <v>7.3313995769976881E-3</v>
      </c>
      <c r="O380">
        <f t="shared" si="52"/>
        <v>1.3268942093563885E-2</v>
      </c>
      <c r="P380">
        <f t="shared" si="52"/>
        <v>-1.8314440347257932E-3</v>
      </c>
      <c r="Q380">
        <f t="shared" si="53"/>
        <v>7.474271808288746E-3</v>
      </c>
      <c r="R380">
        <f t="shared" si="53"/>
        <v>1.5438916213905696E-3</v>
      </c>
      <c r="S380">
        <f t="shared" si="54"/>
        <v>-7.7337603434506352E-3</v>
      </c>
      <c r="T380">
        <f t="shared" si="55"/>
        <v>-3.4014216103520623E-3</v>
      </c>
      <c r="U380">
        <f t="shared" si="56"/>
        <v>-1.0093170751249603E-2</v>
      </c>
      <c r="V380">
        <f t="shared" si="57"/>
        <v>2.501259444396875E-2</v>
      </c>
      <c r="W380">
        <f t="shared" si="58"/>
        <v>-1.3906671251530112E-3</v>
      </c>
    </row>
    <row r="381" spans="1:23" x14ac:dyDescent="0.3">
      <c r="A381" t="s">
        <v>128</v>
      </c>
      <c r="B381" s="1">
        <v>17.741159</v>
      </c>
      <c r="C381" s="1">
        <v>11.99048</v>
      </c>
      <c r="D381" s="1">
        <v>15.849568</v>
      </c>
      <c r="E381" s="1">
        <v>24.653770000000002</v>
      </c>
      <c r="F381" s="1">
        <v>19.139122</v>
      </c>
      <c r="G381" s="1">
        <v>6.5056380000000003</v>
      </c>
      <c r="H381" s="1">
        <v>4300.080078</v>
      </c>
      <c r="I381" s="1">
        <v>37.857650999999997</v>
      </c>
      <c r="J381" s="1">
        <v>10.582928000000001</v>
      </c>
      <c r="K381" s="1">
        <v>1.273039</v>
      </c>
      <c r="L381" s="1">
        <v>17.408470000000001</v>
      </c>
      <c r="M381">
        <f t="shared" si="52"/>
        <v>-1.3092525098160057E-2</v>
      </c>
      <c r="N381">
        <f t="shared" si="52"/>
        <v>1.0370417808097887E-2</v>
      </c>
      <c r="O381">
        <f t="shared" si="52"/>
        <v>1.2077358007975825E-3</v>
      </c>
      <c r="P381">
        <f t="shared" si="52"/>
        <v>-1.1585929461280342E-2</v>
      </c>
      <c r="Q381">
        <f t="shared" si="53"/>
        <v>-3.2539895406395902E-2</v>
      </c>
      <c r="R381">
        <f t="shared" si="53"/>
        <v>2.2506446974739358E-3</v>
      </c>
      <c r="S381">
        <f t="shared" si="54"/>
        <v>-1.8714094901027822E-3</v>
      </c>
      <c r="T381">
        <f t="shared" si="55"/>
        <v>1.7036555569849288E-3</v>
      </c>
      <c r="U381">
        <f t="shared" si="56"/>
        <v>-3.0963364716956043E-3</v>
      </c>
      <c r="V381">
        <f t="shared" si="57"/>
        <v>-8.603187623729025E-3</v>
      </c>
      <c r="W381">
        <f t="shared" si="58"/>
        <v>-5.2420813588957005E-3</v>
      </c>
    </row>
    <row r="382" spans="1:23" x14ac:dyDescent="0.3">
      <c r="A382" t="s">
        <v>127</v>
      </c>
      <c r="B382" s="1">
        <v>17.976517000000001</v>
      </c>
      <c r="C382" s="1">
        <v>11.86741</v>
      </c>
      <c r="D382" s="1">
        <v>15.830449</v>
      </c>
      <c r="E382" s="1">
        <v>24.942754999999998</v>
      </c>
      <c r="F382" s="1">
        <v>19.782854</v>
      </c>
      <c r="G382" s="1">
        <v>6.4910290000000002</v>
      </c>
      <c r="H382" s="1">
        <v>4322.7402339999999</v>
      </c>
      <c r="I382" s="1">
        <v>37.928631000000003</v>
      </c>
      <c r="J382" s="1">
        <v>10.564928999999999</v>
      </c>
      <c r="K382" s="1">
        <v>1.276993</v>
      </c>
      <c r="L382" s="1">
        <v>17.559538</v>
      </c>
      <c r="M382">
        <f t="shared" si="52"/>
        <v>-2.0778177882708304E-2</v>
      </c>
      <c r="N382">
        <f t="shared" si="52"/>
        <v>-1.6035080905869803E-2</v>
      </c>
      <c r="O382">
        <f t="shared" si="52"/>
        <v>8.5261041582331831E-3</v>
      </c>
      <c r="P382">
        <f t="shared" si="52"/>
        <v>-2.1608108756919098E-2</v>
      </c>
      <c r="Q382">
        <f t="shared" si="53"/>
        <v>-2.6971670811113513E-2</v>
      </c>
      <c r="R382">
        <f t="shared" si="53"/>
        <v>-1.4691519827366051E-2</v>
      </c>
      <c r="S382">
        <f t="shared" si="54"/>
        <v>-1.8678087907592067E-3</v>
      </c>
      <c r="T382">
        <f t="shared" si="55"/>
        <v>5.1370315901515529E-3</v>
      </c>
      <c r="U382">
        <f t="shared" si="56"/>
        <v>-2.1211542868793343E-2</v>
      </c>
      <c r="V382">
        <f t="shared" si="57"/>
        <v>-2.0812628682045031E-2</v>
      </c>
      <c r="W382">
        <f t="shared" si="58"/>
        <v>1.6985819968486915E-3</v>
      </c>
    </row>
    <row r="383" spans="1:23" x14ac:dyDescent="0.3">
      <c r="A383" t="s">
        <v>126</v>
      </c>
      <c r="B383" s="1">
        <v>18.357962000000001</v>
      </c>
      <c r="C383" s="1">
        <v>12.060805999999999</v>
      </c>
      <c r="D383" s="1">
        <v>15.696618000000001</v>
      </c>
      <c r="E383" s="1">
        <v>25.493624000000001</v>
      </c>
      <c r="F383" s="1">
        <v>20.331220999999999</v>
      </c>
      <c r="G383" s="1">
        <v>6.5878139999999998</v>
      </c>
      <c r="H383" s="1">
        <v>4315.4101559999999</v>
      </c>
      <c r="I383" s="1">
        <v>37.999606999999997</v>
      </c>
      <c r="J383" s="1">
        <v>10.510934000000001</v>
      </c>
      <c r="K383" s="1">
        <v>1.304667</v>
      </c>
      <c r="L383" s="1">
        <v>17.932766000000001</v>
      </c>
      <c r="M383">
        <f t="shared" si="52"/>
        <v>-2.162627176057319E-2</v>
      </c>
      <c r="N383">
        <f t="shared" si="52"/>
        <v>6.6031592040154408E-3</v>
      </c>
      <c r="O383">
        <f t="shared" si="52"/>
        <v>-1.2033755694932813E-2</v>
      </c>
      <c r="P383">
        <f t="shared" si="52"/>
        <v>9.6566324733871056E-3</v>
      </c>
      <c r="Q383">
        <f t="shared" si="53"/>
        <v>1.0966211341504328E-2</v>
      </c>
      <c r="R383">
        <f t="shared" si="53"/>
        <v>-6.6089212897801897E-3</v>
      </c>
      <c r="S383">
        <f t="shared" si="54"/>
        <v>-1.1767474491829466E-2</v>
      </c>
      <c r="T383">
        <f t="shared" si="55"/>
        <v>1.6093844313840977E-2</v>
      </c>
      <c r="U383">
        <f t="shared" si="56"/>
        <v>1.5644923982344405E-2</v>
      </c>
      <c r="V383">
        <f t="shared" si="57"/>
        <v>9.5046556712743424E-3</v>
      </c>
      <c r="W383">
        <f t="shared" si="58"/>
        <v>-1.9704342237740757E-3</v>
      </c>
    </row>
    <row r="384" spans="1:23" x14ac:dyDescent="0.3">
      <c r="A384" t="s">
        <v>125</v>
      </c>
      <c r="B384" s="1">
        <v>18.763752</v>
      </c>
      <c r="C384" s="1">
        <v>11.981688999999999</v>
      </c>
      <c r="D384" s="1">
        <v>15.887808</v>
      </c>
      <c r="E384" s="1">
        <v>25.249796</v>
      </c>
      <c r="F384" s="1">
        <v>20.110683000000002</v>
      </c>
      <c r="G384" s="1">
        <v>6.6316420000000003</v>
      </c>
      <c r="H384" s="1">
        <v>4323.9301759999998</v>
      </c>
      <c r="I384" s="1">
        <v>38.452091000000003</v>
      </c>
      <c r="J384" s="1">
        <v>10.344452</v>
      </c>
      <c r="K384" s="1">
        <v>1.28457</v>
      </c>
      <c r="L384" s="1">
        <v>17.763926000000001</v>
      </c>
      <c r="M384">
        <f t="shared" si="52"/>
        <v>7.8466334072166966E-3</v>
      </c>
      <c r="N384">
        <f t="shared" si="52"/>
        <v>2.0209563056794666E-2</v>
      </c>
      <c r="O384">
        <f t="shared" si="52"/>
        <v>2.4126840554896667E-3</v>
      </c>
      <c r="P384">
        <f t="shared" si="52"/>
        <v>1.7467212307511693E-2</v>
      </c>
      <c r="Q384">
        <f t="shared" si="53"/>
        <v>2.9654726369998663E-4</v>
      </c>
      <c r="R384">
        <f t="shared" si="53"/>
        <v>2.5847429442111158E-2</v>
      </c>
      <c r="S384">
        <f t="shared" si="54"/>
        <v>1.7609832503384881E-2</v>
      </c>
      <c r="T384">
        <f t="shared" si="55"/>
        <v>9.6619371251327468E-3</v>
      </c>
      <c r="U384">
        <f t="shared" si="56"/>
        <v>1.5364404662912667E-2</v>
      </c>
      <c r="V384">
        <f t="shared" si="57"/>
        <v>6.5459188059020512E-3</v>
      </c>
      <c r="W384">
        <f t="shared" si="58"/>
        <v>1.8190679966100687E-2</v>
      </c>
    </row>
    <row r="385" spans="1:23" x14ac:dyDescent="0.3">
      <c r="A385" t="s">
        <v>124</v>
      </c>
      <c r="B385" s="1">
        <v>18.617666</v>
      </c>
      <c r="C385" s="1">
        <v>11.744341</v>
      </c>
      <c r="D385" s="1">
        <v>15.849568</v>
      </c>
      <c r="E385" s="1">
        <v>24.816324000000002</v>
      </c>
      <c r="F385" s="1">
        <v>20.104721000000001</v>
      </c>
      <c r="G385" s="1">
        <v>6.46455</v>
      </c>
      <c r="H385" s="1">
        <v>4246.6801759999998</v>
      </c>
      <c r="I385" s="1">
        <v>37.786673999999998</v>
      </c>
      <c r="J385" s="1">
        <v>10.245461000000001</v>
      </c>
      <c r="K385" s="1">
        <v>1.2651319999999999</v>
      </c>
      <c r="L385" s="1">
        <v>17.648401</v>
      </c>
      <c r="M385">
        <f t="shared" si="52"/>
        <v>1.1463897783920984E-2</v>
      </c>
      <c r="N385">
        <f t="shared" si="52"/>
        <v>-2.6948211601134808E-2</v>
      </c>
      <c r="O385">
        <f t="shared" si="52"/>
        <v>-1.4268862665998472E-2</v>
      </c>
      <c r="P385">
        <f t="shared" si="52"/>
        <v>-4.2508724029892919E-2</v>
      </c>
      <c r="Q385">
        <f t="shared" si="53"/>
        <v>-3.5458995955731987E-2</v>
      </c>
      <c r="R385">
        <f t="shared" si="53"/>
        <v>-2.465891237900375E-2</v>
      </c>
      <c r="S385">
        <f t="shared" si="54"/>
        <v>-1.8211200034171982E-2</v>
      </c>
      <c r="T385">
        <f t="shared" si="55"/>
        <v>-4.7280384529905795E-2</v>
      </c>
      <c r="U385">
        <f t="shared" si="56"/>
        <v>-2.0158617057529749E-2</v>
      </c>
      <c r="V385">
        <f t="shared" si="57"/>
        <v>-4.1505798845053676E-2</v>
      </c>
      <c r="W385">
        <f t="shared" si="58"/>
        <v>-2.2461730019852633E-2</v>
      </c>
    </row>
    <row r="386" spans="1:23" x14ac:dyDescent="0.3">
      <c r="A386" t="s">
        <v>123</v>
      </c>
      <c r="B386" s="1">
        <v>18.406654</v>
      </c>
      <c r="C386" s="1">
        <v>12.069595</v>
      </c>
      <c r="D386" s="1">
        <v>16.078997000000001</v>
      </c>
      <c r="E386" s="1">
        <v>25.918068000000002</v>
      </c>
      <c r="F386" s="1">
        <v>20.843821999999999</v>
      </c>
      <c r="G386" s="1">
        <v>6.6279890000000004</v>
      </c>
      <c r="H386" s="1">
        <v>4344.2597660000001</v>
      </c>
      <c r="I386" s="1">
        <v>38.487578999999997</v>
      </c>
      <c r="J386" s="1">
        <v>10.753909999999999</v>
      </c>
      <c r="K386" s="1">
        <v>1.2911600000000001</v>
      </c>
      <c r="L386" s="1">
        <v>18.412631999999999</v>
      </c>
      <c r="M386">
        <f t="shared" si="52"/>
        <v>1.7496548810376655E-2</v>
      </c>
      <c r="N386">
        <f t="shared" si="52"/>
        <v>3.6549400023715428E-3</v>
      </c>
      <c r="O386">
        <f t="shared" si="52"/>
        <v>8.3933285352224551E-3</v>
      </c>
      <c r="P386">
        <f t="shared" si="52"/>
        <v>1.7730564962673334E-2</v>
      </c>
      <c r="Q386">
        <f t="shared" si="53"/>
        <v>2.0723948423520433E-2</v>
      </c>
      <c r="R386">
        <f t="shared" si="53"/>
        <v>5.4016918626795807E-3</v>
      </c>
      <c r="S386">
        <f t="shared" si="54"/>
        <v>6.921044092502715E-4</v>
      </c>
      <c r="T386">
        <f t="shared" si="55"/>
        <v>7.5885526338719256E-3</v>
      </c>
      <c r="U386">
        <f t="shared" si="56"/>
        <v>1.5022196437092461E-2</v>
      </c>
      <c r="V386">
        <f t="shared" si="57"/>
        <v>-2.3562714506421223E-2</v>
      </c>
      <c r="W386">
        <f t="shared" si="58"/>
        <v>4.5065392864520604E-3</v>
      </c>
    </row>
    <row r="387" spans="1:23" x14ac:dyDescent="0.3">
      <c r="A387" t="s">
        <v>122</v>
      </c>
      <c r="B387" s="1">
        <v>18.090139000000001</v>
      </c>
      <c r="C387" s="1">
        <v>12.025641999999999</v>
      </c>
      <c r="D387" s="1">
        <v>15.945164</v>
      </c>
      <c r="E387" s="1">
        <v>25.466532000000001</v>
      </c>
      <c r="F387" s="1">
        <v>20.420625999999999</v>
      </c>
      <c r="G387" s="1">
        <v>6.5923790000000002</v>
      </c>
      <c r="H387" s="1">
        <v>4324.7700199999999</v>
      </c>
      <c r="I387" s="1">
        <v>38.46096</v>
      </c>
      <c r="J387" s="1">
        <v>10.672917999999999</v>
      </c>
      <c r="K387" s="1">
        <v>1.272051</v>
      </c>
      <c r="L387" s="1">
        <v>18.856953000000001</v>
      </c>
      <c r="M387">
        <f t="shared" si="52"/>
        <v>6.3205792312270859E-3</v>
      </c>
      <c r="N387">
        <f t="shared" si="52"/>
        <v>-2.9155597063744709E-3</v>
      </c>
      <c r="O387">
        <f t="shared" si="52"/>
        <v>0</v>
      </c>
      <c r="P387">
        <f t="shared" si="52"/>
        <v>-9.4836863628635637E-3</v>
      </c>
      <c r="Q387">
        <f t="shared" si="53"/>
        <v>-3.2203507429624745E-2</v>
      </c>
      <c r="R387">
        <f t="shared" si="53"/>
        <v>-5.3726703529531905E-3</v>
      </c>
      <c r="S387">
        <f t="shared" si="54"/>
        <v>-1.3876331538193787E-2</v>
      </c>
      <c r="T387">
        <f t="shared" si="55"/>
        <v>-3.2626382900350359E-2</v>
      </c>
      <c r="U387">
        <f t="shared" si="56"/>
        <v>-4.6401315825509437E-3</v>
      </c>
      <c r="V387">
        <f t="shared" si="57"/>
        <v>-8.4112512711712606E-3</v>
      </c>
      <c r="W387">
        <f t="shared" si="58"/>
        <v>-6.2797448093070418E-3</v>
      </c>
    </row>
    <row r="388" spans="1:23" x14ac:dyDescent="0.3">
      <c r="A388" t="s">
        <v>121</v>
      </c>
      <c r="B388" s="1">
        <v>17.976517000000001</v>
      </c>
      <c r="C388" s="1">
        <v>12.060805999999999</v>
      </c>
      <c r="D388" s="1">
        <v>15.945164</v>
      </c>
      <c r="E388" s="1">
        <v>25.710360999999999</v>
      </c>
      <c r="F388" s="1">
        <v>21.100124000000001</v>
      </c>
      <c r="G388" s="1">
        <v>6.6279890000000004</v>
      </c>
      <c r="H388" s="1">
        <v>4352.1000979999999</v>
      </c>
      <c r="I388" s="1">
        <v>39.002167</v>
      </c>
      <c r="J388" s="1">
        <v>11.032881</v>
      </c>
      <c r="K388" s="1">
        <v>1.277981</v>
      </c>
      <c r="L388" s="1">
        <v>19.016908999999998</v>
      </c>
      <c r="M388">
        <f t="shared" si="52"/>
        <v>5.4470777322026542E-3</v>
      </c>
      <c r="N388">
        <f t="shared" si="52"/>
        <v>7.2950462885290612E-4</v>
      </c>
      <c r="O388">
        <f t="shared" si="52"/>
        <v>-2.3922319406384229E-3</v>
      </c>
      <c r="P388">
        <f t="shared" si="52"/>
        <v>-3.2619783486716791E-2</v>
      </c>
      <c r="Q388">
        <f t="shared" si="53"/>
        <v>-2.0475879731671309E-2</v>
      </c>
      <c r="R388">
        <f t="shared" si="53"/>
        <v>-6.160972500392381E-3</v>
      </c>
      <c r="S388">
        <f t="shared" si="54"/>
        <v>6.6408277183747089E-3</v>
      </c>
      <c r="T388">
        <f t="shared" si="55"/>
        <v>5.3300471361179547E-3</v>
      </c>
      <c r="U388">
        <f t="shared" si="56"/>
        <v>-4.8744744950518504E-3</v>
      </c>
      <c r="V388">
        <f t="shared" si="57"/>
        <v>-1.4732914248713036E-2</v>
      </c>
      <c r="W388">
        <f t="shared" si="58"/>
        <v>-2.8616081800149074E-3</v>
      </c>
    </row>
    <row r="389" spans="1:23" x14ac:dyDescent="0.3">
      <c r="A389" t="s">
        <v>120</v>
      </c>
      <c r="B389" s="1">
        <v>17.879128000000001</v>
      </c>
      <c r="C389" s="1">
        <v>12.052014</v>
      </c>
      <c r="D389" s="1">
        <v>15.9834</v>
      </c>
      <c r="E389" s="1">
        <v>26.577307000000001</v>
      </c>
      <c r="F389" s="1">
        <v>21.541198999999999</v>
      </c>
      <c r="G389" s="1">
        <v>6.6690769999999997</v>
      </c>
      <c r="H389" s="1">
        <v>4364.5898440000001</v>
      </c>
      <c r="I389" s="1">
        <v>38.744869000000001</v>
      </c>
      <c r="J389" s="1">
        <v>10.974387</v>
      </c>
      <c r="K389" s="1">
        <v>1.284241</v>
      </c>
      <c r="L389" s="1">
        <v>19.301272999999998</v>
      </c>
      <c r="M389">
        <f t="shared" si="52"/>
        <v>-1.82709348559148E-2</v>
      </c>
      <c r="N389">
        <f t="shared" si="52"/>
        <v>-6.5217337543989062E-3</v>
      </c>
      <c r="O389">
        <f t="shared" si="52"/>
        <v>-5.945457916311625E-3</v>
      </c>
      <c r="P389">
        <f t="shared" ref="P389:R452" si="59">+E389/E390-1</f>
        <v>7.8766831596472908E-3</v>
      </c>
      <c r="Q389">
        <f t="shared" si="53"/>
        <v>-1.8201503608615277E-2</v>
      </c>
      <c r="R389">
        <f t="shared" si="53"/>
        <v>-4.4978444470086254E-3</v>
      </c>
      <c r="S389">
        <f t="shared" si="54"/>
        <v>-8.8515775480652037E-3</v>
      </c>
      <c r="T389">
        <f t="shared" si="55"/>
        <v>-1.3748529302336499E-2</v>
      </c>
      <c r="U389">
        <f t="shared" si="56"/>
        <v>5.9357872829399749E-3</v>
      </c>
      <c r="V389">
        <f t="shared" si="57"/>
        <v>-1.5412521831022263E-2</v>
      </c>
      <c r="W389">
        <f t="shared" si="58"/>
        <v>-7.2535610636398351E-3</v>
      </c>
    </row>
    <row r="390" spans="1:23" x14ac:dyDescent="0.3">
      <c r="A390" t="s">
        <v>119</v>
      </c>
      <c r="B390" s="1">
        <v>18.211876</v>
      </c>
      <c r="C390" s="1">
        <v>12.131130000000001</v>
      </c>
      <c r="D390" s="1">
        <v>16.078997000000001</v>
      </c>
      <c r="E390" s="1">
        <v>26.369602</v>
      </c>
      <c r="F390" s="1">
        <v>21.940550000000002</v>
      </c>
      <c r="G390" s="1">
        <v>6.6992089999999997</v>
      </c>
      <c r="H390" s="1">
        <v>4396.4799800000001</v>
      </c>
      <c r="I390" s="1">
        <v>39.090885</v>
      </c>
      <c r="J390" s="1">
        <v>11.127371999999999</v>
      </c>
      <c r="K390" s="1">
        <v>1.2766630000000001</v>
      </c>
      <c r="L390" s="1">
        <v>19.603411000000001</v>
      </c>
      <c r="M390">
        <f t="shared" ref="M390:R453" si="60">+B390/B391-1</f>
        <v>-1.7943097686963005E-2</v>
      </c>
      <c r="N390">
        <f t="shared" si="60"/>
        <v>2.2222203496803594E-2</v>
      </c>
      <c r="O390">
        <f t="shared" si="60"/>
        <v>-4.7336902320154195E-3</v>
      </c>
      <c r="P390">
        <f t="shared" si="59"/>
        <v>1.3537054409312077E-2</v>
      </c>
      <c r="Q390">
        <f t="shared" si="59"/>
        <v>6.5627253842288624E-3</v>
      </c>
      <c r="R390">
        <f t="shared" si="59"/>
        <v>7.2762500120286955E-3</v>
      </c>
      <c r="S390">
        <f t="shared" ref="S390:S453" si="61">+I390/I391-1</f>
        <v>1.5912103021815671E-3</v>
      </c>
      <c r="T390">
        <f t="shared" ref="T390:T453" si="62">+J390/J391-1</f>
        <v>1.5605687639815624E-2</v>
      </c>
      <c r="U390">
        <f t="shared" ref="U390:U453" si="63">+K390/K391-1</f>
        <v>9.6403798262201246E-3</v>
      </c>
      <c r="V390">
        <f t="shared" ref="V390:V453" si="64">+L390/L391-1</f>
        <v>-9.0575578444973548E-4</v>
      </c>
      <c r="W390">
        <f t="shared" ref="W390:W453" si="65">+H390/H391-1</f>
        <v>6.628505453913025E-3</v>
      </c>
    </row>
    <row r="391" spans="1:23" x14ac:dyDescent="0.3">
      <c r="A391" t="s">
        <v>118</v>
      </c>
      <c r="B391" s="1">
        <v>18.544623999999999</v>
      </c>
      <c r="C391" s="1">
        <v>11.86741</v>
      </c>
      <c r="D391" s="1">
        <v>16.155472</v>
      </c>
      <c r="E391" s="1">
        <v>26.017403000000002</v>
      </c>
      <c r="F391" s="1">
        <v>21.797498999999998</v>
      </c>
      <c r="G391" s="1">
        <v>6.6508159999999998</v>
      </c>
      <c r="H391" s="1">
        <v>4367.5297849999997</v>
      </c>
      <c r="I391" s="1">
        <v>39.028782</v>
      </c>
      <c r="J391" s="1">
        <v>10.956390000000001</v>
      </c>
      <c r="K391" s="1">
        <v>1.264473</v>
      </c>
      <c r="L391" s="1">
        <v>19.621182999999998</v>
      </c>
      <c r="M391">
        <f t="shared" si="60"/>
        <v>1.5555537666374075E-2</v>
      </c>
      <c r="N391">
        <f t="shared" si="60"/>
        <v>1.0479004313652007E-2</v>
      </c>
      <c r="O391">
        <f t="shared" si="60"/>
        <v>-1.8582898193419184E-2</v>
      </c>
      <c r="P391">
        <f t="shared" si="59"/>
        <v>7.6949566340001052E-3</v>
      </c>
      <c r="Q391">
        <f t="shared" si="59"/>
        <v>1.6115530115152987E-2</v>
      </c>
      <c r="R391">
        <f t="shared" si="59"/>
        <v>7.4688972674432641E-3</v>
      </c>
      <c r="S391">
        <f t="shared" si="61"/>
        <v>1.2428013032323992E-2</v>
      </c>
      <c r="T391">
        <f t="shared" si="62"/>
        <v>2.0108912023114378E-2</v>
      </c>
      <c r="U391">
        <f t="shared" si="63"/>
        <v>1.2664786783260995E-2</v>
      </c>
      <c r="V391">
        <f t="shared" si="64"/>
        <v>-3.6100960203987453E-3</v>
      </c>
      <c r="W391">
        <f t="shared" si="65"/>
        <v>6.7886499258853483E-3</v>
      </c>
    </row>
    <row r="392" spans="1:23" x14ac:dyDescent="0.3">
      <c r="A392" t="s">
        <v>117</v>
      </c>
      <c r="B392" s="1">
        <v>18.260570999999999</v>
      </c>
      <c r="C392" s="1">
        <v>11.744341</v>
      </c>
      <c r="D392" s="1">
        <v>16.461372000000001</v>
      </c>
      <c r="E392" s="1">
        <v>25.818729000000001</v>
      </c>
      <c r="F392" s="1">
        <v>21.451792000000001</v>
      </c>
      <c r="G392" s="1">
        <v>6.6015100000000002</v>
      </c>
      <c r="H392" s="1">
        <v>4338.080078</v>
      </c>
      <c r="I392" s="1">
        <v>38.549686000000001</v>
      </c>
      <c r="J392" s="1">
        <v>10.740411999999999</v>
      </c>
      <c r="K392" s="1">
        <v>1.248659</v>
      </c>
      <c r="L392" s="1">
        <v>19.692274000000001</v>
      </c>
      <c r="M392">
        <f t="shared" si="60"/>
        <v>1.3513497762708271E-2</v>
      </c>
      <c r="N392">
        <f t="shared" si="60"/>
        <v>2.250560656031908E-3</v>
      </c>
      <c r="O392">
        <f t="shared" si="60"/>
        <v>8.1966414905956242E-3</v>
      </c>
      <c r="P392">
        <f t="shared" si="59"/>
        <v>2.767798023871415E-2</v>
      </c>
      <c r="Q392">
        <f t="shared" si="59"/>
        <v>7.8410057610331929E-3</v>
      </c>
      <c r="R392">
        <f t="shared" si="59"/>
        <v>1.2604968544333017E-2</v>
      </c>
      <c r="S392">
        <f t="shared" si="61"/>
        <v>1.0700216978522858E-2</v>
      </c>
      <c r="T392">
        <f t="shared" si="62"/>
        <v>1.1012363905682498E-2</v>
      </c>
      <c r="U392">
        <f t="shared" si="63"/>
        <v>4.5058235416206571E-3</v>
      </c>
      <c r="V392">
        <f t="shared" si="64"/>
        <v>1.4652016350653829E-2</v>
      </c>
      <c r="W392">
        <f t="shared" si="65"/>
        <v>9.8304128488237996E-3</v>
      </c>
    </row>
    <row r="393" spans="1:23" x14ac:dyDescent="0.3">
      <c r="A393" t="s">
        <v>116</v>
      </c>
      <c r="B393" s="1">
        <v>18.017097</v>
      </c>
      <c r="C393" s="1">
        <v>11.717969</v>
      </c>
      <c r="D393" s="1">
        <v>16.327541</v>
      </c>
      <c r="E393" s="1">
        <v>25.123365</v>
      </c>
      <c r="F393" s="1">
        <v>21.284897000000001</v>
      </c>
      <c r="G393" s="1">
        <v>6.5193339999999997</v>
      </c>
      <c r="H393" s="1">
        <v>4295.8500979999999</v>
      </c>
      <c r="I393" s="1">
        <v>38.141562999999998</v>
      </c>
      <c r="J393" s="1">
        <v>10.623423000000001</v>
      </c>
      <c r="K393" s="1">
        <v>1.243058</v>
      </c>
      <c r="L393" s="1">
        <v>19.407909</v>
      </c>
      <c r="M393">
        <f t="shared" si="60"/>
        <v>4.5249375862026486E-3</v>
      </c>
      <c r="N393">
        <f t="shared" si="60"/>
        <v>-1.1127586735639738E-2</v>
      </c>
      <c r="O393">
        <f t="shared" si="60"/>
        <v>-1.1696578279809522E-3</v>
      </c>
      <c r="P393">
        <f t="shared" si="59"/>
        <v>7.9708501135460352E-3</v>
      </c>
      <c r="Q393">
        <f t="shared" si="59"/>
        <v>-3.6273103401140983E-3</v>
      </c>
      <c r="R393">
        <f t="shared" si="59"/>
        <v>-1.2174825340122375E-2</v>
      </c>
      <c r="S393">
        <f t="shared" si="61"/>
        <v>2.6014259883980762E-2</v>
      </c>
      <c r="T393">
        <f t="shared" si="62"/>
        <v>-1.3372299071419902E-2</v>
      </c>
      <c r="U393">
        <f t="shared" si="63"/>
        <v>-1.8725444611885855E-2</v>
      </c>
      <c r="V393">
        <f t="shared" si="64"/>
        <v>5.5248169382404733E-3</v>
      </c>
      <c r="W393">
        <f t="shared" si="65"/>
        <v>-1.0240020948470985E-4</v>
      </c>
    </row>
    <row r="394" spans="1:23" x14ac:dyDescent="0.3">
      <c r="A394" t="s">
        <v>115</v>
      </c>
      <c r="B394" s="1">
        <v>17.935938</v>
      </c>
      <c r="C394" s="1">
        <v>11.849829</v>
      </c>
      <c r="D394" s="1">
        <v>16.346661000000001</v>
      </c>
      <c r="E394" s="1">
        <v>24.924693999999999</v>
      </c>
      <c r="F394" s="1">
        <v>21.362385</v>
      </c>
      <c r="G394" s="1">
        <v>6.5996839999999999</v>
      </c>
      <c r="H394" s="1">
        <v>4296.2900390000004</v>
      </c>
      <c r="I394" s="1">
        <v>37.174495999999998</v>
      </c>
      <c r="J394" s="1">
        <v>10.767408</v>
      </c>
      <c r="K394" s="1">
        <v>1.2667790000000001</v>
      </c>
      <c r="L394" s="1">
        <v>19.301272999999998</v>
      </c>
      <c r="M394">
        <f t="shared" si="60"/>
        <v>1.7027155161195351E-2</v>
      </c>
      <c r="N394">
        <f t="shared" si="60"/>
        <v>2.9762161706474721E-3</v>
      </c>
      <c r="O394">
        <f t="shared" si="60"/>
        <v>2.3447394235935892E-3</v>
      </c>
      <c r="P394">
        <f t="shared" si="59"/>
        <v>0</v>
      </c>
      <c r="Q394">
        <f t="shared" si="59"/>
        <v>2.2247576703913419E-2</v>
      </c>
      <c r="R394">
        <f t="shared" si="59"/>
        <v>-1.3832082158626857E-4</v>
      </c>
      <c r="S394">
        <f t="shared" si="61"/>
        <v>-1.3421209701326098E-2</v>
      </c>
      <c r="T394">
        <f t="shared" si="62"/>
        <v>-1.6844763780498262E-2</v>
      </c>
      <c r="U394">
        <f t="shared" si="63"/>
        <v>-1.55821923206656E-3</v>
      </c>
      <c r="V394">
        <f t="shared" si="64"/>
        <v>-1.838254782236981E-3</v>
      </c>
      <c r="W394">
        <f t="shared" si="65"/>
        <v>2.5084353202096121E-3</v>
      </c>
    </row>
    <row r="395" spans="1:23" x14ac:dyDescent="0.3">
      <c r="A395" t="s">
        <v>114</v>
      </c>
      <c r="B395" s="1">
        <v>17.635653000000001</v>
      </c>
      <c r="C395" s="1">
        <v>11.814666000000001</v>
      </c>
      <c r="D395" s="1">
        <v>16.308422</v>
      </c>
      <c r="E395" s="1">
        <v>24.924693999999999</v>
      </c>
      <c r="F395" s="1">
        <v>20.897466999999999</v>
      </c>
      <c r="G395" s="1">
        <v>6.6005969999999996</v>
      </c>
      <c r="H395" s="1">
        <v>4285.5400390000004</v>
      </c>
      <c r="I395" s="1">
        <v>37.680210000000002</v>
      </c>
      <c r="J395" s="1">
        <v>10.951890000000001</v>
      </c>
      <c r="K395" s="1">
        <v>1.268756</v>
      </c>
      <c r="L395" s="1">
        <v>19.336818999999998</v>
      </c>
      <c r="M395">
        <f t="shared" si="60"/>
        <v>1.5895248516738514E-2</v>
      </c>
      <c r="N395">
        <f t="shared" si="60"/>
        <v>1.0526277975541065E-2</v>
      </c>
      <c r="O395">
        <f t="shared" si="60"/>
        <v>1.1862395983231133E-2</v>
      </c>
      <c r="P395">
        <f t="shared" si="59"/>
        <v>-2.4734942788899428E-2</v>
      </c>
      <c r="Q395">
        <f t="shared" si="59"/>
        <v>2.4846667542550716E-2</v>
      </c>
      <c r="R395">
        <f t="shared" si="59"/>
        <v>-2.4838927053862925E-3</v>
      </c>
      <c r="S395">
        <f t="shared" si="61"/>
        <v>1.5785756450062305E-2</v>
      </c>
      <c r="T395">
        <f t="shared" si="62"/>
        <v>-1.3776381994394238E-2</v>
      </c>
      <c r="U395">
        <f t="shared" si="63"/>
        <v>-4.3951577148318988E-3</v>
      </c>
      <c r="V395">
        <f t="shared" si="64"/>
        <v>3.6901282619714593E-3</v>
      </c>
      <c r="W395">
        <f t="shared" si="65"/>
        <v>5.4948995704242609E-3</v>
      </c>
    </row>
    <row r="396" spans="1:23" x14ac:dyDescent="0.3">
      <c r="A396" t="s">
        <v>113</v>
      </c>
      <c r="B396" s="1">
        <v>17.359715999999999</v>
      </c>
      <c r="C396" s="1">
        <v>11.691597</v>
      </c>
      <c r="D396" s="1">
        <v>16.117232999999999</v>
      </c>
      <c r="E396" s="1">
        <v>25.556840999999999</v>
      </c>
      <c r="F396" s="1">
        <v>20.390823000000001</v>
      </c>
      <c r="G396" s="1">
        <v>6.6170330000000002</v>
      </c>
      <c r="H396" s="1">
        <v>4262.1201170000004</v>
      </c>
      <c r="I396" s="1">
        <v>37.094642999999998</v>
      </c>
      <c r="J396" s="1">
        <v>11.104875</v>
      </c>
      <c r="K396" s="1">
        <v>1.274357</v>
      </c>
      <c r="L396" s="1">
        <v>19.265726000000001</v>
      </c>
      <c r="M396">
        <f t="shared" si="60"/>
        <v>-1.4739701151360252E-2</v>
      </c>
      <c r="N396">
        <f t="shared" si="60"/>
        <v>3.0166172604759733E-3</v>
      </c>
      <c r="O396">
        <f t="shared" si="60"/>
        <v>9.5807622553421012E-3</v>
      </c>
      <c r="P396">
        <f t="shared" si="59"/>
        <v>1.6158035127708636E-2</v>
      </c>
      <c r="Q396">
        <f t="shared" si="59"/>
        <v>9.1444893556380524E-3</v>
      </c>
      <c r="R396">
        <f t="shared" si="59"/>
        <v>-4.6696210046904829E-3</v>
      </c>
      <c r="S396">
        <f t="shared" si="61"/>
        <v>8.6851084558345892E-3</v>
      </c>
      <c r="T396">
        <f t="shared" si="62"/>
        <v>4.0684897247511564E-3</v>
      </c>
      <c r="U396">
        <f t="shared" si="63"/>
        <v>-3.8630531251880873E-3</v>
      </c>
      <c r="V396">
        <f t="shared" si="64"/>
        <v>1.3083987518686779E-2</v>
      </c>
      <c r="W396">
        <f t="shared" si="65"/>
        <v>5.319004978369346E-3</v>
      </c>
    </row>
    <row r="397" spans="1:23" x14ac:dyDescent="0.3">
      <c r="A397" t="s">
        <v>112</v>
      </c>
      <c r="B397" s="1">
        <v>17.619420999999999</v>
      </c>
      <c r="C397" s="1">
        <v>11.656434000000001</v>
      </c>
      <c r="D397" s="1">
        <v>15.964283</v>
      </c>
      <c r="E397" s="1">
        <v>25.150459000000001</v>
      </c>
      <c r="F397" s="1">
        <v>20.206049</v>
      </c>
      <c r="G397" s="1">
        <v>6.6480769999999998</v>
      </c>
      <c r="H397" s="1">
        <v>4239.5698240000002</v>
      </c>
      <c r="I397" s="1">
        <v>36.775246000000003</v>
      </c>
      <c r="J397" s="1">
        <v>11.059877999999999</v>
      </c>
      <c r="K397" s="1">
        <v>1.279299</v>
      </c>
      <c r="L397" s="1">
        <v>19.016908999999998</v>
      </c>
      <c r="M397">
        <f t="shared" si="60"/>
        <v>1.383625737109595E-3</v>
      </c>
      <c r="N397">
        <f t="shared" si="60"/>
        <v>-3.7567127041672199E-3</v>
      </c>
      <c r="O397">
        <f t="shared" si="60"/>
        <v>8.4542137749852309E-3</v>
      </c>
      <c r="P397">
        <f t="shared" si="59"/>
        <v>1.6423446161416555E-2</v>
      </c>
      <c r="Q397">
        <f t="shared" si="59"/>
        <v>-2.5582050074718365E-2</v>
      </c>
      <c r="R397">
        <f t="shared" si="59"/>
        <v>5.4978430033969516E-4</v>
      </c>
      <c r="S397">
        <f t="shared" si="61"/>
        <v>3.3890175270629985E-3</v>
      </c>
      <c r="T397">
        <f t="shared" si="62"/>
        <v>-3.2441785798776879E-3</v>
      </c>
      <c r="U397">
        <f t="shared" si="63"/>
        <v>1.0671587963573703E-2</v>
      </c>
      <c r="V397">
        <f t="shared" si="64"/>
        <v>1.2299090911994437E-2</v>
      </c>
      <c r="W397">
        <f t="shared" si="65"/>
        <v>7.1284869504806281E-4</v>
      </c>
    </row>
    <row r="398" spans="1:23" x14ac:dyDescent="0.3">
      <c r="A398" t="s">
        <v>111</v>
      </c>
      <c r="B398" s="1">
        <v>17.595075999999999</v>
      </c>
      <c r="C398" s="1">
        <v>11.700388999999999</v>
      </c>
      <c r="D398" s="1">
        <v>15.830449</v>
      </c>
      <c r="E398" s="1">
        <v>24.744076</v>
      </c>
      <c r="F398" s="1">
        <v>20.736532</v>
      </c>
      <c r="G398" s="1">
        <v>6.6444239999999999</v>
      </c>
      <c r="H398" s="1">
        <v>4236.5498049999997</v>
      </c>
      <c r="I398" s="1">
        <v>36.651035</v>
      </c>
      <c r="J398" s="1">
        <v>11.095874999999999</v>
      </c>
      <c r="K398" s="1">
        <v>1.2657910000000001</v>
      </c>
      <c r="L398" s="1">
        <v>18.78586</v>
      </c>
      <c r="M398">
        <f t="shared" si="60"/>
        <v>3.7037334936511623E-3</v>
      </c>
      <c r="N398">
        <f t="shared" si="60"/>
        <v>-1.5002599853268794E-3</v>
      </c>
      <c r="O398">
        <f t="shared" si="60"/>
        <v>-1.545792937208712E-2</v>
      </c>
      <c r="P398">
        <f t="shared" si="59"/>
        <v>5.1356244456974842E-3</v>
      </c>
      <c r="Q398">
        <f t="shared" si="59"/>
        <v>-2.8661573060420054E-3</v>
      </c>
      <c r="R398">
        <f t="shared" si="59"/>
        <v>-3.1508863799553088E-3</v>
      </c>
      <c r="S398">
        <f t="shared" si="61"/>
        <v>-2.6556638428967272E-3</v>
      </c>
      <c r="T398">
        <f t="shared" si="62"/>
        <v>-2.913392275437876E-2</v>
      </c>
      <c r="U398">
        <f t="shared" si="63"/>
        <v>-4.6629724601543465E-3</v>
      </c>
      <c r="V398">
        <f t="shared" si="64"/>
        <v>0</v>
      </c>
      <c r="W398">
        <f t="shared" si="65"/>
        <v>-5.4697448182365882E-3</v>
      </c>
    </row>
    <row r="399" spans="1:23" x14ac:dyDescent="0.3">
      <c r="A399" t="s">
        <v>110</v>
      </c>
      <c r="B399" s="1">
        <v>17.530149000000002</v>
      </c>
      <c r="C399" s="1">
        <v>11.717969</v>
      </c>
      <c r="D399" s="1">
        <v>16.078997000000001</v>
      </c>
      <c r="E399" s="1">
        <v>24.617649</v>
      </c>
      <c r="F399" s="1">
        <v>20.796137000000002</v>
      </c>
      <c r="G399" s="1">
        <v>6.6654260000000001</v>
      </c>
      <c r="H399" s="1">
        <v>4259.8500979999999</v>
      </c>
      <c r="I399" s="1">
        <v>36.748626999999999</v>
      </c>
      <c r="J399" s="1">
        <v>11.428842</v>
      </c>
      <c r="K399" s="1">
        <v>1.2717210000000001</v>
      </c>
      <c r="L399" s="1">
        <v>18.78586</v>
      </c>
      <c r="M399">
        <f t="shared" si="60"/>
        <v>-2.8776987983253344E-2</v>
      </c>
      <c r="N399">
        <f t="shared" si="60"/>
        <v>3.7651142301942109E-3</v>
      </c>
      <c r="O399">
        <f t="shared" si="60"/>
        <v>1.1906692922578621E-3</v>
      </c>
      <c r="P399">
        <f t="shared" si="59"/>
        <v>-1.8011438028230797E-2</v>
      </c>
      <c r="Q399">
        <f t="shared" si="59"/>
        <v>-1.994384177598052E-2</v>
      </c>
      <c r="R399">
        <f t="shared" si="59"/>
        <v>-5.0428341614658923E-3</v>
      </c>
      <c r="S399">
        <f t="shared" si="61"/>
        <v>-8.3792520363725753E-3</v>
      </c>
      <c r="T399">
        <f t="shared" si="62"/>
        <v>-4.3119490490608481E-3</v>
      </c>
      <c r="U399">
        <f t="shared" si="63"/>
        <v>-5.1552400002815579E-3</v>
      </c>
      <c r="V399">
        <f t="shared" si="64"/>
        <v>-1.7658075424823227E-2</v>
      </c>
      <c r="W399">
        <f t="shared" si="65"/>
        <v>-1.3175843967299095E-3</v>
      </c>
    </row>
    <row r="400" spans="1:23" x14ac:dyDescent="0.3">
      <c r="A400" t="s">
        <v>109</v>
      </c>
      <c r="B400" s="1">
        <v>18.049561000000001</v>
      </c>
      <c r="C400" s="1">
        <v>11.674015000000001</v>
      </c>
      <c r="D400" s="1">
        <v>16.059875000000002</v>
      </c>
      <c r="E400" s="1">
        <v>25.069181</v>
      </c>
      <c r="F400" s="1">
        <v>21.219332000000001</v>
      </c>
      <c r="G400" s="1">
        <v>6.6992089999999997</v>
      </c>
      <c r="H400" s="1">
        <v>4265.4702150000003</v>
      </c>
      <c r="I400" s="1">
        <v>37.059154999999997</v>
      </c>
      <c r="J400" s="1">
        <v>11.478336000000001</v>
      </c>
      <c r="K400" s="1">
        <v>1.278311</v>
      </c>
      <c r="L400" s="1">
        <v>19.123545</v>
      </c>
      <c r="M400">
        <f t="shared" si="60"/>
        <v>4.5167063539259811E-3</v>
      </c>
      <c r="N400">
        <f t="shared" si="60"/>
        <v>-7.4739479250117702E-3</v>
      </c>
      <c r="O400">
        <f t="shared" si="60"/>
        <v>1.5719231262791178E-2</v>
      </c>
      <c r="P400">
        <f t="shared" si="59"/>
        <v>-1.3153281787835702E-2</v>
      </c>
      <c r="Q400">
        <f t="shared" si="59"/>
        <v>-8.9086596506213755E-3</v>
      </c>
      <c r="R400">
        <f t="shared" si="59"/>
        <v>-1.3048159949862859E-2</v>
      </c>
      <c r="S400">
        <f t="shared" si="61"/>
        <v>-1.1956009775462295E-3</v>
      </c>
      <c r="T400">
        <f t="shared" si="62"/>
        <v>-1.3152763400886558E-2</v>
      </c>
      <c r="U400">
        <f t="shared" si="63"/>
        <v>-1.543403939897825E-3</v>
      </c>
      <c r="V400">
        <f t="shared" si="64"/>
        <v>-8.294966769779033E-3</v>
      </c>
      <c r="W400">
        <f t="shared" si="65"/>
        <v>-4.5646287147101949E-3</v>
      </c>
    </row>
    <row r="401" spans="1:23" x14ac:dyDescent="0.3">
      <c r="A401" t="s">
        <v>108</v>
      </c>
      <c r="B401" s="1">
        <v>17.968402999999999</v>
      </c>
      <c r="C401" s="1">
        <v>11.761922999999999</v>
      </c>
      <c r="D401" s="1">
        <v>15.811332999999999</v>
      </c>
      <c r="E401" s="1">
        <v>25.403317999999999</v>
      </c>
      <c r="F401" s="1">
        <v>21.410067000000002</v>
      </c>
      <c r="G401" s="1">
        <v>6.7877770000000002</v>
      </c>
      <c r="H401" s="1">
        <v>4285.0297849999997</v>
      </c>
      <c r="I401" s="1">
        <v>37.103515999999999</v>
      </c>
      <c r="J401" s="1">
        <v>11.631320000000001</v>
      </c>
      <c r="K401" s="1">
        <v>1.280287</v>
      </c>
      <c r="L401" s="1">
        <v>19.283501000000001</v>
      </c>
      <c r="M401">
        <f t="shared" si="60"/>
        <v>6.3637300487597859E-3</v>
      </c>
      <c r="N401">
        <f t="shared" si="60"/>
        <v>9.0498517814281421E-3</v>
      </c>
      <c r="O401">
        <f t="shared" si="60"/>
        <v>2.0987696811719747E-2</v>
      </c>
      <c r="P401">
        <f t="shared" si="59"/>
        <v>2.6642417360825954E-2</v>
      </c>
      <c r="Q401">
        <f t="shared" si="59"/>
        <v>2.1034727948270326E-2</v>
      </c>
      <c r="R401">
        <f t="shared" si="59"/>
        <v>2.6795586086129974E-2</v>
      </c>
      <c r="S401">
        <f t="shared" si="61"/>
        <v>1.3326936050081173E-2</v>
      </c>
      <c r="T401">
        <f t="shared" si="62"/>
        <v>-3.0852851602471976E-3</v>
      </c>
      <c r="U401">
        <f t="shared" si="63"/>
        <v>7.7802083275937406E-3</v>
      </c>
      <c r="V401">
        <f t="shared" si="64"/>
        <v>1.5917613503308337E-2</v>
      </c>
      <c r="W401">
        <f t="shared" si="65"/>
        <v>1.4933705346466208E-2</v>
      </c>
    </row>
    <row r="402" spans="1:23" x14ac:dyDescent="0.3">
      <c r="A402" t="s">
        <v>107</v>
      </c>
      <c r="B402" s="1">
        <v>17.854780000000002</v>
      </c>
      <c r="C402" s="1">
        <v>11.656434000000001</v>
      </c>
      <c r="D402" s="1">
        <v>15.486311000000001</v>
      </c>
      <c r="E402" s="1">
        <v>24.744076</v>
      </c>
      <c r="F402" s="1">
        <v>20.968990000000002</v>
      </c>
      <c r="G402" s="1">
        <v>6.6106410000000002</v>
      </c>
      <c r="H402" s="1">
        <v>4221.9799800000001</v>
      </c>
      <c r="I402" s="1">
        <v>36.615543000000002</v>
      </c>
      <c r="J402" s="1">
        <v>11.667317000000001</v>
      </c>
      <c r="K402" s="1">
        <v>1.2704029999999999</v>
      </c>
      <c r="L402" s="1">
        <v>18.981363000000002</v>
      </c>
      <c r="M402">
        <f t="shared" si="60"/>
        <v>-2.0480843128691251E-2</v>
      </c>
      <c r="N402">
        <f t="shared" si="60"/>
        <v>-1.6320488675406142E-2</v>
      </c>
      <c r="O402">
        <f t="shared" si="60"/>
        <v>-1.0988876945691506E-2</v>
      </c>
      <c r="P402">
        <f t="shared" si="59"/>
        <v>-1.7921215805355328E-2</v>
      </c>
      <c r="Q402">
        <f t="shared" si="59"/>
        <v>-1.896276772682115E-2</v>
      </c>
      <c r="R402">
        <f t="shared" si="59"/>
        <v>-1.2817051371842081E-2</v>
      </c>
      <c r="S402">
        <f t="shared" si="61"/>
        <v>-1.2679445512389087E-2</v>
      </c>
      <c r="T402">
        <f t="shared" si="62"/>
        <v>2.7068137263370762E-3</v>
      </c>
      <c r="U402">
        <f t="shared" si="63"/>
        <v>-1.456736553305471E-2</v>
      </c>
      <c r="V402">
        <f t="shared" si="64"/>
        <v>-3.7314349394114155E-3</v>
      </c>
      <c r="W402">
        <f t="shared" si="65"/>
        <v>-7.9467612551383793E-3</v>
      </c>
    </row>
    <row r="403" spans="1:23" x14ac:dyDescent="0.3">
      <c r="A403" t="s">
        <v>106</v>
      </c>
      <c r="B403" s="1">
        <v>18.228107000000001</v>
      </c>
      <c r="C403" s="1">
        <v>11.849829</v>
      </c>
      <c r="D403" s="1">
        <v>15.658379</v>
      </c>
      <c r="E403" s="1">
        <v>25.195612000000001</v>
      </c>
      <c r="F403" s="1">
        <v>21.374306000000001</v>
      </c>
      <c r="G403" s="1">
        <v>6.6964699999999997</v>
      </c>
      <c r="H403" s="1">
        <v>4255.7998049999997</v>
      </c>
      <c r="I403" s="1">
        <v>37.085769999999997</v>
      </c>
      <c r="J403" s="1">
        <v>11.635821</v>
      </c>
      <c r="K403" s="1">
        <v>1.289183</v>
      </c>
      <c r="L403" s="1">
        <v>19.052455999999999</v>
      </c>
      <c r="M403">
        <f t="shared" si="60"/>
        <v>5.3714916309437477E-3</v>
      </c>
      <c r="N403">
        <f t="shared" si="60"/>
        <v>8.2273388914544388E-3</v>
      </c>
      <c r="O403">
        <f t="shared" si="60"/>
        <v>1.2360874059161864E-2</v>
      </c>
      <c r="P403">
        <f t="shared" si="59"/>
        <v>2.1551679562512582E-3</v>
      </c>
      <c r="Q403">
        <f t="shared" si="59"/>
        <v>1.0425423478908291E-2</v>
      </c>
      <c r="R403">
        <f t="shared" si="59"/>
        <v>-1.2257095333891854E-3</v>
      </c>
      <c r="S403">
        <f t="shared" si="61"/>
        <v>3.1198448662805855E-3</v>
      </c>
      <c r="T403">
        <f t="shared" si="62"/>
        <v>3.1032367387642257E-3</v>
      </c>
      <c r="U403">
        <f t="shared" si="63"/>
        <v>-5.10915290399927E-4</v>
      </c>
      <c r="V403">
        <f t="shared" si="64"/>
        <v>0</v>
      </c>
      <c r="W403">
        <f t="shared" si="65"/>
        <v>1.6710075256320955E-3</v>
      </c>
    </row>
    <row r="404" spans="1:23" x14ac:dyDescent="0.3">
      <c r="A404" t="s">
        <v>105</v>
      </c>
      <c r="B404" s="1">
        <v>18.130718000000002</v>
      </c>
      <c r="C404" s="1">
        <v>11.753132000000001</v>
      </c>
      <c r="D404" s="1">
        <v>15.467191</v>
      </c>
      <c r="E404" s="1">
        <v>25.141428000000001</v>
      </c>
      <c r="F404" s="1">
        <v>21.153769</v>
      </c>
      <c r="G404" s="1">
        <v>6.704688</v>
      </c>
      <c r="H404" s="1">
        <v>4248.7001950000003</v>
      </c>
      <c r="I404" s="1">
        <v>36.970427999999998</v>
      </c>
      <c r="J404" s="1">
        <v>11.599824</v>
      </c>
      <c r="K404" s="1">
        <v>1.2898419999999999</v>
      </c>
      <c r="L404" s="1">
        <v>19.052455999999999</v>
      </c>
      <c r="M404">
        <f t="shared" si="60"/>
        <v>4.4783856093078001E-4</v>
      </c>
      <c r="N404">
        <f t="shared" si="60"/>
        <v>-2.9827895368065294E-3</v>
      </c>
      <c r="O404">
        <f t="shared" si="60"/>
        <v>-2.4659753001319284E-3</v>
      </c>
      <c r="P404">
        <f t="shared" si="59"/>
        <v>2.5414352562866283E-2</v>
      </c>
      <c r="Q404">
        <f t="shared" si="59"/>
        <v>-6.9949086457259391E-3</v>
      </c>
      <c r="R404">
        <f t="shared" si="59"/>
        <v>-8.1637324620587037E-4</v>
      </c>
      <c r="S404">
        <f t="shared" si="61"/>
        <v>-1.5591969325806754E-2</v>
      </c>
      <c r="T404">
        <f t="shared" si="62"/>
        <v>1.5760374288858348E-2</v>
      </c>
      <c r="U404">
        <f t="shared" si="63"/>
        <v>-1.0207875089068841E-3</v>
      </c>
      <c r="V404">
        <f t="shared" si="64"/>
        <v>1.8692312194374949E-3</v>
      </c>
      <c r="W404">
        <f t="shared" si="65"/>
        <v>2.766171909077686E-3</v>
      </c>
    </row>
    <row r="405" spans="1:23" x14ac:dyDescent="0.3">
      <c r="A405" t="s">
        <v>104</v>
      </c>
      <c r="B405" s="1">
        <v>18.122602000000001</v>
      </c>
      <c r="C405" s="1">
        <v>11.788294</v>
      </c>
      <c r="D405" s="1">
        <v>15.505426999999999</v>
      </c>
      <c r="E405" s="1">
        <v>24.518311000000001</v>
      </c>
      <c r="F405" s="1">
        <v>21.302779999999998</v>
      </c>
      <c r="G405" s="1">
        <v>6.7101660000000001</v>
      </c>
      <c r="H405" s="1">
        <v>4236.9799800000001</v>
      </c>
      <c r="I405" s="1">
        <v>37.555999999999997</v>
      </c>
      <c r="J405" s="1">
        <v>11.419843</v>
      </c>
      <c r="K405" s="1">
        <v>1.2911600000000001</v>
      </c>
      <c r="L405" s="1">
        <v>19.016908999999998</v>
      </c>
      <c r="M405">
        <f t="shared" si="60"/>
        <v>2.6942709561508238E-3</v>
      </c>
      <c r="N405">
        <f t="shared" si="60"/>
        <v>1.2075490294474189E-2</v>
      </c>
      <c r="O405">
        <f t="shared" si="60"/>
        <v>-1.2316622680416112E-3</v>
      </c>
      <c r="P405">
        <f t="shared" si="59"/>
        <v>5.9281641502302307E-3</v>
      </c>
      <c r="Q405">
        <f t="shared" si="59"/>
        <v>2.5245261736759339E-3</v>
      </c>
      <c r="R405">
        <f t="shared" si="59"/>
        <v>2.0978069751009354E-2</v>
      </c>
      <c r="S405">
        <f t="shared" si="61"/>
        <v>6.4193669859073932E-3</v>
      </c>
      <c r="T405">
        <f t="shared" si="62"/>
        <v>1.6012831475407108E-2</v>
      </c>
      <c r="U405">
        <f t="shared" si="63"/>
        <v>6.9377288920222657E-3</v>
      </c>
      <c r="V405">
        <f t="shared" si="64"/>
        <v>1.4217999621019661E-2</v>
      </c>
      <c r="W405">
        <f t="shared" si="65"/>
        <v>9.559556027520566E-3</v>
      </c>
    </row>
    <row r="406" spans="1:23" x14ac:dyDescent="0.3">
      <c r="A406" t="s">
        <v>103</v>
      </c>
      <c r="B406" s="1">
        <v>18.073906000000001</v>
      </c>
      <c r="C406" s="1">
        <v>11.647643</v>
      </c>
      <c r="D406" s="1">
        <v>15.524547999999999</v>
      </c>
      <c r="E406" s="1">
        <v>24.373819000000001</v>
      </c>
      <c r="F406" s="1">
        <v>21.249136</v>
      </c>
      <c r="G406" s="1">
        <v>6.572292</v>
      </c>
      <c r="H406" s="1">
        <v>4196.8598629999997</v>
      </c>
      <c r="I406" s="1">
        <v>37.316451999999998</v>
      </c>
      <c r="J406" s="1">
        <v>11.239860999999999</v>
      </c>
      <c r="K406" s="1">
        <v>1.2822640000000001</v>
      </c>
      <c r="L406" s="1">
        <v>18.750316999999999</v>
      </c>
      <c r="M406">
        <f t="shared" si="60"/>
        <v>8.6049393215559267E-3</v>
      </c>
      <c r="N406">
        <f t="shared" si="60"/>
        <v>7.5531504309878095E-4</v>
      </c>
      <c r="O406">
        <f t="shared" si="60"/>
        <v>2.4690838250631675E-3</v>
      </c>
      <c r="P406">
        <f t="shared" si="59"/>
        <v>-5.8932281265213771E-3</v>
      </c>
      <c r="Q406">
        <f t="shared" si="59"/>
        <v>-1.4103944115747558E-2</v>
      </c>
      <c r="R406">
        <f t="shared" si="59"/>
        <v>2.6465519766454282E-3</v>
      </c>
      <c r="S406">
        <f t="shared" si="61"/>
        <v>4.0831617624806693E-2</v>
      </c>
      <c r="T406">
        <f t="shared" si="62"/>
        <v>7.2580832340625179E-3</v>
      </c>
      <c r="U406">
        <f t="shared" si="63"/>
        <v>4.6461192759887915E-3</v>
      </c>
      <c r="V406">
        <f t="shared" si="64"/>
        <v>-2.8354095190010753E-3</v>
      </c>
      <c r="W406">
        <f t="shared" si="65"/>
        <v>4.997528210215485E-3</v>
      </c>
    </row>
    <row r="407" spans="1:23" x14ac:dyDescent="0.3">
      <c r="A407" t="s">
        <v>102</v>
      </c>
      <c r="B407" s="1">
        <v>17.919708</v>
      </c>
      <c r="C407" s="1">
        <v>11.638852</v>
      </c>
      <c r="D407" s="1">
        <v>15.486311000000001</v>
      </c>
      <c r="E407" s="1">
        <v>24.518311000000001</v>
      </c>
      <c r="F407" s="1">
        <v>21.55312</v>
      </c>
      <c r="G407" s="1">
        <v>6.5549439999999999</v>
      </c>
      <c r="H407" s="1">
        <v>4175.9902339999999</v>
      </c>
      <c r="I407" s="1">
        <v>35.852535000000003</v>
      </c>
      <c r="J407" s="1">
        <v>11.158868999999999</v>
      </c>
      <c r="K407" s="1">
        <v>1.2763340000000001</v>
      </c>
      <c r="L407" s="1">
        <v>18.803633000000001</v>
      </c>
      <c r="M407">
        <f t="shared" si="60"/>
        <v>3.6364491749547589E-3</v>
      </c>
      <c r="N407">
        <f t="shared" si="60"/>
        <v>-5.2593977858342855E-3</v>
      </c>
      <c r="O407">
        <f t="shared" si="60"/>
        <v>0</v>
      </c>
      <c r="P407">
        <f t="shared" si="59"/>
        <v>-3.0703283884857768E-2</v>
      </c>
      <c r="Q407">
        <f t="shared" si="59"/>
        <v>9.491972585885966E-3</v>
      </c>
      <c r="R407">
        <f t="shared" si="59"/>
        <v>7.1549327889270931E-3</v>
      </c>
      <c r="S407">
        <f t="shared" si="61"/>
        <v>1.8910696930541926E-2</v>
      </c>
      <c r="T407">
        <f t="shared" si="62"/>
        <v>1.4314924893547243E-2</v>
      </c>
      <c r="U407">
        <f t="shared" si="63"/>
        <v>-2.0232733626009525E-2</v>
      </c>
      <c r="V407">
        <f t="shared" si="64"/>
        <v>-1.3979488967749476E-2</v>
      </c>
      <c r="W407">
        <f t="shared" si="65"/>
        <v>2.4221254080434296E-3</v>
      </c>
    </row>
    <row r="408" spans="1:23" x14ac:dyDescent="0.3">
      <c r="A408" t="s">
        <v>101</v>
      </c>
      <c r="B408" s="1">
        <v>17.854780000000002</v>
      </c>
      <c r="C408" s="1">
        <v>11.700388999999999</v>
      </c>
      <c r="D408" s="1">
        <v>15.486311000000001</v>
      </c>
      <c r="E408" s="1">
        <v>25.294948999999999</v>
      </c>
      <c r="F408" s="1">
        <v>21.350462</v>
      </c>
      <c r="G408" s="1">
        <v>6.5083770000000003</v>
      </c>
      <c r="H408" s="1">
        <v>4165.8999020000001</v>
      </c>
      <c r="I408" s="1">
        <v>35.187122000000002</v>
      </c>
      <c r="J408" s="1">
        <v>11.001385000000001</v>
      </c>
      <c r="K408" s="1">
        <v>1.302691</v>
      </c>
      <c r="L408" s="1">
        <v>19.070225000000001</v>
      </c>
      <c r="M408">
        <f t="shared" si="60"/>
        <v>3.1894873612559715E-2</v>
      </c>
      <c r="N408">
        <f t="shared" si="60"/>
        <v>-1.0408716368547455E-2</v>
      </c>
      <c r="O408">
        <f t="shared" si="60"/>
        <v>4.9628045984919655E-3</v>
      </c>
      <c r="P408">
        <f t="shared" si="59"/>
        <v>-4.1737991886408254E-2</v>
      </c>
      <c r="Q408">
        <f t="shared" si="59"/>
        <v>1.6779501955856979E-3</v>
      </c>
      <c r="R408">
        <f t="shared" si="59"/>
        <v>1.4373089685928875E-2</v>
      </c>
      <c r="S408">
        <f t="shared" si="61"/>
        <v>7.1102821290021101E-3</v>
      </c>
      <c r="T408">
        <f t="shared" si="62"/>
        <v>-7.3080898897491808E-3</v>
      </c>
      <c r="U408">
        <f t="shared" si="63"/>
        <v>4.318127500790192E-3</v>
      </c>
      <c r="V408">
        <f t="shared" si="64"/>
        <v>2.6794055110245685E-2</v>
      </c>
      <c r="W408">
        <f t="shared" si="65"/>
        <v>7.4630143139950977E-3</v>
      </c>
    </row>
    <row r="409" spans="1:23" x14ac:dyDescent="0.3">
      <c r="A409" t="s">
        <v>100</v>
      </c>
      <c r="B409" s="1">
        <v>17.302906</v>
      </c>
      <c r="C409" s="1">
        <v>11.823456</v>
      </c>
      <c r="D409" s="1">
        <v>15.409834999999999</v>
      </c>
      <c r="E409" s="1">
        <v>26.396694</v>
      </c>
      <c r="F409" s="1">
        <v>21.314696999999999</v>
      </c>
      <c r="G409" s="1">
        <v>6.4161570000000001</v>
      </c>
      <c r="H409" s="1">
        <v>4135.0400390000004</v>
      </c>
      <c r="I409" s="1">
        <v>34.938698000000002</v>
      </c>
      <c r="J409" s="1">
        <v>11.082376</v>
      </c>
      <c r="K409" s="1">
        <v>1.2970900000000001</v>
      </c>
      <c r="L409" s="1">
        <v>18.572590000000002</v>
      </c>
      <c r="M409">
        <f t="shared" si="60"/>
        <v>-1.8726454568114281E-3</v>
      </c>
      <c r="N409">
        <f t="shared" si="60"/>
        <v>-2.9652691459882696E-3</v>
      </c>
      <c r="O409">
        <f t="shared" si="60"/>
        <v>8.7610625320067026E-3</v>
      </c>
      <c r="P409">
        <f t="shared" si="59"/>
        <v>6.8472087559356964E-4</v>
      </c>
      <c r="Q409">
        <f t="shared" si="59"/>
        <v>1.360537877114476E-2</v>
      </c>
      <c r="R409">
        <f t="shared" si="59"/>
        <v>2.2853097275157941E-2</v>
      </c>
      <c r="S409">
        <f t="shared" si="61"/>
        <v>-3.0380224194115346E-3</v>
      </c>
      <c r="T409">
        <f t="shared" si="62"/>
        <v>2.441978696524183E-3</v>
      </c>
      <c r="U409">
        <f t="shared" si="63"/>
        <v>1.4952491468965601E-2</v>
      </c>
      <c r="V409">
        <f t="shared" si="64"/>
        <v>0</v>
      </c>
      <c r="W409">
        <f t="shared" si="65"/>
        <v>8.5808240221796339E-3</v>
      </c>
    </row>
    <row r="410" spans="1:23" x14ac:dyDescent="0.3">
      <c r="A410" t="s">
        <v>99</v>
      </c>
      <c r="B410" s="1">
        <v>17.335369</v>
      </c>
      <c r="C410" s="1">
        <v>11.85862</v>
      </c>
      <c r="D410" s="1">
        <v>15.276001000000001</v>
      </c>
      <c r="E410" s="1">
        <v>26.378632</v>
      </c>
      <c r="F410" s="1">
        <v>21.028594999999999</v>
      </c>
      <c r="G410" s="1">
        <v>6.2728039999999998</v>
      </c>
      <c r="H410" s="1">
        <v>4099.8598629999997</v>
      </c>
      <c r="I410" s="1">
        <v>35.045166000000002</v>
      </c>
      <c r="J410" s="1">
        <v>11.055379</v>
      </c>
      <c r="K410" s="1">
        <v>1.277981</v>
      </c>
      <c r="L410" s="1">
        <v>18.572590000000002</v>
      </c>
      <c r="M410">
        <f t="shared" si="60"/>
        <v>4.6839507681917247E-4</v>
      </c>
      <c r="N410">
        <f t="shared" si="60"/>
        <v>3.720291373450646E-3</v>
      </c>
      <c r="O410">
        <f t="shared" si="60"/>
        <v>3.7687980763070339E-3</v>
      </c>
      <c r="P410">
        <f t="shared" si="59"/>
        <v>4.3214288553245828E-2</v>
      </c>
      <c r="Q410">
        <f t="shared" si="59"/>
        <v>2.8271532676819033E-2</v>
      </c>
      <c r="R410">
        <f t="shared" si="59"/>
        <v>1.6121737552808213E-2</v>
      </c>
      <c r="S410">
        <f t="shared" si="61"/>
        <v>-2.0337304277347257E-2</v>
      </c>
      <c r="T410">
        <f t="shared" si="62"/>
        <v>2.2471875819660481E-2</v>
      </c>
      <c r="U410">
        <f t="shared" si="63"/>
        <v>1.5493681837988049E-3</v>
      </c>
      <c r="V410">
        <f t="shared" si="64"/>
        <v>2.2504908798069323E-2</v>
      </c>
      <c r="W410">
        <f t="shared" si="65"/>
        <v>8.6326760991017881E-3</v>
      </c>
    </row>
    <row r="411" spans="1:23" x14ac:dyDescent="0.3">
      <c r="A411" t="s">
        <v>98</v>
      </c>
      <c r="B411" s="1">
        <v>17.327252999999999</v>
      </c>
      <c r="C411" s="1">
        <v>11.814666000000001</v>
      </c>
      <c r="D411" s="1">
        <v>15.218645</v>
      </c>
      <c r="E411" s="1">
        <v>25.285919</v>
      </c>
      <c r="F411" s="1">
        <v>20.450430000000001</v>
      </c>
      <c r="G411" s="1">
        <v>6.1732800000000001</v>
      </c>
      <c r="H411" s="1">
        <v>4064.7700199999999</v>
      </c>
      <c r="I411" s="1">
        <v>35.772686</v>
      </c>
      <c r="J411" s="1">
        <v>10.812404000000001</v>
      </c>
      <c r="K411" s="1">
        <v>1.2760039999999999</v>
      </c>
      <c r="L411" s="1">
        <v>18.163815</v>
      </c>
      <c r="M411">
        <f t="shared" si="60"/>
        <v>6.1263823075778934E-3</v>
      </c>
      <c r="N411">
        <f t="shared" si="60"/>
        <v>1.12865854926818E-2</v>
      </c>
      <c r="O411">
        <f t="shared" si="60"/>
        <v>2.0512723882338602E-2</v>
      </c>
      <c r="P411">
        <f t="shared" si="59"/>
        <v>-4.4368524967549061E-2</v>
      </c>
      <c r="Q411">
        <f t="shared" si="59"/>
        <v>4.9795814065487498E-3</v>
      </c>
      <c r="R411">
        <f t="shared" si="59"/>
        <v>2.7663759940111055E-2</v>
      </c>
      <c r="S411">
        <f t="shared" si="61"/>
        <v>-5.1813727983504032E-3</v>
      </c>
      <c r="T411">
        <f t="shared" si="62"/>
        <v>-3.3180929906713175E-3</v>
      </c>
      <c r="U411">
        <f t="shared" si="63"/>
        <v>2.5881779824155071E-3</v>
      </c>
      <c r="V411">
        <f t="shared" si="64"/>
        <v>1.0880375915090168E-2</v>
      </c>
      <c r="W411">
        <f t="shared" si="65"/>
        <v>5.994226208383191E-3</v>
      </c>
    </row>
    <row r="412" spans="1:23" x14ac:dyDescent="0.3">
      <c r="A412" t="s">
        <v>97</v>
      </c>
      <c r="B412" s="1">
        <v>17.221746</v>
      </c>
      <c r="C412" s="1">
        <v>11.682807</v>
      </c>
      <c r="D412" s="1">
        <v>14.912744</v>
      </c>
      <c r="E412" s="1">
        <v>26.459906</v>
      </c>
      <c r="F412" s="1">
        <v>20.3491</v>
      </c>
      <c r="G412" s="1">
        <v>6.0071009999999996</v>
      </c>
      <c r="H412" s="1">
        <v>4040.5500489999999</v>
      </c>
      <c r="I412" s="1">
        <v>35.959003000000003</v>
      </c>
      <c r="J412" s="1">
        <v>10.8484</v>
      </c>
      <c r="K412" s="1">
        <v>1.27271</v>
      </c>
      <c r="L412" s="1">
        <v>17.968312999999998</v>
      </c>
      <c r="M412">
        <f t="shared" si="60"/>
        <v>6.1640286555910695E-3</v>
      </c>
      <c r="N412">
        <f t="shared" si="60"/>
        <v>-6.5400786330674698E-2</v>
      </c>
      <c r="O412">
        <f t="shared" si="60"/>
        <v>-6.3693265949451572E-3</v>
      </c>
      <c r="P412">
        <f t="shared" si="59"/>
        <v>6.8727490596685037E-3</v>
      </c>
      <c r="Q412">
        <f t="shared" si="59"/>
        <v>1.2455444392815984E-2</v>
      </c>
      <c r="R412">
        <f t="shared" si="59"/>
        <v>3.0493389453281061E-3</v>
      </c>
      <c r="S412">
        <f t="shared" si="61"/>
        <v>6.2065582198134184E-3</v>
      </c>
      <c r="T412">
        <f t="shared" si="62"/>
        <v>5.4211779046082764E-3</v>
      </c>
      <c r="U412">
        <f t="shared" si="63"/>
        <v>3.116438464133342E-3</v>
      </c>
      <c r="V412">
        <f t="shared" si="64"/>
        <v>-9.8804164375099202E-4</v>
      </c>
      <c r="W412">
        <f t="shared" si="65"/>
        <v>1.1372977047232613E-3</v>
      </c>
    </row>
    <row r="413" spans="1:23" x14ac:dyDescent="0.3">
      <c r="A413" t="s">
        <v>96</v>
      </c>
      <c r="B413" s="1">
        <v>17.116240999999999</v>
      </c>
      <c r="C413" s="1">
        <v>12.500339</v>
      </c>
      <c r="D413" s="1">
        <v>15.008336999999999</v>
      </c>
      <c r="E413" s="1">
        <v>26.279295000000001</v>
      </c>
      <c r="F413" s="1">
        <v>20.098761</v>
      </c>
      <c r="G413" s="1">
        <v>5.9888389999999996</v>
      </c>
      <c r="H413" s="1">
        <v>4035.959961</v>
      </c>
      <c r="I413" s="1">
        <v>35.737197999999999</v>
      </c>
      <c r="J413" s="1">
        <v>10.789906</v>
      </c>
      <c r="K413" s="1">
        <v>1.268756</v>
      </c>
      <c r="L413" s="1">
        <v>17.986084000000002</v>
      </c>
      <c r="M413">
        <f t="shared" si="60"/>
        <v>-1.4025287049626911E-2</v>
      </c>
      <c r="N413">
        <f t="shared" si="60"/>
        <v>-1.6597418646097428E-2</v>
      </c>
      <c r="O413">
        <f t="shared" si="60"/>
        <v>3.6988095356542239E-2</v>
      </c>
      <c r="P413">
        <f t="shared" si="59"/>
        <v>-8.8555176189143436E-3</v>
      </c>
      <c r="Q413">
        <f t="shared" si="59"/>
        <v>-9.9824061550775056E-3</v>
      </c>
      <c r="R413">
        <f t="shared" si="59"/>
        <v>2.4453360516751843E-3</v>
      </c>
      <c r="S413">
        <f t="shared" si="61"/>
        <v>6.4966935793739911E-3</v>
      </c>
      <c r="T413">
        <f t="shared" si="62"/>
        <v>-4.1528755866918621E-3</v>
      </c>
      <c r="U413">
        <f t="shared" si="63"/>
        <v>-4.3951577148318988E-3</v>
      </c>
      <c r="V413">
        <f t="shared" si="64"/>
        <v>3.9683525378271245E-3</v>
      </c>
      <c r="W413">
        <f t="shared" si="65"/>
        <v>-3.1590093238653694E-3</v>
      </c>
    </row>
    <row r="414" spans="1:23" x14ac:dyDescent="0.3">
      <c r="A414" t="s">
        <v>95</v>
      </c>
      <c r="B414" s="1">
        <v>17.359715999999999</v>
      </c>
      <c r="C414" s="1">
        <v>12.711314</v>
      </c>
      <c r="D414" s="1">
        <v>14.473008</v>
      </c>
      <c r="E414" s="1">
        <v>26.514091000000001</v>
      </c>
      <c r="F414" s="1">
        <v>20.301418000000002</v>
      </c>
      <c r="G414" s="1">
        <v>5.9742300000000004</v>
      </c>
      <c r="H414" s="1">
        <v>4048.75</v>
      </c>
      <c r="I414" s="1">
        <v>35.506523000000001</v>
      </c>
      <c r="J414" s="1">
        <v>10.834902</v>
      </c>
      <c r="K414" s="1">
        <v>1.274357</v>
      </c>
      <c r="L414" s="1">
        <v>17.914991000000001</v>
      </c>
    </row>
    <row r="415" spans="1:23" x14ac:dyDescent="0.3">
      <c r="A415" t="s">
        <v>511</v>
      </c>
      <c r="B415" s="1"/>
      <c r="C415" s="1"/>
      <c r="D415" s="1"/>
      <c r="E415" s="1"/>
      <c r="F415" s="1"/>
      <c r="G415" s="1"/>
      <c r="H415" s="1">
        <v>4026.459961</v>
      </c>
      <c r="I415" s="1"/>
      <c r="J415" s="1"/>
      <c r="K415" s="1"/>
      <c r="L415" s="1"/>
    </row>
    <row r="416" spans="1:23" x14ac:dyDescent="0.3">
      <c r="A416" t="s">
        <v>94</v>
      </c>
      <c r="B416" s="1">
        <v>17.335369</v>
      </c>
      <c r="C416" s="1">
        <v>12.377269</v>
      </c>
      <c r="D416" s="1">
        <v>14.262700000000001</v>
      </c>
      <c r="E416" s="1">
        <v>25.827759</v>
      </c>
      <c r="F416" s="1">
        <v>20.068956</v>
      </c>
      <c r="G416" s="1">
        <v>5.8272250000000003</v>
      </c>
      <c r="H416" s="1">
        <v>4026.459961</v>
      </c>
      <c r="I416" s="1">
        <v>35.142761</v>
      </c>
      <c r="J416" s="1">
        <v>10.861898</v>
      </c>
      <c r="K416" s="1">
        <v>1.2651319999999999</v>
      </c>
      <c r="L416" s="1">
        <v>17.675059999999998</v>
      </c>
      <c r="M416">
        <f t="shared" si="60"/>
        <v>-2.3353545947536469E-3</v>
      </c>
      <c r="N416">
        <f t="shared" si="60"/>
        <v>1.0768117259292831E-2</v>
      </c>
      <c r="O416">
        <f t="shared" si="60"/>
        <v>6.747673571982471E-3</v>
      </c>
      <c r="P416">
        <f t="shared" si="59"/>
        <v>-5.2173807877982092E-3</v>
      </c>
      <c r="Q416">
        <f t="shared" si="59"/>
        <v>9.2925120077860246E-3</v>
      </c>
      <c r="R416">
        <f t="shared" si="59"/>
        <v>1.8838540452401631E-3</v>
      </c>
      <c r="S416">
        <f t="shared" si="61"/>
        <v>-9.7500119544834396E-3</v>
      </c>
      <c r="T416">
        <f t="shared" si="62"/>
        <v>-2.8913851007881242E-3</v>
      </c>
      <c r="U416">
        <f t="shared" si="63"/>
        <v>-4.1490771038796836E-3</v>
      </c>
      <c r="V416">
        <f t="shared" si="64"/>
        <v>-5.002610346384162E-3</v>
      </c>
      <c r="W416">
        <f t="shared" si="65"/>
        <v>-2.4873130187043069E-3</v>
      </c>
    </row>
    <row r="417" spans="1:23" x14ac:dyDescent="0.3">
      <c r="A417" t="s">
        <v>93</v>
      </c>
      <c r="B417" s="1">
        <v>17.375948000000001</v>
      </c>
      <c r="C417" s="1">
        <v>12.245409</v>
      </c>
      <c r="D417" s="1">
        <v>14.167104999999999</v>
      </c>
      <c r="E417" s="1">
        <v>25.963218999999999</v>
      </c>
      <c r="F417" s="1">
        <v>19.884181999999999</v>
      </c>
      <c r="G417" s="1">
        <v>5.816268</v>
      </c>
      <c r="H417" s="1">
        <v>4036.5</v>
      </c>
      <c r="I417" s="1">
        <v>35.488776999999999</v>
      </c>
      <c r="J417" s="1">
        <v>10.893395</v>
      </c>
      <c r="K417" s="1">
        <v>1.2704029999999999</v>
      </c>
      <c r="L417" s="1">
        <v>17.763926000000001</v>
      </c>
      <c r="M417">
        <f t="shared" si="60"/>
        <v>1.6619223124131333E-2</v>
      </c>
      <c r="N417">
        <f t="shared" si="60"/>
        <v>1.0885331788396568E-2</v>
      </c>
      <c r="O417">
        <f t="shared" si="60"/>
        <v>-5.369155411128812E-3</v>
      </c>
      <c r="P417">
        <f t="shared" si="59"/>
        <v>1.4825243235685681E-2</v>
      </c>
      <c r="Q417">
        <f t="shared" si="59"/>
        <v>1.8625971999209678E-2</v>
      </c>
      <c r="R417">
        <f t="shared" si="59"/>
        <v>1.8059750842407407E-2</v>
      </c>
      <c r="S417">
        <f t="shared" si="61"/>
        <v>-5.2225234688260125E-3</v>
      </c>
      <c r="T417">
        <f t="shared" si="62"/>
        <v>1.6372682221559076E-2</v>
      </c>
      <c r="U417">
        <f t="shared" si="63"/>
        <v>9.4235953797368044E-3</v>
      </c>
      <c r="V417">
        <f t="shared" si="64"/>
        <v>9.0863594973180639E-3</v>
      </c>
      <c r="W417">
        <f t="shared" si="65"/>
        <v>1.1266349162670997E-2</v>
      </c>
    </row>
    <row r="418" spans="1:23" x14ac:dyDescent="0.3">
      <c r="A418" t="s">
        <v>92</v>
      </c>
      <c r="B418" s="1">
        <v>17.091894</v>
      </c>
      <c r="C418" s="1">
        <v>12.113549000000001</v>
      </c>
      <c r="D418" s="1">
        <v>14.243581000000001</v>
      </c>
      <c r="E418" s="1">
        <v>25.583931</v>
      </c>
      <c r="F418" s="1">
        <v>19.520592000000001</v>
      </c>
      <c r="G418" s="1">
        <v>5.7130910000000004</v>
      </c>
      <c r="H418" s="1">
        <v>3991.530029</v>
      </c>
      <c r="I418" s="1">
        <v>35.675091000000002</v>
      </c>
      <c r="J418" s="1">
        <v>10.717914</v>
      </c>
      <c r="K418" s="1">
        <v>1.258543</v>
      </c>
      <c r="L418" s="1">
        <v>17.60397</v>
      </c>
      <c r="M418">
        <f t="shared" si="60"/>
        <v>5.7304986840749361E-3</v>
      </c>
      <c r="N418">
        <f t="shared" si="60"/>
        <v>-1.5010709331718219E-2</v>
      </c>
      <c r="O418">
        <f t="shared" si="60"/>
        <v>5.39813885758611E-3</v>
      </c>
      <c r="P418">
        <f t="shared" si="59"/>
        <v>-2.2766425687133496E-2</v>
      </c>
      <c r="Q418">
        <f t="shared" si="59"/>
        <v>-2.991705694507385E-2</v>
      </c>
      <c r="R418">
        <f t="shared" si="59"/>
        <v>-1.3247285307411816E-2</v>
      </c>
      <c r="S418">
        <f t="shared" si="61"/>
        <v>1.5916921416499363E-2</v>
      </c>
      <c r="T418">
        <f t="shared" si="62"/>
        <v>-1.2028133180929879E-2</v>
      </c>
      <c r="U418">
        <f t="shared" si="63"/>
        <v>-5.7260637814616766E-3</v>
      </c>
      <c r="V418">
        <f t="shared" si="64"/>
        <v>-9.5000160919948007E-3</v>
      </c>
      <c r="W418">
        <f t="shared" si="65"/>
        <v>-4.9558343415690986E-3</v>
      </c>
    </row>
    <row r="419" spans="1:23" x14ac:dyDescent="0.3">
      <c r="A419" t="s">
        <v>91</v>
      </c>
      <c r="B419" s="1">
        <v>16.994506999999999</v>
      </c>
      <c r="C419" s="1">
        <v>12.298152999999999</v>
      </c>
      <c r="D419" s="1">
        <v>14.167104999999999</v>
      </c>
      <c r="E419" s="1">
        <v>26.179955</v>
      </c>
      <c r="F419" s="1">
        <v>20.122601</v>
      </c>
      <c r="G419" s="1">
        <v>5.78979</v>
      </c>
      <c r="H419" s="1">
        <v>4011.4099120000001</v>
      </c>
      <c r="I419" s="1">
        <v>35.116149999999998</v>
      </c>
      <c r="J419" s="1">
        <v>10.8484</v>
      </c>
      <c r="K419" s="1">
        <v>1.2657910000000001</v>
      </c>
      <c r="L419" s="1">
        <v>17.772811999999998</v>
      </c>
      <c r="M419">
        <f t="shared" si="60"/>
        <v>-2.1037728958238744E-2</v>
      </c>
      <c r="N419">
        <f t="shared" si="60"/>
        <v>-1.3399089864362224E-2</v>
      </c>
      <c r="O419">
        <f t="shared" si="60"/>
        <v>-1.0680963071585614E-2</v>
      </c>
      <c r="P419">
        <f t="shared" si="59"/>
        <v>3.114142171174894E-3</v>
      </c>
      <c r="Q419">
        <f t="shared" si="59"/>
        <v>-2.9885125187218309E-2</v>
      </c>
      <c r="R419">
        <f t="shared" si="59"/>
        <v>-1.4147916209409472E-2</v>
      </c>
      <c r="S419">
        <f t="shared" si="61"/>
        <v>2.0255004641722696E-3</v>
      </c>
      <c r="T419">
        <f t="shared" si="62"/>
        <v>-1.18851766927901E-2</v>
      </c>
      <c r="U419">
        <f t="shared" si="63"/>
        <v>-2.2889467155250975E-2</v>
      </c>
      <c r="V419">
        <f t="shared" si="64"/>
        <v>-1.5748031932123263E-2</v>
      </c>
      <c r="W419">
        <f t="shared" si="65"/>
        <v>-1.1950950093391866E-2</v>
      </c>
    </row>
    <row r="420" spans="1:23" x14ac:dyDescent="0.3">
      <c r="A420" t="s">
        <v>90</v>
      </c>
      <c r="B420" s="1">
        <v>17.359715999999999</v>
      </c>
      <c r="C420" s="1">
        <v>12.465175</v>
      </c>
      <c r="D420" s="1">
        <v>14.320057</v>
      </c>
      <c r="E420" s="1">
        <v>26.098680000000002</v>
      </c>
      <c r="F420" s="1">
        <v>20.742493</v>
      </c>
      <c r="G420" s="1">
        <v>5.8728790000000002</v>
      </c>
      <c r="H420" s="1">
        <v>4059.929932</v>
      </c>
      <c r="I420" s="1">
        <v>35.045166000000002</v>
      </c>
      <c r="J420" s="1">
        <v>10.978885999999999</v>
      </c>
      <c r="K420" s="1">
        <v>1.2954429999999999</v>
      </c>
      <c r="L420" s="1">
        <v>18.057176999999999</v>
      </c>
      <c r="M420">
        <f t="shared" si="60"/>
        <v>-5.116284667479265E-3</v>
      </c>
      <c r="N420">
        <f t="shared" si="60"/>
        <v>-1.1157618707413497E-2</v>
      </c>
      <c r="O420">
        <f t="shared" si="60"/>
        <v>0</v>
      </c>
      <c r="P420">
        <f t="shared" si="59"/>
        <v>-7.8955362278424479E-3</v>
      </c>
      <c r="Q420">
        <f t="shared" si="59"/>
        <v>8.6956229962547038E-3</v>
      </c>
      <c r="R420">
        <f t="shared" si="59"/>
        <v>-1.2285052367798088E-2</v>
      </c>
      <c r="S420">
        <f t="shared" si="61"/>
        <v>2.0294968408984815E-3</v>
      </c>
      <c r="T420">
        <f t="shared" si="62"/>
        <v>-8.1301826616935191E-3</v>
      </c>
      <c r="U420">
        <f t="shared" si="63"/>
        <v>-7.0700033035250298E-3</v>
      </c>
      <c r="V420">
        <f t="shared" si="64"/>
        <v>1.0945334074211832E-2</v>
      </c>
      <c r="W420">
        <f t="shared" si="65"/>
        <v>-4.2821416293730152E-3</v>
      </c>
    </row>
    <row r="421" spans="1:23" x14ac:dyDescent="0.3">
      <c r="A421" t="s">
        <v>89</v>
      </c>
      <c r="B421" s="1">
        <v>17.448989999999998</v>
      </c>
      <c r="C421" s="1">
        <v>12.605826</v>
      </c>
      <c r="D421" s="1">
        <v>14.320057</v>
      </c>
      <c r="E421" s="1">
        <v>26.306383</v>
      </c>
      <c r="F421" s="1">
        <v>20.563679</v>
      </c>
      <c r="G421" s="1">
        <v>5.9459249999999999</v>
      </c>
      <c r="H421" s="1">
        <v>4077.389893</v>
      </c>
      <c r="I421" s="1">
        <v>34.974186000000003</v>
      </c>
      <c r="J421" s="1">
        <v>11.068878</v>
      </c>
      <c r="K421" s="1">
        <v>1.304667</v>
      </c>
      <c r="L421" s="1">
        <v>17.861675000000002</v>
      </c>
      <c r="M421">
        <f t="shared" si="60"/>
        <v>4.6728918151672794E-3</v>
      </c>
      <c r="N421">
        <f t="shared" si="60"/>
        <v>6.9786263196069953E-4</v>
      </c>
      <c r="O421">
        <f t="shared" si="60"/>
        <v>5.36915541112859E-3</v>
      </c>
      <c r="P421">
        <f t="shared" si="59"/>
        <v>5.1759733502712013E-3</v>
      </c>
      <c r="Q421">
        <f t="shared" si="59"/>
        <v>-1.3440097502271819E-2</v>
      </c>
      <c r="R421">
        <f t="shared" si="59"/>
        <v>-4.4335580781206252E-3</v>
      </c>
      <c r="S421">
        <f t="shared" si="61"/>
        <v>-9.0498310642099788E-3</v>
      </c>
      <c r="T421">
        <f t="shared" si="62"/>
        <v>1.6286485782128768E-3</v>
      </c>
      <c r="U421">
        <f t="shared" si="63"/>
        <v>-2.5191863372178158E-3</v>
      </c>
      <c r="V421">
        <f t="shared" si="64"/>
        <v>9.0360705605969649E-3</v>
      </c>
      <c r="W421">
        <f t="shared" si="65"/>
        <v>-1.5134245028460835E-3</v>
      </c>
    </row>
    <row r="422" spans="1:23" x14ac:dyDescent="0.3">
      <c r="A422" t="s">
        <v>88</v>
      </c>
      <c r="B422" s="1">
        <v>17.367832</v>
      </c>
      <c r="C422" s="1">
        <v>12.597035</v>
      </c>
      <c r="D422" s="1">
        <v>14.243581000000001</v>
      </c>
      <c r="E422" s="1">
        <v>26.170922999999998</v>
      </c>
      <c r="F422" s="1">
        <v>20.843821999999999</v>
      </c>
      <c r="G422" s="1">
        <v>5.972404</v>
      </c>
      <c r="H422" s="1">
        <v>4083.570068</v>
      </c>
      <c r="I422" s="1">
        <v>35.293587000000002</v>
      </c>
      <c r="J422" s="1">
        <v>11.050879999999999</v>
      </c>
      <c r="K422" s="1">
        <v>1.3079620000000001</v>
      </c>
      <c r="L422" s="1">
        <v>17.701720999999999</v>
      </c>
      <c r="M422">
        <f t="shared" si="60"/>
        <v>0</v>
      </c>
      <c r="N422">
        <f t="shared" si="60"/>
        <v>-8.3045700208872475E-3</v>
      </c>
      <c r="O422">
        <f t="shared" si="60"/>
        <v>-9.3085585488460465E-3</v>
      </c>
      <c r="P422">
        <f t="shared" si="59"/>
        <v>1.89871850430261E-2</v>
      </c>
      <c r="Q422">
        <f t="shared" si="59"/>
        <v>2.2813840648227224E-2</v>
      </c>
      <c r="R422">
        <f t="shared" si="59"/>
        <v>2.2984848393310386E-3</v>
      </c>
      <c r="S422">
        <f t="shared" si="61"/>
        <v>-1.0201599675848105E-2</v>
      </c>
      <c r="T422">
        <f t="shared" si="62"/>
        <v>-2.0317196793968595E-3</v>
      </c>
      <c r="U422">
        <f t="shared" si="63"/>
        <v>7.1030547370252162E-3</v>
      </c>
      <c r="V422">
        <f t="shared" si="64"/>
        <v>-1.8719188283604193E-2</v>
      </c>
      <c r="W422">
        <f t="shared" si="65"/>
        <v>2.9884012167347151E-4</v>
      </c>
    </row>
    <row r="423" spans="1:23" x14ac:dyDescent="0.3">
      <c r="A423" t="s">
        <v>87</v>
      </c>
      <c r="B423" s="1">
        <v>17.367832</v>
      </c>
      <c r="C423" s="1">
        <v>12.702524</v>
      </c>
      <c r="D423" s="1">
        <v>14.377414</v>
      </c>
      <c r="E423" s="1">
        <v>25.68327</v>
      </c>
      <c r="F423" s="1">
        <v>20.378900999999999</v>
      </c>
      <c r="G423" s="1">
        <v>5.9587079999999997</v>
      </c>
      <c r="H423" s="1">
        <v>4082.3500979999999</v>
      </c>
      <c r="I423" s="1">
        <v>35.657349000000004</v>
      </c>
      <c r="J423" s="1">
        <v>11.073378</v>
      </c>
      <c r="K423" s="1">
        <v>1.298737</v>
      </c>
      <c r="L423" s="1">
        <v>18.039404000000001</v>
      </c>
      <c r="M423">
        <f t="shared" si="60"/>
        <v>-4.1879781942121275E-3</v>
      </c>
      <c r="N423">
        <f t="shared" si="60"/>
        <v>0</v>
      </c>
      <c r="O423">
        <f t="shared" si="60"/>
        <v>1.0752673053457285E-2</v>
      </c>
      <c r="P423">
        <f t="shared" si="59"/>
        <v>-7.3297892664810904E-3</v>
      </c>
      <c r="Q423">
        <f t="shared" si="59"/>
        <v>2.6392284909739772E-3</v>
      </c>
      <c r="R423">
        <f t="shared" si="59"/>
        <v>-4.5759342476738851E-3</v>
      </c>
      <c r="S423">
        <f t="shared" si="61"/>
        <v>1.0052697738039074E-2</v>
      </c>
      <c r="T423">
        <f t="shared" si="62"/>
        <v>4.0654527044203803E-4</v>
      </c>
      <c r="U423">
        <f t="shared" si="63"/>
        <v>2.0337921195956454E-3</v>
      </c>
      <c r="V423">
        <f t="shared" si="64"/>
        <v>-1.5518914258305538E-2</v>
      </c>
      <c r="W423">
        <f t="shared" si="65"/>
        <v>-8.8347977818081791E-4</v>
      </c>
    </row>
    <row r="424" spans="1:23" x14ac:dyDescent="0.3">
      <c r="A424" t="s">
        <v>86</v>
      </c>
      <c r="B424" s="1">
        <v>17.440874000000001</v>
      </c>
      <c r="C424" s="1">
        <v>12.702524</v>
      </c>
      <c r="D424" s="1">
        <v>14.224463</v>
      </c>
      <c r="E424" s="1">
        <v>25.872913</v>
      </c>
      <c r="F424" s="1">
        <v>20.325258000000002</v>
      </c>
      <c r="G424" s="1">
        <v>5.9861000000000004</v>
      </c>
      <c r="H424" s="1">
        <v>4085.959961</v>
      </c>
      <c r="I424" s="1">
        <v>35.302464000000001</v>
      </c>
      <c r="J424" s="1">
        <v>11.068878</v>
      </c>
      <c r="K424" s="1">
        <v>1.2961009999999999</v>
      </c>
      <c r="L424" s="1">
        <v>18.323768999999999</v>
      </c>
      <c r="M424">
        <f t="shared" si="60"/>
        <v>6.0861121560205067E-3</v>
      </c>
      <c r="N424">
        <f t="shared" si="60"/>
        <v>-1.1627948595569038E-2</v>
      </c>
      <c r="O424">
        <f t="shared" si="60"/>
        <v>1.0869621606379054E-2</v>
      </c>
      <c r="P424">
        <f t="shared" si="59"/>
        <v>1.4518409945944777E-2</v>
      </c>
      <c r="Q424">
        <f t="shared" si="59"/>
        <v>9.4730329593604168E-3</v>
      </c>
      <c r="R424">
        <f t="shared" si="59"/>
        <v>2.1400170123233586E-3</v>
      </c>
      <c r="S424">
        <f t="shared" si="61"/>
        <v>5.0518122139662225E-3</v>
      </c>
      <c r="T424">
        <f t="shared" si="62"/>
        <v>8.1968243408303554E-3</v>
      </c>
      <c r="U424">
        <f t="shared" si="63"/>
        <v>1.526900415338428E-3</v>
      </c>
      <c r="V424">
        <f t="shared" si="64"/>
        <v>1.8774792778683658E-2</v>
      </c>
      <c r="W424">
        <f t="shared" si="65"/>
        <v>4.9683087418630478E-3</v>
      </c>
    </row>
    <row r="425" spans="1:23" x14ac:dyDescent="0.3">
      <c r="A425" t="s">
        <v>85</v>
      </c>
      <c r="B425" s="1">
        <v>17.335369</v>
      </c>
      <c r="C425" s="1">
        <v>12.851966000000001</v>
      </c>
      <c r="D425" s="1">
        <v>14.071510999999999</v>
      </c>
      <c r="E425" s="1">
        <v>25.502655000000001</v>
      </c>
      <c r="F425" s="1">
        <v>20.134523000000002</v>
      </c>
      <c r="G425" s="1">
        <v>5.9733169999999998</v>
      </c>
      <c r="H425" s="1">
        <v>4065.76001</v>
      </c>
      <c r="I425" s="1">
        <v>35.125019000000002</v>
      </c>
      <c r="J425" s="1">
        <v>10.978885999999999</v>
      </c>
      <c r="K425" s="1">
        <v>1.294125</v>
      </c>
      <c r="L425" s="1">
        <v>17.986084000000002</v>
      </c>
      <c r="M425">
        <f t="shared" si="60"/>
        <v>-1.4024999026480689E-3</v>
      </c>
      <c r="N425">
        <f t="shared" si="60"/>
        <v>1.3698357965732377E-3</v>
      </c>
      <c r="O425">
        <f t="shared" si="60"/>
        <v>-1.3568591326293955E-3</v>
      </c>
      <c r="P425">
        <f t="shared" si="59"/>
        <v>1.4184499090805769E-3</v>
      </c>
      <c r="Q425">
        <f t="shared" si="59"/>
        <v>2.9599725564155577E-4</v>
      </c>
      <c r="R425">
        <f t="shared" si="59"/>
        <v>9.1008532049881019E-3</v>
      </c>
      <c r="S425">
        <f t="shared" si="61"/>
        <v>-1.7649354783833004E-3</v>
      </c>
      <c r="T425">
        <f t="shared" si="62"/>
        <v>-3.2680328969449945E-3</v>
      </c>
      <c r="U425">
        <f t="shared" si="63"/>
        <v>8.7316230202436618E-3</v>
      </c>
      <c r="V425">
        <f t="shared" si="64"/>
        <v>7.9681567388207863E-3</v>
      </c>
      <c r="W425">
        <f t="shared" si="65"/>
        <v>1.914745975014176E-3</v>
      </c>
    </row>
    <row r="426" spans="1:23" x14ac:dyDescent="0.3">
      <c r="A426" t="s">
        <v>84</v>
      </c>
      <c r="B426" s="1">
        <v>17.359715999999999</v>
      </c>
      <c r="C426" s="1">
        <v>12.834384999999999</v>
      </c>
      <c r="D426" s="1">
        <v>14.090630000000001</v>
      </c>
      <c r="E426" s="1">
        <v>25.466532000000001</v>
      </c>
      <c r="F426" s="1">
        <v>20.128564999999998</v>
      </c>
      <c r="G426" s="1">
        <v>5.9194449999999996</v>
      </c>
      <c r="H426" s="1">
        <v>4057.98999</v>
      </c>
      <c r="I426" s="1">
        <v>35.187122000000002</v>
      </c>
      <c r="J426" s="1">
        <v>11.014882999999999</v>
      </c>
      <c r="K426" s="1">
        <v>1.282923</v>
      </c>
      <c r="L426" s="1">
        <v>17.843900999999999</v>
      </c>
      <c r="M426">
        <f t="shared" si="60"/>
        <v>2.3430730031797076E-3</v>
      </c>
      <c r="N426">
        <f t="shared" si="60"/>
        <v>8.2873644344332309E-3</v>
      </c>
      <c r="O426">
        <f t="shared" si="60"/>
        <v>-1.2064335644723645E-2</v>
      </c>
      <c r="P426">
        <f t="shared" si="59"/>
        <v>-5.6418280798992138E-3</v>
      </c>
      <c r="Q426">
        <f t="shared" si="59"/>
        <v>-7.9316907591835406E-3</v>
      </c>
      <c r="R426">
        <f t="shared" si="59"/>
        <v>-4.9118592006541784E-3</v>
      </c>
      <c r="S426">
        <f t="shared" si="61"/>
        <v>-1.8316876404327553E-2</v>
      </c>
      <c r="T426">
        <f t="shared" si="62"/>
        <v>-1.3301093361788419E-2</v>
      </c>
      <c r="U426">
        <f t="shared" si="63"/>
        <v>-7.6453793953776827E-3</v>
      </c>
      <c r="V426">
        <f t="shared" si="64"/>
        <v>-6.9239666517385556E-3</v>
      </c>
      <c r="W426">
        <f t="shared" si="65"/>
        <v>-5.6261314830322595E-3</v>
      </c>
    </row>
    <row r="427" spans="1:23" x14ac:dyDescent="0.3">
      <c r="A427" t="s">
        <v>83</v>
      </c>
      <c r="B427" s="1">
        <v>17.319136</v>
      </c>
      <c r="C427" s="1">
        <v>12.728896000000001</v>
      </c>
      <c r="D427" s="1">
        <v>14.262700000000001</v>
      </c>
      <c r="E427" s="1">
        <v>25.611025000000001</v>
      </c>
      <c r="F427" s="1">
        <v>20.289494999999999</v>
      </c>
      <c r="G427" s="1">
        <v>5.948664</v>
      </c>
      <c r="H427" s="1">
        <v>4080.9499510000001</v>
      </c>
      <c r="I427" s="1">
        <v>35.843665999999999</v>
      </c>
      <c r="J427" s="1">
        <v>11.163368</v>
      </c>
      <c r="K427" s="1">
        <v>1.292807</v>
      </c>
      <c r="L427" s="1">
        <v>17.968312999999998</v>
      </c>
      <c r="M427">
        <f t="shared" si="60"/>
        <v>6.1291542731456428E-3</v>
      </c>
      <c r="N427">
        <f t="shared" si="60"/>
        <v>-1.0252896486023011E-2</v>
      </c>
      <c r="O427">
        <f t="shared" si="60"/>
        <v>-5.2096636470649438E-2</v>
      </c>
      <c r="P427">
        <f t="shared" si="59"/>
        <v>-7.0026965330930446E-3</v>
      </c>
      <c r="Q427">
        <f t="shared" si="59"/>
        <v>-4.0959720005092626E-3</v>
      </c>
      <c r="R427">
        <f t="shared" si="59"/>
        <v>-8.2204479182123036E-3</v>
      </c>
      <c r="S427">
        <f t="shared" si="61"/>
        <v>1.5585805999259739E-2</v>
      </c>
      <c r="T427">
        <f t="shared" si="62"/>
        <v>-2.0113773925615197E-3</v>
      </c>
      <c r="U427">
        <f t="shared" si="63"/>
        <v>-5.322664409779021E-3</v>
      </c>
      <c r="V427">
        <f t="shared" si="64"/>
        <v>-6.8763001082646769E-3</v>
      </c>
      <c r="W427">
        <f t="shared" si="65"/>
        <v>-9.2295678204767917E-4</v>
      </c>
    </row>
    <row r="428" spans="1:23" x14ac:dyDescent="0.3">
      <c r="A428" t="s">
        <v>82</v>
      </c>
      <c r="B428" s="1">
        <v>17.213630999999999</v>
      </c>
      <c r="C428" s="1">
        <v>12.860756</v>
      </c>
      <c r="D428" s="1">
        <v>15.046576</v>
      </c>
      <c r="E428" s="1">
        <v>25.791636</v>
      </c>
      <c r="F428" s="1">
        <v>20.372941999999998</v>
      </c>
      <c r="G428" s="1">
        <v>5.9979699999999996</v>
      </c>
      <c r="H428" s="1">
        <v>4084.719971</v>
      </c>
      <c r="I428" s="1">
        <v>35.293587000000002</v>
      </c>
      <c r="J428" s="1">
        <v>11.185867</v>
      </c>
      <c r="K428" s="1">
        <v>1.299725</v>
      </c>
      <c r="L428" s="1">
        <v>18.092724</v>
      </c>
      <c r="M428">
        <f t="shared" si="60"/>
        <v>-7.4871918763732559E-3</v>
      </c>
      <c r="N428">
        <f t="shared" si="60"/>
        <v>-7.4626548905868395E-3</v>
      </c>
      <c r="O428">
        <f t="shared" si="60"/>
        <v>-5.0568499702871028E-3</v>
      </c>
      <c r="P428">
        <f t="shared" si="59"/>
        <v>-9.0215201975036852E-3</v>
      </c>
      <c r="Q428">
        <f t="shared" si="59"/>
        <v>7.6650623183236455E-3</v>
      </c>
      <c r="R428">
        <f t="shared" si="59"/>
        <v>4.1271876245643213E-3</v>
      </c>
      <c r="S428">
        <f t="shared" si="61"/>
        <v>-3.5069939556092722E-3</v>
      </c>
      <c r="T428">
        <f t="shared" si="62"/>
        <v>-9.5617475554850007E-3</v>
      </c>
      <c r="U428">
        <f t="shared" si="63"/>
        <v>-7.7973096457162328E-3</v>
      </c>
      <c r="V428">
        <f t="shared" si="64"/>
        <v>0</v>
      </c>
      <c r="W428">
        <f t="shared" si="65"/>
        <v>-4.5765880346045895E-3</v>
      </c>
    </row>
    <row r="429" spans="1:23" x14ac:dyDescent="0.3">
      <c r="A429" t="s">
        <v>81</v>
      </c>
      <c r="B429" s="1">
        <v>17.343485000000001</v>
      </c>
      <c r="C429" s="1">
        <v>12.957452999999999</v>
      </c>
      <c r="D429" s="1">
        <v>15.123051</v>
      </c>
      <c r="E429" s="1">
        <v>26.026433999999998</v>
      </c>
      <c r="F429" s="1">
        <v>20.217970000000001</v>
      </c>
      <c r="G429" s="1">
        <v>5.9733169999999998</v>
      </c>
      <c r="H429" s="1">
        <v>4103.5</v>
      </c>
      <c r="I429" s="1">
        <v>35.417797</v>
      </c>
      <c r="J429" s="1">
        <v>11.293856</v>
      </c>
      <c r="K429" s="1">
        <v>1.309939</v>
      </c>
      <c r="L429" s="1">
        <v>18.092724</v>
      </c>
      <c r="M429">
        <f t="shared" si="60"/>
        <v>9.3679015363834495E-4</v>
      </c>
      <c r="N429">
        <f t="shared" si="60"/>
        <v>-8.7424527981450062E-3</v>
      </c>
      <c r="O429">
        <f t="shared" si="60"/>
        <v>-7.5281391369586004E-3</v>
      </c>
      <c r="P429">
        <f t="shared" si="59"/>
        <v>-1.4700912425650081E-2</v>
      </c>
      <c r="Q429">
        <f t="shared" si="59"/>
        <v>-1.251824729103912E-2</v>
      </c>
      <c r="R429">
        <f t="shared" si="59"/>
        <v>-1.371919253762055E-2</v>
      </c>
      <c r="S429">
        <f t="shared" si="61"/>
        <v>-1.7504838795504574E-3</v>
      </c>
      <c r="T429">
        <f t="shared" si="62"/>
        <v>-2.0296617785547255E-2</v>
      </c>
      <c r="U429">
        <f t="shared" si="63"/>
        <v>-7.5366515450514537E-4</v>
      </c>
      <c r="V429">
        <f t="shared" si="64"/>
        <v>-1.3565763094823824E-2</v>
      </c>
      <c r="W429">
        <f t="shared" si="65"/>
        <v>-4.5171214014868566E-3</v>
      </c>
    </row>
    <row r="430" spans="1:23" x14ac:dyDescent="0.3">
      <c r="A430" t="s">
        <v>80</v>
      </c>
      <c r="B430" s="1">
        <v>17.327252999999999</v>
      </c>
      <c r="C430" s="1">
        <v>13.071732000000001</v>
      </c>
      <c r="D430" s="1">
        <v>15.237762999999999</v>
      </c>
      <c r="E430" s="1">
        <v>26.414755</v>
      </c>
      <c r="F430" s="1">
        <v>20.474271999999999</v>
      </c>
      <c r="G430" s="1">
        <v>6.056406</v>
      </c>
      <c r="H430" s="1">
        <v>4122.1201170000004</v>
      </c>
      <c r="I430" s="1">
        <v>35.479903999999998</v>
      </c>
      <c r="J430" s="1">
        <v>11.527832</v>
      </c>
      <c r="K430" s="1">
        <v>1.310927</v>
      </c>
      <c r="L430" s="1">
        <v>18.341540999999999</v>
      </c>
      <c r="M430">
        <f t="shared" si="60"/>
        <v>3.7611383447897495E-3</v>
      </c>
      <c r="N430">
        <f t="shared" si="60"/>
        <v>4.7296743677536224E-3</v>
      </c>
      <c r="O430">
        <f t="shared" si="60"/>
        <v>1.3994850492325517E-2</v>
      </c>
      <c r="P430">
        <f t="shared" si="59"/>
        <v>1.1410841804496252E-2</v>
      </c>
      <c r="Q430">
        <f t="shared" si="59"/>
        <v>-1.1631313983326841E-3</v>
      </c>
      <c r="R430">
        <f t="shared" si="59"/>
        <v>-2.5565186944709328E-3</v>
      </c>
      <c r="S430">
        <f t="shared" si="61"/>
        <v>9.0839702624310181E-3</v>
      </c>
      <c r="T430">
        <f t="shared" si="62"/>
        <v>1.6666679895520176E-2</v>
      </c>
      <c r="U430">
        <f t="shared" si="63"/>
        <v>6.3222974596430781E-3</v>
      </c>
      <c r="V430">
        <f t="shared" si="64"/>
        <v>8.7976928304105417E-3</v>
      </c>
      <c r="W430">
        <f t="shared" si="65"/>
        <v>8.0998085106382955E-3</v>
      </c>
    </row>
    <row r="431" spans="1:23" x14ac:dyDescent="0.3">
      <c r="A431" t="s">
        <v>79</v>
      </c>
      <c r="B431" s="1">
        <v>17.262326999999999</v>
      </c>
      <c r="C431" s="1">
        <v>13.010198000000001</v>
      </c>
      <c r="D431" s="1">
        <v>15.027456000000001</v>
      </c>
      <c r="E431" s="1">
        <v>26.116741000000001</v>
      </c>
      <c r="F431" s="1">
        <v>20.498114000000001</v>
      </c>
      <c r="G431" s="1">
        <v>6.0719289999999999</v>
      </c>
      <c r="H431" s="1">
        <v>4089</v>
      </c>
      <c r="I431" s="1">
        <v>35.160507000000003</v>
      </c>
      <c r="J431" s="1">
        <v>11.338851</v>
      </c>
      <c r="K431" s="1">
        <v>1.302691</v>
      </c>
      <c r="L431" s="1">
        <v>18.181584999999998</v>
      </c>
      <c r="M431">
        <f t="shared" si="60"/>
        <v>-1.3908133304390669E-2</v>
      </c>
      <c r="N431">
        <f t="shared" si="60"/>
        <v>-3.3670513412130676E-3</v>
      </c>
      <c r="O431">
        <f t="shared" si="60"/>
        <v>0</v>
      </c>
      <c r="P431">
        <f t="shared" si="59"/>
        <v>-3.1024483187067631E-3</v>
      </c>
      <c r="Q431">
        <f t="shared" si="59"/>
        <v>-5.7819824620295446E-3</v>
      </c>
      <c r="R431">
        <f t="shared" si="59"/>
        <v>-3.1478699342303296E-3</v>
      </c>
      <c r="S431">
        <f t="shared" si="61"/>
        <v>-1.1720666480800168E-2</v>
      </c>
      <c r="T431">
        <f t="shared" si="62"/>
        <v>-2.0978904447269797E-2</v>
      </c>
      <c r="U431">
        <f t="shared" si="63"/>
        <v>-4.0299335913428491E-3</v>
      </c>
      <c r="V431">
        <f t="shared" si="64"/>
        <v>-1.1594217710502841E-2</v>
      </c>
      <c r="W431">
        <f t="shared" si="65"/>
        <v>-1.0600549837657125E-2</v>
      </c>
    </row>
    <row r="432" spans="1:23" x14ac:dyDescent="0.3">
      <c r="A432" t="s">
        <v>78</v>
      </c>
      <c r="B432" s="1">
        <v>17.505800000000001</v>
      </c>
      <c r="C432" s="1">
        <v>13.054152</v>
      </c>
      <c r="D432" s="1">
        <v>15.027456000000001</v>
      </c>
      <c r="E432" s="1">
        <v>26.198018999999999</v>
      </c>
      <c r="F432" s="1">
        <v>20.617322999999999</v>
      </c>
      <c r="G432" s="1">
        <v>6.0911030000000004</v>
      </c>
      <c r="H432" s="1">
        <v>4132.8100590000004</v>
      </c>
      <c r="I432" s="1">
        <v>35.577499000000003</v>
      </c>
      <c r="J432" s="1">
        <v>11.581825</v>
      </c>
      <c r="K432" s="1">
        <v>1.3079620000000001</v>
      </c>
      <c r="L432" s="1">
        <v>18.394859</v>
      </c>
      <c r="M432">
        <f t="shared" si="60"/>
        <v>1.8578592057143517E-3</v>
      </c>
      <c r="N432">
        <f t="shared" si="60"/>
        <v>7.4628092419088965E-3</v>
      </c>
      <c r="O432">
        <f t="shared" si="60"/>
        <v>1.273891970842822E-3</v>
      </c>
      <c r="P432">
        <f t="shared" si="59"/>
        <v>-1.3600800263682267E-2</v>
      </c>
      <c r="Q432">
        <f t="shared" si="59"/>
        <v>-1.5091079120716611E-2</v>
      </c>
      <c r="R432">
        <f t="shared" si="59"/>
        <v>-2.0123406701914259E-2</v>
      </c>
      <c r="S432">
        <f t="shared" si="61"/>
        <v>-4.9626988606328304E-3</v>
      </c>
      <c r="T432">
        <f t="shared" si="62"/>
        <v>0</v>
      </c>
      <c r="U432">
        <f t="shared" si="63"/>
        <v>-9.4813863422598121E-3</v>
      </c>
      <c r="V432">
        <f t="shared" si="64"/>
        <v>-1.709409107918014E-2</v>
      </c>
      <c r="W432">
        <f t="shared" si="65"/>
        <v>-8.4857456987241786E-3</v>
      </c>
    </row>
    <row r="433" spans="1:23" x14ac:dyDescent="0.3">
      <c r="A433" t="s">
        <v>77</v>
      </c>
      <c r="B433" s="1">
        <v>17.473337000000001</v>
      </c>
      <c r="C433" s="1">
        <v>12.957452999999999</v>
      </c>
      <c r="D433" s="1">
        <v>15.008336999999999</v>
      </c>
      <c r="E433" s="1">
        <v>26.559246000000002</v>
      </c>
      <c r="F433" s="1">
        <v>20.933228</v>
      </c>
      <c r="G433" s="1">
        <v>6.2161939999999998</v>
      </c>
      <c r="H433" s="1">
        <v>4168.1801759999998</v>
      </c>
      <c r="I433" s="1">
        <v>35.754939999999998</v>
      </c>
      <c r="J433" s="1">
        <v>11.581825</v>
      </c>
      <c r="K433" s="1">
        <v>1.3204819999999999</v>
      </c>
      <c r="L433" s="1">
        <v>18.714770999999999</v>
      </c>
      <c r="M433">
        <f t="shared" si="60"/>
        <v>1.5565937367647775E-2</v>
      </c>
      <c r="N433">
        <f t="shared" si="60"/>
        <v>-6.7386406554790224E-3</v>
      </c>
      <c r="O433">
        <f t="shared" si="60"/>
        <v>-6.329080820085875E-3</v>
      </c>
      <c r="P433">
        <f t="shared" si="59"/>
        <v>-1.7373921628831668E-2</v>
      </c>
      <c r="Q433">
        <f t="shared" si="59"/>
        <v>-4.5351104056167157E-3</v>
      </c>
      <c r="R433">
        <f t="shared" si="59"/>
        <v>5.1674927723499575E-3</v>
      </c>
      <c r="S433">
        <f t="shared" si="61"/>
        <v>8.5084066530469737E-3</v>
      </c>
      <c r="T433">
        <f t="shared" si="62"/>
        <v>8.6206055716548935E-3</v>
      </c>
      <c r="U433">
        <f t="shared" si="63"/>
        <v>1.3144588943875268E-2</v>
      </c>
      <c r="V433">
        <f t="shared" si="64"/>
        <v>-2.8409921925462989E-3</v>
      </c>
      <c r="W433">
        <f t="shared" si="65"/>
        <v>3.788120329279332E-3</v>
      </c>
    </row>
    <row r="434" spans="1:23" x14ac:dyDescent="0.3">
      <c r="A434" t="s">
        <v>76</v>
      </c>
      <c r="B434" s="1">
        <v>17.205517</v>
      </c>
      <c r="C434" s="1">
        <v>13.045361</v>
      </c>
      <c r="D434" s="1">
        <v>15.103930999999999</v>
      </c>
      <c r="E434" s="1">
        <v>27.028842999999998</v>
      </c>
      <c r="F434" s="1">
        <v>21.028594999999999</v>
      </c>
      <c r="G434" s="1">
        <v>6.1842370000000004</v>
      </c>
      <c r="H434" s="1">
        <v>4152.4501950000003</v>
      </c>
      <c r="I434" s="1">
        <v>35.453288999999998</v>
      </c>
      <c r="J434" s="1">
        <v>11.482836000000001</v>
      </c>
      <c r="K434" s="1">
        <v>1.30335</v>
      </c>
      <c r="L434" s="1">
        <v>18.768090999999998</v>
      </c>
      <c r="M434">
        <f t="shared" si="60"/>
        <v>9.4430920192434264E-4</v>
      </c>
      <c r="N434">
        <f t="shared" si="60"/>
        <v>-6.7342558903871197E-4</v>
      </c>
      <c r="O434">
        <f t="shared" si="60"/>
        <v>-2.5252657000460754E-3</v>
      </c>
      <c r="P434">
        <f t="shared" si="59"/>
        <v>-1.7077223289757582E-2</v>
      </c>
      <c r="Q434">
        <f t="shared" si="59"/>
        <v>1.134981103088295E-3</v>
      </c>
      <c r="R434">
        <f t="shared" si="59"/>
        <v>-1.7684679072951237E-3</v>
      </c>
      <c r="S434">
        <f t="shared" si="61"/>
        <v>-1.7215893146876882E-2</v>
      </c>
      <c r="T434">
        <f t="shared" si="62"/>
        <v>5.1202078089231939E-3</v>
      </c>
      <c r="U434">
        <f t="shared" si="63"/>
        <v>-2.269743515155187E-3</v>
      </c>
      <c r="V434">
        <f t="shared" si="64"/>
        <v>-1.216071216719683E-2</v>
      </c>
      <c r="W434">
        <f t="shared" si="65"/>
        <v>-1.5412079779422161E-3</v>
      </c>
    </row>
    <row r="435" spans="1:23" x14ac:dyDescent="0.3">
      <c r="A435" t="s">
        <v>75</v>
      </c>
      <c r="B435" s="1">
        <v>17.189285000000002</v>
      </c>
      <c r="C435" s="1">
        <v>13.054152</v>
      </c>
      <c r="D435" s="1">
        <v>15.142169000000001</v>
      </c>
      <c r="E435" s="1">
        <v>27.498439999999999</v>
      </c>
      <c r="F435" s="1">
        <v>21.004754999999999</v>
      </c>
      <c r="G435" s="1">
        <v>6.1951929999999997</v>
      </c>
      <c r="H435" s="1">
        <v>4158.8598629999997</v>
      </c>
      <c r="I435" s="1">
        <v>36.074340999999997</v>
      </c>
      <c r="J435" s="1">
        <v>11.424341</v>
      </c>
      <c r="K435" s="1">
        <v>1.3063149999999999</v>
      </c>
      <c r="L435" s="1">
        <v>18.999134000000002</v>
      </c>
      <c r="M435">
        <f t="shared" si="60"/>
        <v>1.0496313063486085E-2</v>
      </c>
      <c r="N435">
        <f t="shared" si="60"/>
        <v>2.0243665478205664E-3</v>
      </c>
      <c r="O435">
        <f t="shared" si="60"/>
        <v>2.5316588112063165E-3</v>
      </c>
      <c r="P435">
        <f t="shared" si="59"/>
        <v>9.2808084570343841E-3</v>
      </c>
      <c r="Q435">
        <f t="shared" si="59"/>
        <v>-5.9238260429225198E-3</v>
      </c>
      <c r="R435">
        <f t="shared" si="59"/>
        <v>-6.1520400440071565E-3</v>
      </c>
      <c r="S435">
        <f t="shared" si="61"/>
        <v>1.0186393225379842E-2</v>
      </c>
      <c r="T435">
        <f t="shared" si="62"/>
        <v>1.9730140165912236E-3</v>
      </c>
      <c r="U435">
        <f t="shared" si="63"/>
        <v>-2.0138263388010946E-3</v>
      </c>
      <c r="V435">
        <f t="shared" si="64"/>
        <v>9.3623413661081401E-4</v>
      </c>
      <c r="W435">
        <f t="shared" si="65"/>
        <v>-2.3461545440665033E-3</v>
      </c>
    </row>
    <row r="436" spans="1:23" x14ac:dyDescent="0.3">
      <c r="A436" t="s">
        <v>74</v>
      </c>
      <c r="B436" s="1">
        <v>17.010735</v>
      </c>
      <c r="C436" s="1">
        <v>13.027779000000001</v>
      </c>
      <c r="D436" s="1">
        <v>15.103930999999999</v>
      </c>
      <c r="E436" s="1">
        <v>27.245578999999999</v>
      </c>
      <c r="F436" s="1">
        <v>21.129925</v>
      </c>
      <c r="G436" s="1">
        <v>6.2335419999999999</v>
      </c>
      <c r="H436" s="1">
        <v>4168.6401370000003</v>
      </c>
      <c r="I436" s="1">
        <v>35.710579000000003</v>
      </c>
      <c r="J436" s="1">
        <v>11.401845</v>
      </c>
      <c r="K436" s="1">
        <v>1.308951</v>
      </c>
      <c r="L436" s="1">
        <v>18.981363000000002</v>
      </c>
      <c r="M436">
        <f t="shared" si="60"/>
        <v>-1.6885660709247352E-2</v>
      </c>
      <c r="N436">
        <f t="shared" si="60"/>
        <v>-3.3624465373066625E-3</v>
      </c>
      <c r="O436">
        <f t="shared" si="60"/>
        <v>5.089018394064837E-3</v>
      </c>
      <c r="P436">
        <f t="shared" si="59"/>
        <v>3.2512089646748121E-2</v>
      </c>
      <c r="Q436">
        <f t="shared" si="59"/>
        <v>6.8163087857970872E-3</v>
      </c>
      <c r="R436">
        <f t="shared" si="59"/>
        <v>4.8571664846968066E-3</v>
      </c>
      <c r="S436">
        <f t="shared" si="61"/>
        <v>-3.7129851617296872E-3</v>
      </c>
      <c r="T436">
        <f t="shared" si="62"/>
        <v>2.9662764153810972E-2</v>
      </c>
      <c r="U436">
        <f t="shared" si="63"/>
        <v>3.2835965039355042E-3</v>
      </c>
      <c r="V436">
        <f t="shared" si="64"/>
        <v>1.2322245005244703E-2</v>
      </c>
      <c r="W436">
        <f t="shared" si="65"/>
        <v>2.5299942531697983E-3</v>
      </c>
    </row>
    <row r="437" spans="1:23" x14ac:dyDescent="0.3">
      <c r="A437" t="s">
        <v>73</v>
      </c>
      <c r="B437" s="1">
        <v>17.302906</v>
      </c>
      <c r="C437" s="1">
        <v>13.071732000000001</v>
      </c>
      <c r="D437" s="1">
        <v>15.027456000000001</v>
      </c>
      <c r="E437" s="1">
        <v>26.387661000000001</v>
      </c>
      <c r="F437" s="1">
        <v>20.986872000000002</v>
      </c>
      <c r="G437" s="1">
        <v>6.203411</v>
      </c>
      <c r="H437" s="1">
        <v>4158.1201170000004</v>
      </c>
      <c r="I437" s="1">
        <v>35.843665999999999</v>
      </c>
      <c r="J437" s="1">
        <v>11.073378</v>
      </c>
      <c r="K437" s="1">
        <v>1.304667</v>
      </c>
      <c r="L437" s="1">
        <v>18.750316999999999</v>
      </c>
      <c r="M437">
        <f t="shared" si="60"/>
        <v>-7.4487353062550055E-3</v>
      </c>
      <c r="N437">
        <f t="shared" si="60"/>
        <v>6.7704234483734194E-3</v>
      </c>
      <c r="O437">
        <f t="shared" si="60"/>
        <v>-1.7500025007974762E-2</v>
      </c>
      <c r="P437">
        <f t="shared" si="59"/>
        <v>-5.1073921342223993E-3</v>
      </c>
      <c r="Q437">
        <f t="shared" si="59"/>
        <v>-2.0584236942871259E-2</v>
      </c>
      <c r="R437">
        <f t="shared" si="59"/>
        <v>6.2203753993066435E-3</v>
      </c>
      <c r="S437">
        <f t="shared" si="61"/>
        <v>6.728182964244489E-3</v>
      </c>
      <c r="T437">
        <f t="shared" si="62"/>
        <v>-1.9521941841652679E-2</v>
      </c>
      <c r="U437">
        <f t="shared" si="63"/>
        <v>4.5659744813615344E-3</v>
      </c>
      <c r="V437">
        <f t="shared" si="64"/>
        <v>-4.7170307075966589E-3</v>
      </c>
      <c r="W437">
        <f t="shared" si="65"/>
        <v>-2.9732270653384241E-3</v>
      </c>
    </row>
    <row r="438" spans="1:23" x14ac:dyDescent="0.3">
      <c r="A438" t="s">
        <v>72</v>
      </c>
      <c r="B438" s="1">
        <v>17.432758</v>
      </c>
      <c r="C438" s="1">
        <v>12.983826000000001</v>
      </c>
      <c r="D438" s="1">
        <v>15.295121</v>
      </c>
      <c r="E438" s="1">
        <v>26.523125</v>
      </c>
      <c r="F438" s="1">
        <v>21.427949999999999</v>
      </c>
      <c r="G438" s="1">
        <v>6.1650619999999998</v>
      </c>
      <c r="H438" s="1">
        <v>4170.5200199999999</v>
      </c>
      <c r="I438" s="1">
        <v>35.604115</v>
      </c>
      <c r="J438" s="1">
        <v>11.293856</v>
      </c>
      <c r="K438" s="1">
        <v>1.298737</v>
      </c>
      <c r="L438" s="1">
        <v>18.839182000000001</v>
      </c>
      <c r="M438">
        <f t="shared" si="60"/>
        <v>-4.1724457037096707E-3</v>
      </c>
      <c r="N438">
        <f t="shared" si="60"/>
        <v>6.8166526170023722E-3</v>
      </c>
      <c r="O438">
        <f t="shared" si="60"/>
        <v>0</v>
      </c>
      <c r="P438">
        <f t="shared" si="59"/>
        <v>9.9726090535281475E-3</v>
      </c>
      <c r="Q438">
        <f t="shared" si="59"/>
        <v>5.3133760240644534E-3</v>
      </c>
      <c r="R438">
        <f t="shared" si="59"/>
        <v>6.1093806965373254E-3</v>
      </c>
      <c r="S438">
        <f t="shared" si="61"/>
        <v>-1.7412275111423625E-3</v>
      </c>
      <c r="T438">
        <f t="shared" si="62"/>
        <v>7.6275181641138889E-3</v>
      </c>
      <c r="U438">
        <f t="shared" si="63"/>
        <v>-5.5498340333157703E-3</v>
      </c>
      <c r="V438">
        <f t="shared" si="64"/>
        <v>1.8905389187291455E-3</v>
      </c>
      <c r="W438">
        <f t="shared" si="65"/>
        <v>8.3031224676655135E-4</v>
      </c>
    </row>
    <row r="439" spans="1:23" x14ac:dyDescent="0.3">
      <c r="A439" t="s">
        <v>71</v>
      </c>
      <c r="B439" s="1">
        <v>17.505800000000001</v>
      </c>
      <c r="C439" s="1">
        <v>12.895918999999999</v>
      </c>
      <c r="D439" s="1">
        <v>15.295121</v>
      </c>
      <c r="E439" s="1">
        <v>26.261232</v>
      </c>
      <c r="F439" s="1">
        <v>21.314696999999999</v>
      </c>
      <c r="G439" s="1">
        <v>6.1276260000000002</v>
      </c>
      <c r="H439" s="1">
        <v>4167.0600590000004</v>
      </c>
      <c r="I439" s="1">
        <v>35.666218000000001</v>
      </c>
      <c r="J439" s="1">
        <v>11.208364</v>
      </c>
      <c r="K439" s="1">
        <v>1.305985</v>
      </c>
      <c r="L439" s="1">
        <v>18.803633000000001</v>
      </c>
      <c r="M439">
        <f t="shared" si="60"/>
        <v>-2.3126708935217177E-3</v>
      </c>
      <c r="N439">
        <f t="shared" si="60"/>
        <v>1.0330569609557472E-2</v>
      </c>
      <c r="O439">
        <f t="shared" si="60"/>
        <v>6.289340864971571E-3</v>
      </c>
      <c r="P439">
        <f t="shared" si="59"/>
        <v>2.2144026726138577E-2</v>
      </c>
      <c r="Q439">
        <f t="shared" si="59"/>
        <v>3.292892407837833E-2</v>
      </c>
      <c r="R439">
        <f t="shared" si="59"/>
        <v>2.1772349632886545E-2</v>
      </c>
      <c r="S439">
        <f t="shared" si="61"/>
        <v>2.4936828752351037E-3</v>
      </c>
      <c r="T439">
        <f t="shared" si="62"/>
        <v>3.3181298624681999E-2</v>
      </c>
      <c r="U439">
        <f t="shared" si="63"/>
        <v>1.2627095124115861E-3</v>
      </c>
      <c r="V439">
        <f t="shared" si="64"/>
        <v>3.725485728999911E-2</v>
      </c>
      <c r="W439">
        <f t="shared" si="65"/>
        <v>1.2951659248819247E-2</v>
      </c>
    </row>
    <row r="440" spans="1:23" x14ac:dyDescent="0.3">
      <c r="A440" t="s">
        <v>70</v>
      </c>
      <c r="B440" s="1">
        <v>17.546379000000002</v>
      </c>
      <c r="C440" s="1">
        <v>12.764059</v>
      </c>
      <c r="D440" s="1">
        <v>15.199526000000001</v>
      </c>
      <c r="E440" s="1">
        <v>25.692301</v>
      </c>
      <c r="F440" s="1">
        <v>20.635202</v>
      </c>
      <c r="G440" s="1">
        <v>5.9970559999999997</v>
      </c>
      <c r="H440" s="1">
        <v>4113.7797849999997</v>
      </c>
      <c r="I440" s="1">
        <v>35.577499000000003</v>
      </c>
      <c r="J440" s="1">
        <v>10.8484</v>
      </c>
      <c r="K440" s="1">
        <v>1.304338</v>
      </c>
      <c r="L440" s="1">
        <v>18.128267000000001</v>
      </c>
      <c r="M440">
        <f t="shared" si="60"/>
        <v>-1.233446363225088E-2</v>
      </c>
      <c r="N440">
        <f t="shared" si="60"/>
        <v>-2.0617758746188652E-3</v>
      </c>
      <c r="O440">
        <f t="shared" si="60"/>
        <v>5.2980057667697089E-2</v>
      </c>
      <c r="P440">
        <f t="shared" si="59"/>
        <v>2.8933056738393192E-2</v>
      </c>
      <c r="Q440">
        <f t="shared" si="59"/>
        <v>2.1841695764234004E-2</v>
      </c>
      <c r="R440">
        <f t="shared" si="59"/>
        <v>1.8302400561298615E-3</v>
      </c>
      <c r="S440">
        <f t="shared" si="61"/>
        <v>9.0588256849446491E-3</v>
      </c>
      <c r="T440">
        <f t="shared" si="62"/>
        <v>3.6989171662792142E-2</v>
      </c>
      <c r="U440">
        <f t="shared" si="63"/>
        <v>3.0398689618844621E-3</v>
      </c>
      <c r="V440">
        <f t="shared" si="64"/>
        <v>1.7963923570947893E-2</v>
      </c>
      <c r="W440">
        <f t="shared" si="65"/>
        <v>5.2316059857495656E-3</v>
      </c>
    </row>
    <row r="441" spans="1:23" x14ac:dyDescent="0.3">
      <c r="A441" t="s">
        <v>69</v>
      </c>
      <c r="B441" s="1">
        <v>17.765506999999999</v>
      </c>
      <c r="C441" s="1">
        <v>12.790430000000001</v>
      </c>
      <c r="D441" s="1">
        <v>14.434771</v>
      </c>
      <c r="E441" s="1">
        <v>24.969847000000001</v>
      </c>
      <c r="F441" s="1">
        <v>20.194127999999999</v>
      </c>
      <c r="G441" s="1">
        <v>5.9861000000000004</v>
      </c>
      <c r="H441" s="1">
        <v>4092.3701169999999</v>
      </c>
      <c r="I441" s="1">
        <v>35.258102000000001</v>
      </c>
      <c r="J441" s="1">
        <v>10.46144</v>
      </c>
      <c r="K441" s="1">
        <v>1.3003849999999999</v>
      </c>
      <c r="L441" s="1">
        <v>17.808358999999999</v>
      </c>
      <c r="M441">
        <f t="shared" si="60"/>
        <v>1.3724018819740724E-3</v>
      </c>
      <c r="N441">
        <f t="shared" si="60"/>
        <v>-1.0877048030474068E-2</v>
      </c>
      <c r="O441">
        <f t="shared" si="60"/>
        <v>3.9893822352197184E-3</v>
      </c>
      <c r="P441">
        <f t="shared" si="59"/>
        <v>-1.2499921398941405E-2</v>
      </c>
      <c r="Q441">
        <f t="shared" si="59"/>
        <v>-3.3932187291586313E-2</v>
      </c>
      <c r="R441">
        <f t="shared" si="59"/>
        <v>-2.4345456511887242E-3</v>
      </c>
      <c r="S441">
        <f t="shared" si="61"/>
        <v>-2.1182164112835244E-2</v>
      </c>
      <c r="T441">
        <f t="shared" si="62"/>
        <v>-3.9256137628644883E-2</v>
      </c>
      <c r="U441">
        <f t="shared" si="63"/>
        <v>1.5226338716334276E-3</v>
      </c>
      <c r="V441">
        <f t="shared" si="64"/>
        <v>-5.2929877965603889E-2</v>
      </c>
      <c r="W441">
        <f t="shared" si="65"/>
        <v>-1.0003119671707195E-2</v>
      </c>
    </row>
    <row r="442" spans="1:23" x14ac:dyDescent="0.3">
      <c r="A442" t="s">
        <v>68</v>
      </c>
      <c r="B442" s="1">
        <v>17.741159</v>
      </c>
      <c r="C442" s="1">
        <v>12.931082</v>
      </c>
      <c r="D442" s="1">
        <v>14.377414</v>
      </c>
      <c r="E442" s="1">
        <v>25.285919</v>
      </c>
      <c r="F442" s="1">
        <v>20.903427000000001</v>
      </c>
      <c r="G442" s="1">
        <v>6.0007089999999996</v>
      </c>
      <c r="H442" s="1">
        <v>4133.7202150000003</v>
      </c>
      <c r="I442" s="1">
        <v>36.021107000000001</v>
      </c>
      <c r="J442" s="1">
        <v>10.888896000000001</v>
      </c>
      <c r="K442" s="1">
        <v>1.298408</v>
      </c>
      <c r="L442" s="1">
        <v>18.803633000000001</v>
      </c>
      <c r="M442">
        <f t="shared" si="60"/>
        <v>9.6998268597439097E-3</v>
      </c>
      <c r="N442">
        <f t="shared" si="60"/>
        <v>7.5342137546909882E-3</v>
      </c>
      <c r="O442">
        <f t="shared" si="60"/>
        <v>6.6934751098581824E-3</v>
      </c>
      <c r="P442">
        <f t="shared" si="59"/>
        <v>1.4306254197062884E-3</v>
      </c>
      <c r="Q442">
        <f t="shared" si="59"/>
        <v>-2.275965222082954E-3</v>
      </c>
      <c r="R442">
        <f t="shared" si="59"/>
        <v>-1.8226228802465938E-3</v>
      </c>
      <c r="S442">
        <f t="shared" si="61"/>
        <v>3.9565318576386677E-3</v>
      </c>
      <c r="T442">
        <f t="shared" si="62"/>
        <v>2.5423668160728941E-2</v>
      </c>
      <c r="U442">
        <f t="shared" si="63"/>
        <v>-5.8017511686581091E-3</v>
      </c>
      <c r="V442">
        <f t="shared" si="64"/>
        <v>1.7307550290864171E-2</v>
      </c>
      <c r="W442">
        <f t="shared" si="65"/>
        <v>3.3642775387772161E-3</v>
      </c>
    </row>
    <row r="443" spans="1:23" x14ac:dyDescent="0.3">
      <c r="A443" t="s">
        <v>67</v>
      </c>
      <c r="B443" s="1">
        <v>17.570726000000001</v>
      </c>
      <c r="C443" s="1">
        <v>12.834384999999999</v>
      </c>
      <c r="D443" s="1">
        <v>14.281819</v>
      </c>
      <c r="E443" s="1">
        <v>25.249796</v>
      </c>
      <c r="F443" s="1">
        <v>20.951111000000001</v>
      </c>
      <c r="G443" s="1">
        <v>6.011666</v>
      </c>
      <c r="H443" s="1">
        <v>4119.8598629999997</v>
      </c>
      <c r="I443" s="1">
        <v>35.879150000000003</v>
      </c>
      <c r="J443" s="1">
        <v>10.618924</v>
      </c>
      <c r="K443" s="1">
        <v>1.305985</v>
      </c>
      <c r="L443" s="1">
        <v>18.483725</v>
      </c>
      <c r="M443">
        <f t="shared" si="60"/>
        <v>2.7789011252916662E-3</v>
      </c>
      <c r="N443">
        <f t="shared" si="60"/>
        <v>1.0380692844980999E-2</v>
      </c>
      <c r="O443">
        <f t="shared" si="60"/>
        <v>2.684577705564406E-3</v>
      </c>
      <c r="P443">
        <f t="shared" si="59"/>
        <v>2.1505331960183227E-3</v>
      </c>
      <c r="Q443">
        <f t="shared" si="59"/>
        <v>2.5379312721023117E-2</v>
      </c>
      <c r="R443">
        <f t="shared" si="59"/>
        <v>-2.1403033102897706E-2</v>
      </c>
      <c r="S443">
        <f t="shared" si="61"/>
        <v>1.3279758144612464E-2</v>
      </c>
      <c r="T443">
        <f t="shared" si="62"/>
        <v>-5.1065532619755216E-2</v>
      </c>
      <c r="U443">
        <f t="shared" si="63"/>
        <v>-1.8326535705211922E-2</v>
      </c>
      <c r="V443">
        <f t="shared" si="64"/>
        <v>4.8310237115707366E-3</v>
      </c>
      <c r="W443">
        <f t="shared" si="65"/>
        <v>-4.968158410021295E-3</v>
      </c>
    </row>
    <row r="444" spans="1:23" x14ac:dyDescent="0.3">
      <c r="A444" t="s">
        <v>66</v>
      </c>
      <c r="B444" s="1">
        <v>17.522034000000001</v>
      </c>
      <c r="C444" s="1">
        <v>12.702524</v>
      </c>
      <c r="D444" s="1">
        <v>14.243581000000001</v>
      </c>
      <c r="E444" s="1">
        <v>25.195612000000001</v>
      </c>
      <c r="F444" s="1">
        <v>20.432547</v>
      </c>
      <c r="G444" s="1">
        <v>6.1431480000000001</v>
      </c>
      <c r="H444" s="1">
        <v>4140.4301759999998</v>
      </c>
      <c r="I444" s="1">
        <v>35.408928000000003</v>
      </c>
      <c r="J444" s="1">
        <v>11.190365999999999</v>
      </c>
      <c r="K444" s="1">
        <v>1.3303659999999999</v>
      </c>
      <c r="L444" s="1">
        <v>18.394859</v>
      </c>
      <c r="M444">
        <f t="shared" si="60"/>
        <v>5.5892680268974093E-3</v>
      </c>
      <c r="N444">
        <f t="shared" si="60"/>
        <v>6.9262530515068477E-4</v>
      </c>
      <c r="O444">
        <f t="shared" si="60"/>
        <v>-7.9893887122390872E-3</v>
      </c>
      <c r="P444">
        <f t="shared" si="59"/>
        <v>3.9880759383834397E-2</v>
      </c>
      <c r="Q444">
        <f t="shared" si="59"/>
        <v>1.8419532157609941E-2</v>
      </c>
      <c r="R444">
        <f t="shared" si="59"/>
        <v>-3.997048542908499E-3</v>
      </c>
      <c r="S444">
        <f t="shared" si="61"/>
        <v>2.2023144084284185E-2</v>
      </c>
      <c r="T444">
        <f t="shared" si="62"/>
        <v>1.4687920675943156E-2</v>
      </c>
      <c r="U444">
        <f t="shared" si="63"/>
        <v>-5.173171891684869E-3</v>
      </c>
      <c r="V444">
        <f t="shared" si="64"/>
        <v>2.7805207545327004E-2</v>
      </c>
      <c r="W444">
        <f t="shared" si="65"/>
        <v>5.6470688690113402E-3</v>
      </c>
    </row>
    <row r="445" spans="1:23" x14ac:dyDescent="0.3">
      <c r="A445" t="s">
        <v>65</v>
      </c>
      <c r="B445" s="1">
        <v>17.424643</v>
      </c>
      <c r="C445" s="1">
        <v>12.693732000000001</v>
      </c>
      <c r="D445" s="1">
        <v>14.358295</v>
      </c>
      <c r="E445" s="1">
        <v>24.229327999999999</v>
      </c>
      <c r="F445" s="1">
        <v>20.062995999999998</v>
      </c>
      <c r="G445" s="1">
        <v>6.1678009999999999</v>
      </c>
      <c r="H445" s="1">
        <v>4117.1801759999998</v>
      </c>
      <c r="I445" s="1">
        <v>34.645916</v>
      </c>
      <c r="J445" s="1">
        <v>11.028382000000001</v>
      </c>
      <c r="K445" s="1">
        <v>1.3372839999999999</v>
      </c>
      <c r="L445" s="1">
        <v>17.897223</v>
      </c>
      <c r="M445">
        <f t="shared" si="60"/>
        <v>-6.0185455354658801E-3</v>
      </c>
      <c r="N445">
        <f t="shared" si="60"/>
        <v>-1.701846904402371E-2</v>
      </c>
      <c r="O445">
        <f t="shared" si="60"/>
        <v>-2.6560561490741597E-3</v>
      </c>
      <c r="P445">
        <f t="shared" si="59"/>
        <v>5.2156811929418012E-2</v>
      </c>
      <c r="Q445">
        <f t="shared" si="59"/>
        <v>3.7238916293722113E-2</v>
      </c>
      <c r="R445">
        <f t="shared" si="59"/>
        <v>2.2091002508412894E-2</v>
      </c>
      <c r="S445">
        <f t="shared" si="61"/>
        <v>3.2249456858074232E-2</v>
      </c>
      <c r="T445">
        <f t="shared" si="62"/>
        <v>1.1973596735883385E-2</v>
      </c>
      <c r="U445">
        <f t="shared" si="63"/>
        <v>3.2824007710938741E-2</v>
      </c>
      <c r="V445">
        <f t="shared" si="64"/>
        <v>4.990016205311365E-3</v>
      </c>
      <c r="W445">
        <f t="shared" si="65"/>
        <v>3.4389743790037564E-3</v>
      </c>
    </row>
    <row r="446" spans="1:23" x14ac:dyDescent="0.3">
      <c r="A446" t="s">
        <v>64</v>
      </c>
      <c r="B446" s="1">
        <v>17.530149000000002</v>
      </c>
      <c r="C446" s="1">
        <v>12.913500000000001</v>
      </c>
      <c r="D446" s="1">
        <v>14.396533</v>
      </c>
      <c r="E446" s="1">
        <v>23.028248000000001</v>
      </c>
      <c r="F446" s="1">
        <v>19.342694999999999</v>
      </c>
      <c r="G446" s="1">
        <v>6.0344930000000003</v>
      </c>
      <c r="H446" s="1">
        <v>4103.0698240000002</v>
      </c>
      <c r="I446" s="1">
        <v>33.563510999999998</v>
      </c>
      <c r="J446" s="1">
        <v>10.897895</v>
      </c>
      <c r="K446" s="1">
        <v>1.2947839999999999</v>
      </c>
      <c r="L446" s="1">
        <v>17.808358999999999</v>
      </c>
      <c r="M446">
        <f t="shared" si="60"/>
        <v>-1.9518793086553243E-2</v>
      </c>
      <c r="N446">
        <f t="shared" si="60"/>
        <v>5.7595226567060731E-2</v>
      </c>
      <c r="O446">
        <f t="shared" si="60"/>
        <v>6.6845265674180254E-3</v>
      </c>
      <c r="P446">
        <f t="shared" si="59"/>
        <v>-5.9387704261248841E-2</v>
      </c>
      <c r="Q446">
        <f t="shared" si="59"/>
        <v>6.0917284255381787E-3</v>
      </c>
      <c r="R446">
        <f t="shared" si="59"/>
        <v>4.4072800096670584E-3</v>
      </c>
      <c r="S446">
        <f t="shared" si="61"/>
        <v>9.4617893734548542E-2</v>
      </c>
      <c r="T446">
        <f t="shared" si="62"/>
        <v>9.1667635900827271E-3</v>
      </c>
      <c r="U446">
        <f t="shared" si="63"/>
        <v>-1.9705317414830725E-2</v>
      </c>
      <c r="V446">
        <f t="shared" si="64"/>
        <v>0.10413237764484529</v>
      </c>
      <c r="W446">
        <f t="shared" si="65"/>
        <v>-7.8442426292169021E-3</v>
      </c>
    </row>
    <row r="447" spans="1:23" x14ac:dyDescent="0.3">
      <c r="A447" t="s">
        <v>63</v>
      </c>
      <c r="B447" s="1">
        <v>17.879128000000001</v>
      </c>
      <c r="C447" s="1">
        <v>12.210248</v>
      </c>
      <c r="D447" s="1">
        <v>14.300938</v>
      </c>
      <c r="E447" s="1">
        <v>24.482189000000002</v>
      </c>
      <c r="F447" s="1">
        <v>19.225577999999999</v>
      </c>
      <c r="G447" s="1">
        <v>6.0080140000000002</v>
      </c>
      <c r="H447" s="1">
        <v>4135.5097660000001</v>
      </c>
      <c r="I447" s="1">
        <v>30.662307999999999</v>
      </c>
      <c r="J447" s="1">
        <v>10.798904</v>
      </c>
      <c r="K447" s="1">
        <v>1.320811</v>
      </c>
      <c r="L447" s="1">
        <v>16.128826</v>
      </c>
      <c r="M447">
        <f t="shared" si="60"/>
        <v>3.6445638348234777E-3</v>
      </c>
      <c r="N447">
        <f t="shared" si="60"/>
        <v>1.0917103417865448E-2</v>
      </c>
      <c r="O447">
        <f t="shared" si="60"/>
        <v>-1.7082805135907209E-2</v>
      </c>
      <c r="P447">
        <f t="shared" si="59"/>
        <v>3.6893478406563318E-4</v>
      </c>
      <c r="Q447">
        <f t="shared" si="59"/>
        <v>-5.151375703624117E-3</v>
      </c>
      <c r="R447">
        <f t="shared" si="59"/>
        <v>-1.6883288380284522E-2</v>
      </c>
      <c r="S447">
        <f t="shared" si="61"/>
        <v>2.3090816332318687E-2</v>
      </c>
      <c r="T447">
        <f t="shared" si="62"/>
        <v>2.9251236695033711E-3</v>
      </c>
      <c r="U447">
        <f t="shared" si="63"/>
        <v>0.38719668453511225</v>
      </c>
      <c r="V447">
        <f t="shared" si="64"/>
        <v>0</v>
      </c>
      <c r="W447">
        <f t="shared" si="65"/>
        <v>6.0255648836993192E-3</v>
      </c>
    </row>
    <row r="448" spans="1:23" x14ac:dyDescent="0.3">
      <c r="A448" t="s">
        <v>62</v>
      </c>
      <c r="B448" s="1">
        <v>17.814202999999999</v>
      </c>
      <c r="C448" s="1">
        <v>12.078386999999999</v>
      </c>
      <c r="D448" s="1">
        <v>14.549484</v>
      </c>
      <c r="E448" s="1">
        <v>24.47316</v>
      </c>
      <c r="F448" s="1">
        <v>19.325129</v>
      </c>
      <c r="G448" s="1">
        <v>6.1111909999999998</v>
      </c>
      <c r="H448" s="1">
        <v>4110.7402339999999</v>
      </c>
      <c r="I448" s="1">
        <v>29.970269999999999</v>
      </c>
      <c r="J448" s="1">
        <v>10.767408</v>
      </c>
      <c r="K448" s="1">
        <v>0.95214399999999999</v>
      </c>
      <c r="L448" s="1">
        <v>16.128826</v>
      </c>
      <c r="M448">
        <f t="shared" si="60"/>
        <v>2.2356842547649247E-2</v>
      </c>
      <c r="N448">
        <f t="shared" si="60"/>
        <v>0</v>
      </c>
      <c r="O448">
        <f t="shared" si="60"/>
        <v>6.6137909319767818E-3</v>
      </c>
      <c r="P448">
        <f t="shared" si="59"/>
        <v>-2.0245746846255241E-2</v>
      </c>
      <c r="Q448">
        <f t="shared" si="59"/>
        <v>-1.9607864026682353E-2</v>
      </c>
      <c r="R448">
        <f t="shared" si="59"/>
        <v>9.5023396562776696E-3</v>
      </c>
      <c r="S448">
        <f t="shared" si="61"/>
        <v>-7.9295407917028271E-3</v>
      </c>
      <c r="T448">
        <f t="shared" si="62"/>
        <v>-7.0539197152316158E-3</v>
      </c>
      <c r="U448">
        <f t="shared" si="63"/>
        <v>1.5216345923168673E-2</v>
      </c>
      <c r="V448">
        <f t="shared" si="64"/>
        <v>1.6556156696174718E-3</v>
      </c>
      <c r="W448">
        <f t="shared" si="65"/>
        <v>2.1990819771211534E-3</v>
      </c>
    </row>
    <row r="449" spans="1:23" x14ac:dyDescent="0.3">
      <c r="A449" t="s">
        <v>61</v>
      </c>
      <c r="B449" s="1">
        <v>17.424643</v>
      </c>
      <c r="C449" s="1">
        <v>12.078386999999999</v>
      </c>
      <c r="D449" s="1">
        <v>14.453889</v>
      </c>
      <c r="E449" s="1">
        <v>24.978876</v>
      </c>
      <c r="F449" s="1">
        <v>19.711632000000002</v>
      </c>
      <c r="G449" s="1">
        <v>6.0536669999999999</v>
      </c>
      <c r="H449" s="1">
        <v>4101.7202150000003</v>
      </c>
      <c r="I449" s="1">
        <v>30.209820000000001</v>
      </c>
      <c r="J449" s="1">
        <v>10.8439</v>
      </c>
      <c r="K449" s="1">
        <v>0.93787299999999996</v>
      </c>
      <c r="L449" s="1">
        <v>16.102167000000001</v>
      </c>
      <c r="M449">
        <f t="shared" si="60"/>
        <v>-1.2873581893742214E-2</v>
      </c>
      <c r="N449">
        <f t="shared" si="60"/>
        <v>-7.272996227903894E-4</v>
      </c>
      <c r="O449">
        <f t="shared" si="60"/>
        <v>-1.0471190209518255E-2</v>
      </c>
      <c r="P449">
        <f t="shared" si="59"/>
        <v>1.3186867566299165E-2</v>
      </c>
      <c r="Q449">
        <f t="shared" si="59"/>
        <v>3.5692221749459296E-2</v>
      </c>
      <c r="R449">
        <f t="shared" si="59"/>
        <v>1.9999939342554285E-2</v>
      </c>
      <c r="S449">
        <f t="shared" si="61"/>
        <v>2.650151903564657E-3</v>
      </c>
      <c r="T449">
        <f t="shared" si="62"/>
        <v>2.5095600215835345E-2</v>
      </c>
      <c r="U449">
        <f t="shared" si="63"/>
        <v>2.3748058381189319E-2</v>
      </c>
      <c r="V449">
        <f t="shared" si="64"/>
        <v>2.1420556576451144E-2</v>
      </c>
      <c r="W449">
        <f t="shared" si="65"/>
        <v>8.5544338313425783E-3</v>
      </c>
    </row>
    <row r="450" spans="1:23" x14ac:dyDescent="0.3">
      <c r="A450" t="s">
        <v>60</v>
      </c>
      <c r="B450" s="1">
        <v>17.651886000000001</v>
      </c>
      <c r="C450" s="1">
        <v>12.087178</v>
      </c>
      <c r="D450" s="1">
        <v>14.60684</v>
      </c>
      <c r="E450" s="1">
        <v>24.653770000000002</v>
      </c>
      <c r="F450" s="1">
        <v>19.032326000000001</v>
      </c>
      <c r="G450" s="1">
        <v>5.9349679999999996</v>
      </c>
      <c r="H450" s="1">
        <v>4066.929932</v>
      </c>
      <c r="I450" s="1">
        <v>30.129971000000001</v>
      </c>
      <c r="J450" s="1">
        <v>10.578428000000001</v>
      </c>
      <c r="K450" s="1">
        <v>0.91611699999999996</v>
      </c>
      <c r="L450" s="1">
        <v>15.764483</v>
      </c>
      <c r="M450">
        <f t="shared" si="60"/>
        <v>8.8127091562517634E-3</v>
      </c>
      <c r="N450">
        <f t="shared" si="60"/>
        <v>3.6496871601823244E-3</v>
      </c>
      <c r="O450">
        <f t="shared" si="60"/>
        <v>-7.7922480194685395E-3</v>
      </c>
      <c r="P450">
        <f t="shared" si="59"/>
        <v>0</v>
      </c>
      <c r="Q450">
        <f t="shared" si="59"/>
        <v>-1.2291304440004147E-3</v>
      </c>
      <c r="R450">
        <f t="shared" si="59"/>
        <v>-6.1495768377173299E-4</v>
      </c>
      <c r="S450">
        <f t="shared" si="61"/>
        <v>-1.4700906366438282E-3</v>
      </c>
      <c r="T450">
        <f t="shared" si="62"/>
        <v>1.5550796413824175E-2</v>
      </c>
      <c r="U450">
        <f t="shared" si="63"/>
        <v>1.3982538705721304E-2</v>
      </c>
      <c r="V450">
        <f t="shared" si="64"/>
        <v>-5.0476945855084665E-3</v>
      </c>
      <c r="W450">
        <f t="shared" si="65"/>
        <v>6.569269666385491E-4</v>
      </c>
    </row>
    <row r="451" spans="1:23" x14ac:dyDescent="0.3">
      <c r="A451" t="s">
        <v>59</v>
      </c>
      <c r="B451" s="1">
        <v>17.497684</v>
      </c>
      <c r="C451" s="1">
        <v>12.043224</v>
      </c>
      <c r="D451" s="1">
        <v>14.721553999999999</v>
      </c>
      <c r="E451" s="1">
        <v>24.653770000000002</v>
      </c>
      <c r="F451" s="1">
        <v>19.055748000000001</v>
      </c>
      <c r="G451" s="1">
        <v>5.9386200000000002</v>
      </c>
      <c r="H451" s="1">
        <v>4064.26001</v>
      </c>
      <c r="I451" s="1">
        <v>30.174330000000001</v>
      </c>
      <c r="J451" s="1">
        <v>10.416444</v>
      </c>
      <c r="K451" s="1">
        <v>0.90348399999999995</v>
      </c>
      <c r="L451" s="1">
        <v>15.844461000000001</v>
      </c>
      <c r="M451">
        <f t="shared" si="60"/>
        <v>-4.1570280021441253E-3</v>
      </c>
      <c r="N451">
        <f t="shared" si="60"/>
        <v>1.1070015904978137E-2</v>
      </c>
      <c r="O451">
        <f t="shared" si="60"/>
        <v>1.4492689704751038E-2</v>
      </c>
      <c r="P451">
        <f t="shared" si="59"/>
        <v>-4.7394608539312877E-3</v>
      </c>
      <c r="Q451">
        <f t="shared" si="59"/>
        <v>-7.0185478319226835E-3</v>
      </c>
      <c r="R451">
        <f t="shared" si="59"/>
        <v>3.0757341420306616E-4</v>
      </c>
      <c r="S451">
        <f t="shared" si="61"/>
        <v>3.2447000572535245E-3</v>
      </c>
      <c r="T451">
        <f t="shared" si="62"/>
        <v>-8.1404998221755731E-3</v>
      </c>
      <c r="U451">
        <f t="shared" si="63"/>
        <v>-6.2848844747556032E-2</v>
      </c>
      <c r="V451">
        <f t="shared" si="64"/>
        <v>-2.2384749428336903E-3</v>
      </c>
      <c r="W451">
        <f t="shared" si="65"/>
        <v>5.0546121380987685E-3</v>
      </c>
    </row>
    <row r="452" spans="1:23" x14ac:dyDescent="0.3">
      <c r="A452" t="s">
        <v>58</v>
      </c>
      <c r="B452" s="1">
        <v>17.570726000000001</v>
      </c>
      <c r="C452" s="1">
        <v>11.911365</v>
      </c>
      <c r="D452" s="1">
        <v>14.511246999999999</v>
      </c>
      <c r="E452" s="1">
        <v>24.771172</v>
      </c>
      <c r="F452" s="1">
        <v>19.190436999999999</v>
      </c>
      <c r="G452" s="1">
        <v>5.9367939999999999</v>
      </c>
      <c r="H452" s="1">
        <v>4043.820068</v>
      </c>
      <c r="I452" s="1">
        <v>30.076740000000001</v>
      </c>
      <c r="J452" s="1">
        <v>10.501935</v>
      </c>
      <c r="K452" s="1">
        <v>0.96407500000000002</v>
      </c>
      <c r="L452" s="1">
        <v>15.880008</v>
      </c>
      <c r="M452">
        <f t="shared" si="60"/>
        <v>-2.3042582813416201E-3</v>
      </c>
      <c r="N452">
        <f t="shared" si="60"/>
        <v>1.1949318618166949E-2</v>
      </c>
      <c r="O452">
        <f t="shared" si="60"/>
        <v>-6.544399746967966E-3</v>
      </c>
      <c r="P452">
        <f t="shared" si="59"/>
        <v>2.5586092640450531E-3</v>
      </c>
      <c r="Q452">
        <f t="shared" si="59"/>
        <v>-3.6486190126305829E-3</v>
      </c>
      <c r="R452">
        <f t="shared" si="59"/>
        <v>4.1698937829797167E-3</v>
      </c>
      <c r="S452">
        <f t="shared" si="61"/>
        <v>-1.281293045389631E-2</v>
      </c>
      <c r="T452">
        <f t="shared" si="62"/>
        <v>3.0080878175211545E-3</v>
      </c>
      <c r="U452">
        <f t="shared" si="63"/>
        <v>-4.5894767273778614E-3</v>
      </c>
      <c r="V452">
        <f t="shared" si="64"/>
        <v>2.2434969545508388E-3</v>
      </c>
      <c r="W452">
        <f t="shared" si="65"/>
        <v>8.1425926212319588E-4</v>
      </c>
    </row>
    <row r="453" spans="1:23" x14ac:dyDescent="0.3">
      <c r="A453" t="s">
        <v>57</v>
      </c>
      <c r="B453" s="1">
        <v>17.611307</v>
      </c>
      <c r="C453" s="1">
        <v>11.770713000000001</v>
      </c>
      <c r="D453" s="1">
        <v>14.60684</v>
      </c>
      <c r="E453" s="1">
        <v>24.707954000000001</v>
      </c>
      <c r="F453" s="1">
        <v>19.260712000000002</v>
      </c>
      <c r="G453" s="1">
        <v>5.9121410000000001</v>
      </c>
      <c r="H453" s="1">
        <v>4040.530029</v>
      </c>
      <c r="I453" s="1">
        <v>30.467113000000001</v>
      </c>
      <c r="J453" s="1">
        <v>10.470439000000001</v>
      </c>
      <c r="K453" s="1">
        <v>0.96852000000000005</v>
      </c>
      <c r="L453" s="1">
        <v>15.844461000000001</v>
      </c>
      <c r="M453">
        <f t="shared" si="60"/>
        <v>2.0696224283812459E-2</v>
      </c>
      <c r="N453">
        <f t="shared" si="60"/>
        <v>-1.4913947684033202E-3</v>
      </c>
      <c r="O453">
        <f t="shared" si="60"/>
        <v>-7.7922480194685395E-3</v>
      </c>
      <c r="P453">
        <f t="shared" si="60"/>
        <v>1.8994416264778158E-2</v>
      </c>
      <c r="Q453">
        <f t="shared" si="60"/>
        <v>2.1428523700031121E-2</v>
      </c>
      <c r="R453">
        <f t="shared" si="60"/>
        <v>8.8812538224629645E-3</v>
      </c>
      <c r="S453">
        <f t="shared" si="61"/>
        <v>2.5993294008507029E-2</v>
      </c>
      <c r="T453">
        <f t="shared" si="62"/>
        <v>1.4385357656118369E-2</v>
      </c>
      <c r="U453">
        <f t="shared" si="63"/>
        <v>1.2472441142434176E-2</v>
      </c>
      <c r="V453">
        <f t="shared" si="64"/>
        <v>1.3068160674943208E-2</v>
      </c>
      <c r="W453">
        <f t="shared" si="65"/>
        <v>9.1838718874661662E-3</v>
      </c>
    </row>
    <row r="454" spans="1:23" x14ac:dyDescent="0.3">
      <c r="A454" t="s">
        <v>56</v>
      </c>
      <c r="B454" s="1">
        <v>17.25421</v>
      </c>
      <c r="C454" s="1">
        <v>11.788294</v>
      </c>
      <c r="D454" s="1">
        <v>14.721553999999999</v>
      </c>
      <c r="E454" s="1">
        <v>24.247388999999998</v>
      </c>
      <c r="F454" s="1">
        <v>18.856642000000001</v>
      </c>
      <c r="G454" s="1">
        <v>5.8600960000000004</v>
      </c>
      <c r="H454" s="1">
        <v>4003.76001</v>
      </c>
      <c r="I454" s="1">
        <v>29.695236000000001</v>
      </c>
      <c r="J454" s="1">
        <v>10.321954</v>
      </c>
      <c r="K454" s="1">
        <v>0.95658900000000002</v>
      </c>
      <c r="L454" s="1">
        <v>15.640074</v>
      </c>
      <c r="M454">
        <f t="shared" ref="M454:Q505" si="66">+B454/B455-1</f>
        <v>-4.6817001703280958E-3</v>
      </c>
      <c r="N454">
        <f t="shared" si="66"/>
        <v>-2.2321409678445203E-3</v>
      </c>
      <c r="O454">
        <f t="shared" si="66"/>
        <v>9.1742905437874889E-3</v>
      </c>
      <c r="P454">
        <f t="shared" si="66"/>
        <v>-1.7563202001356304E-2</v>
      </c>
      <c r="Q454">
        <f t="shared" si="66"/>
        <v>5.3076474672024698E-3</v>
      </c>
      <c r="R454">
        <f t="shared" ref="R454:R505" si="67">+G454/G455-1</f>
        <v>-9.2620644882059899E-3</v>
      </c>
      <c r="S454">
        <f t="shared" ref="S454:S505" si="68">+I454/I455-1</f>
        <v>6.6166680971730951E-3</v>
      </c>
      <c r="T454">
        <f t="shared" ref="T454:T505" si="69">+J454/J455-1</f>
        <v>-6.9263396211601824E-3</v>
      </c>
      <c r="U454">
        <f t="shared" ref="U454:U505" si="70">+K454/K455-1</f>
        <v>-4.8899908782862322E-4</v>
      </c>
      <c r="V454">
        <f t="shared" ref="V454:V505" si="71">+L454/L455-1</f>
        <v>-9.5667546315832963E-3</v>
      </c>
      <c r="W454">
        <f t="shared" ref="W454:W505" si="72">+H454/H455-1</f>
        <v>-7.5503966613029716E-3</v>
      </c>
    </row>
    <row r="455" spans="1:23" x14ac:dyDescent="0.3">
      <c r="A455" t="s">
        <v>55</v>
      </c>
      <c r="B455" s="1">
        <v>17.335369</v>
      </c>
      <c r="C455" s="1">
        <v>11.814666000000001</v>
      </c>
      <c r="D455" s="1">
        <v>14.587721999999999</v>
      </c>
      <c r="E455" s="1">
        <v>24.680864</v>
      </c>
      <c r="F455" s="1">
        <v>18.757086000000001</v>
      </c>
      <c r="G455" s="1">
        <v>5.9148800000000001</v>
      </c>
      <c r="H455" s="1">
        <v>4034.219971</v>
      </c>
      <c r="I455" s="1">
        <v>29.500043999999999</v>
      </c>
      <c r="J455" s="1">
        <v>10.393946</v>
      </c>
      <c r="K455" s="1">
        <v>0.95705700000000005</v>
      </c>
      <c r="L455" s="1">
        <v>15.791143999999999</v>
      </c>
      <c r="M455">
        <f t="shared" si="66"/>
        <v>2.1032527866644557E-2</v>
      </c>
      <c r="N455">
        <f t="shared" si="66"/>
        <v>2.9851004749521515E-3</v>
      </c>
      <c r="O455">
        <f t="shared" si="66"/>
        <v>9.2593073047675389E-3</v>
      </c>
      <c r="P455">
        <f t="shared" si="66"/>
        <v>3.7585470107927454E-2</v>
      </c>
      <c r="Q455">
        <f t="shared" si="66"/>
        <v>4.390016183044354E-3</v>
      </c>
      <c r="R455">
        <f t="shared" si="67"/>
        <v>2.9725102212952992E-2</v>
      </c>
      <c r="S455">
        <f t="shared" si="68"/>
        <v>5.4430515689607439E-3</v>
      </c>
      <c r="T455">
        <f t="shared" si="69"/>
        <v>2.167176210985633E-2</v>
      </c>
      <c r="U455">
        <f t="shared" si="70"/>
        <v>2.2053487561142227E-3</v>
      </c>
      <c r="V455">
        <f t="shared" si="71"/>
        <v>2.1851742059819657E-2</v>
      </c>
      <c r="W455">
        <f t="shared" si="72"/>
        <v>1.9257193279434093E-2</v>
      </c>
    </row>
    <row r="456" spans="1:23" x14ac:dyDescent="0.3">
      <c r="A456" t="s">
        <v>54</v>
      </c>
      <c r="B456" s="1">
        <v>16.978273000000002</v>
      </c>
      <c r="C456" s="1">
        <v>11.779503</v>
      </c>
      <c r="D456" s="1">
        <v>14.453889</v>
      </c>
      <c r="E456" s="1">
        <v>23.786825</v>
      </c>
      <c r="F456" s="1">
        <v>18.675101999999999</v>
      </c>
      <c r="G456" s="1">
        <v>5.744135</v>
      </c>
      <c r="H456" s="1">
        <v>3958</v>
      </c>
      <c r="I456" s="1">
        <v>29.340343000000001</v>
      </c>
      <c r="J456" s="1">
        <v>10.173469000000001</v>
      </c>
      <c r="K456" s="1">
        <v>0.95495099999999999</v>
      </c>
      <c r="L456" s="1">
        <v>15.453459000000001</v>
      </c>
      <c r="M456">
        <f t="shared" si="66"/>
        <v>-8.5307728634714808E-3</v>
      </c>
      <c r="N456">
        <f t="shared" si="66"/>
        <v>2.9939525768196695E-3</v>
      </c>
      <c r="O456">
        <f t="shared" si="66"/>
        <v>3.9840147624432554E-3</v>
      </c>
      <c r="P456">
        <f t="shared" si="66"/>
        <v>1.3466718640575248E-2</v>
      </c>
      <c r="Q456">
        <f t="shared" si="66"/>
        <v>1.3024302306715585E-2</v>
      </c>
      <c r="R456">
        <f t="shared" si="67"/>
        <v>2.6934221081369891E-2</v>
      </c>
      <c r="S456">
        <f t="shared" si="68"/>
        <v>1.3484400847392886E-2</v>
      </c>
      <c r="T456">
        <f t="shared" si="69"/>
        <v>3.0537783630470106E-2</v>
      </c>
      <c r="U456">
        <f t="shared" si="70"/>
        <v>1.5675171477101513E-2</v>
      </c>
      <c r="V456">
        <f t="shared" si="71"/>
        <v>1.6959080606272048E-2</v>
      </c>
      <c r="W456">
        <f t="shared" si="72"/>
        <v>1.0286660414030147E-2</v>
      </c>
    </row>
    <row r="457" spans="1:23" x14ac:dyDescent="0.3">
      <c r="A457" t="s">
        <v>53</v>
      </c>
      <c r="B457" s="1">
        <v>17.124357</v>
      </c>
      <c r="C457" s="1">
        <v>11.744341</v>
      </c>
      <c r="D457" s="1">
        <v>14.396533</v>
      </c>
      <c r="E457" s="1">
        <v>23.470751</v>
      </c>
      <c r="F457" s="1">
        <v>18.434999000000001</v>
      </c>
      <c r="G457" s="1">
        <v>5.5934790000000003</v>
      </c>
      <c r="H457" s="1">
        <v>3917.6999510000001</v>
      </c>
      <c r="I457" s="1">
        <v>28.94997</v>
      </c>
      <c r="J457" s="1">
        <v>9.8719999999999999</v>
      </c>
      <c r="K457" s="1">
        <v>0.94021299999999997</v>
      </c>
      <c r="L457" s="1">
        <v>15.195753</v>
      </c>
      <c r="M457">
        <f t="shared" si="66"/>
        <v>4.7618404994367314E-3</v>
      </c>
      <c r="N457">
        <f t="shared" si="66"/>
        <v>-7.4797083875177695E-4</v>
      </c>
      <c r="O457">
        <f t="shared" si="66"/>
        <v>1.8944618843110383E-2</v>
      </c>
      <c r="P457">
        <f t="shared" si="66"/>
        <v>1.1677671272691592E-2</v>
      </c>
      <c r="Q457">
        <f t="shared" si="66"/>
        <v>1.4829000340808696E-2</v>
      </c>
      <c r="R457">
        <f t="shared" si="67"/>
        <v>-3.578295863983616E-3</v>
      </c>
      <c r="S457">
        <f t="shared" si="68"/>
        <v>5.5470129317995998E-3</v>
      </c>
      <c r="T457">
        <f t="shared" si="69"/>
        <v>5.499589784279113E-3</v>
      </c>
      <c r="U457">
        <f t="shared" si="70"/>
        <v>8.0259282726886649E-3</v>
      </c>
      <c r="V457">
        <f t="shared" si="71"/>
        <v>2.6410575902289679E-2</v>
      </c>
      <c r="W457">
        <f t="shared" si="72"/>
        <v>4.5564969909310804E-3</v>
      </c>
    </row>
    <row r="458" spans="1:23" x14ac:dyDescent="0.3">
      <c r="A458" t="s">
        <v>52</v>
      </c>
      <c r="B458" s="1">
        <v>17.043199999999999</v>
      </c>
      <c r="C458" s="1">
        <v>11.753132000000001</v>
      </c>
      <c r="D458" s="1">
        <v>14.128867</v>
      </c>
      <c r="E458" s="1">
        <v>23.199831</v>
      </c>
      <c r="F458" s="1">
        <v>18.165621000000002</v>
      </c>
      <c r="G458" s="1">
        <v>5.6135659999999996</v>
      </c>
      <c r="H458" s="1">
        <v>3899.929932</v>
      </c>
      <c r="I458" s="1">
        <v>28.79027</v>
      </c>
      <c r="J458" s="1">
        <v>9.8180049999999994</v>
      </c>
      <c r="K458" s="1">
        <v>0.93272699999999997</v>
      </c>
      <c r="L458" s="1">
        <v>14.804751</v>
      </c>
      <c r="M458">
        <f t="shared" si="66"/>
        <v>1.4307664736452619E-3</v>
      </c>
      <c r="N458">
        <f t="shared" si="66"/>
        <v>-3.7258353461184779E-3</v>
      </c>
      <c r="O458">
        <f t="shared" si="66"/>
        <v>-1.9893933336760261E-2</v>
      </c>
      <c r="P458">
        <f t="shared" si="66"/>
        <v>-2.2078467646495015E-2</v>
      </c>
      <c r="Q458">
        <f t="shared" si="66"/>
        <v>-1.773265841013516E-2</v>
      </c>
      <c r="R458">
        <f t="shared" si="67"/>
        <v>-6.7853096188974504E-3</v>
      </c>
      <c r="S458">
        <f t="shared" si="68"/>
        <v>-2.0525197016668106E-2</v>
      </c>
      <c r="T458">
        <f t="shared" si="69"/>
        <v>1.1121402889552323E-2</v>
      </c>
      <c r="U458">
        <f t="shared" si="70"/>
        <v>-4.4933650821773474E-3</v>
      </c>
      <c r="V458">
        <f t="shared" si="71"/>
        <v>-5.3732247746516304E-3</v>
      </c>
      <c r="W458">
        <f t="shared" si="72"/>
        <v>-5.8629647734427248E-3</v>
      </c>
    </row>
    <row r="459" spans="1:23" x14ac:dyDescent="0.3">
      <c r="A459" t="s">
        <v>51</v>
      </c>
      <c r="B459" s="1">
        <v>17.01885</v>
      </c>
      <c r="C459" s="1">
        <v>11.797086</v>
      </c>
      <c r="D459" s="1">
        <v>14.415651</v>
      </c>
      <c r="E459" s="1">
        <v>23.723611999999999</v>
      </c>
      <c r="F459" s="1">
        <v>18.493561</v>
      </c>
      <c r="G459" s="1">
        <v>5.6519159999999999</v>
      </c>
      <c r="H459" s="1">
        <v>3922.929932</v>
      </c>
      <c r="I459" s="1">
        <v>29.393578999999999</v>
      </c>
      <c r="J459" s="1">
        <v>9.7100159999999995</v>
      </c>
      <c r="K459" s="1">
        <v>0.93693700000000002</v>
      </c>
      <c r="L459" s="1">
        <v>14.884729999999999</v>
      </c>
      <c r="M459">
        <f t="shared" si="66"/>
        <v>6.2378546363413001E-3</v>
      </c>
      <c r="N459">
        <f t="shared" si="66"/>
        <v>1.5897207142660408E-2</v>
      </c>
      <c r="O459">
        <f t="shared" si="66"/>
        <v>6.6755320876166202E-3</v>
      </c>
      <c r="P459">
        <f t="shared" si="66"/>
        <v>-2.7036994156261707E-2</v>
      </c>
      <c r="Q459">
        <f t="shared" si="66"/>
        <v>3.8143571332109882E-3</v>
      </c>
      <c r="R459">
        <f t="shared" si="67"/>
        <v>8.8005411763445451E-3</v>
      </c>
      <c r="S459">
        <f t="shared" si="68"/>
        <v>1.0060996269655398E-2</v>
      </c>
      <c r="T459">
        <f t="shared" si="69"/>
        <v>2.0813737544069122E-2</v>
      </c>
      <c r="U459">
        <f t="shared" si="70"/>
        <v>2.5026802967693662E-3</v>
      </c>
      <c r="V459">
        <f t="shared" si="71"/>
        <v>-4.7534000306637125E-3</v>
      </c>
      <c r="W459">
        <f t="shared" si="72"/>
        <v>1.0285873026419923E-2</v>
      </c>
    </row>
    <row r="460" spans="1:23" x14ac:dyDescent="0.3">
      <c r="A460" t="s">
        <v>50</v>
      </c>
      <c r="B460" s="1">
        <v>16.913347000000002</v>
      </c>
      <c r="C460" s="1">
        <v>11.61248</v>
      </c>
      <c r="D460" s="1">
        <v>14.320057</v>
      </c>
      <c r="E460" s="1">
        <v>24.382850999999999</v>
      </c>
      <c r="F460" s="1">
        <v>18.423287999999999</v>
      </c>
      <c r="G460" s="1">
        <v>5.6026100000000003</v>
      </c>
      <c r="H460" s="1">
        <v>3882.98999</v>
      </c>
      <c r="I460" s="1">
        <v>29.100795999999999</v>
      </c>
      <c r="J460" s="1">
        <v>9.5120349999999991</v>
      </c>
      <c r="K460" s="1">
        <v>0.93459800000000004</v>
      </c>
      <c r="L460" s="1">
        <v>14.955821</v>
      </c>
      <c r="M460">
        <f t="shared" si="66"/>
        <v>3.853536185972839E-3</v>
      </c>
      <c r="N460">
        <f t="shared" si="66"/>
        <v>6.0928830014845836E-3</v>
      </c>
      <c r="O460">
        <f t="shared" si="66"/>
        <v>8.07548315274631E-3</v>
      </c>
      <c r="P460">
        <f t="shared" si="66"/>
        <v>1.0479033726989995E-2</v>
      </c>
      <c r="Q460">
        <f t="shared" si="66"/>
        <v>8.3333014066531153E-3</v>
      </c>
      <c r="R460">
        <f t="shared" si="67"/>
        <v>-5.1880135543911354E-3</v>
      </c>
      <c r="S460">
        <f t="shared" si="68"/>
        <v>6.7525648741737498E-3</v>
      </c>
      <c r="T460">
        <f t="shared" si="69"/>
        <v>8.5878094289251194E-3</v>
      </c>
      <c r="U460">
        <f t="shared" si="70"/>
        <v>6.0442440819692411E-3</v>
      </c>
      <c r="V460">
        <f t="shared" si="71"/>
        <v>2.1237919599562893E-2</v>
      </c>
      <c r="W460">
        <f t="shared" si="72"/>
        <v>6.9864085418149813E-3</v>
      </c>
    </row>
    <row r="461" spans="1:23" x14ac:dyDescent="0.3">
      <c r="A461" t="s">
        <v>49</v>
      </c>
      <c r="B461" s="1">
        <v>16.848420999999998</v>
      </c>
      <c r="C461" s="1">
        <v>11.542154999999999</v>
      </c>
      <c r="D461" s="1">
        <v>14.205342</v>
      </c>
      <c r="E461" s="1">
        <v>24.129992000000001</v>
      </c>
      <c r="F461" s="1">
        <v>18.27103</v>
      </c>
      <c r="G461" s="1">
        <v>5.6318279999999996</v>
      </c>
      <c r="H461" s="1">
        <v>3856.0500489999999</v>
      </c>
      <c r="I461" s="1">
        <v>28.905608999999998</v>
      </c>
      <c r="J461" s="1">
        <v>9.4310430000000007</v>
      </c>
      <c r="K461" s="1">
        <v>0.928983</v>
      </c>
      <c r="L461" s="1">
        <v>14.644795999999999</v>
      </c>
      <c r="M461">
        <f t="shared" si="66"/>
        <v>-8.1222677756880302E-3</v>
      </c>
      <c r="N461">
        <f t="shared" si="66"/>
        <v>-7.5585158151793008E-3</v>
      </c>
      <c r="O461">
        <f t="shared" si="66"/>
        <v>6.7749610570675411E-3</v>
      </c>
      <c r="P461">
        <f t="shared" si="66"/>
        <v>-2.0527923041152585E-2</v>
      </c>
      <c r="Q461">
        <f t="shared" si="66"/>
        <v>-1.2970521679147806E-2</v>
      </c>
      <c r="R461">
        <f t="shared" si="67"/>
        <v>-2.2194026103633302E-2</v>
      </c>
      <c r="S461">
        <f t="shared" si="68"/>
        <v>-2.6591032985897267E-2</v>
      </c>
      <c r="T461">
        <f t="shared" si="69"/>
        <v>-1.1786935905909846E-2</v>
      </c>
      <c r="U461">
        <f t="shared" si="70"/>
        <v>-1.1944102027944714E-2</v>
      </c>
      <c r="V461">
        <f t="shared" si="71"/>
        <v>-4.830969085929504E-3</v>
      </c>
      <c r="W461">
        <f t="shared" si="72"/>
        <v>-1.2034263406109802E-2</v>
      </c>
    </row>
    <row r="462" spans="1:23" x14ac:dyDescent="0.3">
      <c r="A462" t="s">
        <v>48</v>
      </c>
      <c r="B462" s="1">
        <v>16.986388999999999</v>
      </c>
      <c r="C462" s="1">
        <v>11.630061</v>
      </c>
      <c r="D462" s="1">
        <v>14.109749000000001</v>
      </c>
      <c r="E462" s="1">
        <v>24.635712000000002</v>
      </c>
      <c r="F462" s="1">
        <v>18.511129</v>
      </c>
      <c r="G462" s="1">
        <v>5.7596579999999999</v>
      </c>
      <c r="H462" s="1">
        <v>3903.0200199999999</v>
      </c>
      <c r="I462" s="1">
        <v>29.695236000000001</v>
      </c>
      <c r="J462" s="1">
        <v>9.5435320000000008</v>
      </c>
      <c r="K462" s="1">
        <v>0.94021299999999997</v>
      </c>
      <c r="L462" s="1">
        <v>14.715888</v>
      </c>
      <c r="M462">
        <f t="shared" si="66"/>
        <v>-1.9212678969666941E-2</v>
      </c>
      <c r="N462">
        <f t="shared" si="66"/>
        <v>-1.9273659161015422E-2</v>
      </c>
      <c r="O462">
        <f t="shared" si="66"/>
        <v>-1.7310272563699214E-2</v>
      </c>
      <c r="P462">
        <f t="shared" si="66"/>
        <v>-5.3434980758408801E-2</v>
      </c>
      <c r="Q462">
        <f t="shared" si="66"/>
        <v>-5.9226204588388787E-2</v>
      </c>
      <c r="R462">
        <f t="shared" si="67"/>
        <v>-1.9888093843119403E-2</v>
      </c>
      <c r="S462">
        <f t="shared" si="68"/>
        <v>-1.5877535640393625E-2</v>
      </c>
      <c r="T462">
        <f t="shared" si="69"/>
        <v>-3.678483519775344E-2</v>
      </c>
      <c r="U462">
        <f t="shared" si="70"/>
        <v>-1.4467277768169251E-2</v>
      </c>
      <c r="V462">
        <f t="shared" si="71"/>
        <v>-3.0445022269758981E-2</v>
      </c>
      <c r="W462">
        <f t="shared" si="72"/>
        <v>-2.2216081391033371E-2</v>
      </c>
    </row>
    <row r="463" spans="1:23" x14ac:dyDescent="0.3">
      <c r="A463" t="s">
        <v>47</v>
      </c>
      <c r="B463" s="1">
        <v>17.319136</v>
      </c>
      <c r="C463" s="1">
        <v>11.85862</v>
      </c>
      <c r="D463" s="1">
        <v>14.358295</v>
      </c>
      <c r="E463" s="1">
        <v>26.026433999999998</v>
      </c>
      <c r="F463" s="1">
        <v>19.676493000000001</v>
      </c>
      <c r="G463" s="1">
        <v>5.8765309999999999</v>
      </c>
      <c r="H463" s="1">
        <v>3991.6999510000001</v>
      </c>
      <c r="I463" s="1">
        <v>30.174330000000001</v>
      </c>
      <c r="J463" s="1">
        <v>9.9079960000000007</v>
      </c>
      <c r="K463" s="1">
        <v>0.95401499999999995</v>
      </c>
      <c r="L463" s="1">
        <v>15.177982</v>
      </c>
      <c r="M463">
        <f t="shared" si="66"/>
        <v>-1.6136562967475565E-2</v>
      </c>
      <c r="N463">
        <f t="shared" si="66"/>
        <v>-7.40683940303688E-4</v>
      </c>
      <c r="O463">
        <f t="shared" si="66"/>
        <v>0</v>
      </c>
      <c r="P463">
        <f t="shared" si="66"/>
        <v>-2.0394359784791427E-2</v>
      </c>
      <c r="Q463">
        <f t="shared" si="66"/>
        <v>-1.9550693803975783E-2</v>
      </c>
      <c r="R463">
        <f t="shared" si="67"/>
        <v>-1.0150764874105489E-2</v>
      </c>
      <c r="S463">
        <f t="shared" si="68"/>
        <v>-6.1368582733524191E-3</v>
      </c>
      <c r="T463">
        <f t="shared" si="69"/>
        <v>-4.0705666748286351E-3</v>
      </c>
      <c r="U463">
        <f t="shared" si="70"/>
        <v>-9.7137868717517284E-3</v>
      </c>
      <c r="V463">
        <f t="shared" si="71"/>
        <v>-4.098804759328345E-2</v>
      </c>
      <c r="W463">
        <f t="shared" si="72"/>
        <v>-1.1994565080472475E-2</v>
      </c>
    </row>
    <row r="464" spans="1:23" x14ac:dyDescent="0.3">
      <c r="A464" t="s">
        <v>46</v>
      </c>
      <c r="B464" s="1">
        <v>17.603190999999999</v>
      </c>
      <c r="C464" s="1">
        <v>11.86741</v>
      </c>
      <c r="D464" s="1">
        <v>14.358295</v>
      </c>
      <c r="E464" s="1">
        <v>26.568276999999998</v>
      </c>
      <c r="F464" s="1">
        <v>20.068853000000001</v>
      </c>
      <c r="G464" s="1">
        <v>5.9367939999999999</v>
      </c>
      <c r="H464" s="1">
        <v>4040.1599120000001</v>
      </c>
      <c r="I464" s="1">
        <v>30.360648999999999</v>
      </c>
      <c r="J464" s="1">
        <v>9.9484919999999999</v>
      </c>
      <c r="K464" s="1">
        <v>0.96337300000000003</v>
      </c>
      <c r="L464" s="1">
        <v>15.826687</v>
      </c>
      <c r="M464">
        <f t="shared" si="66"/>
        <v>9.306701028858777E-3</v>
      </c>
      <c r="N464">
        <f t="shared" si="66"/>
        <v>1.4836501016175507E-3</v>
      </c>
      <c r="O464">
        <f t="shared" si="66"/>
        <v>6.7024476431529756E-3</v>
      </c>
      <c r="P464">
        <f t="shared" si="66"/>
        <v>0</v>
      </c>
      <c r="Q464">
        <f t="shared" si="66"/>
        <v>-3.1996289525121346E-3</v>
      </c>
      <c r="R464">
        <f t="shared" si="67"/>
        <v>1.2930367450382674E-2</v>
      </c>
      <c r="S464">
        <f t="shared" si="68"/>
        <v>2.9309667575461162E-3</v>
      </c>
      <c r="T464">
        <f t="shared" si="69"/>
        <v>7.7483792544570385E-3</v>
      </c>
      <c r="U464">
        <f t="shared" si="70"/>
        <v>-2.1802671837161114E-3</v>
      </c>
      <c r="V464">
        <f t="shared" si="71"/>
        <v>2.2975222658415229E-2</v>
      </c>
      <c r="W464">
        <f t="shared" si="72"/>
        <v>6.6024527690475843E-3</v>
      </c>
    </row>
    <row r="465" spans="1:23" x14ac:dyDescent="0.3">
      <c r="A465" t="s">
        <v>45</v>
      </c>
      <c r="B465" s="1">
        <v>17.440874000000001</v>
      </c>
      <c r="C465" s="1">
        <v>11.849829</v>
      </c>
      <c r="D465" s="1">
        <v>14.262700000000001</v>
      </c>
      <c r="E465" s="1">
        <v>26.568276999999998</v>
      </c>
      <c r="F465" s="1">
        <v>20.133272000000002</v>
      </c>
      <c r="G465" s="1">
        <v>5.8610090000000001</v>
      </c>
      <c r="H465" s="1">
        <v>4013.6599120000001</v>
      </c>
      <c r="I465" s="1">
        <v>30.271923000000001</v>
      </c>
      <c r="J465" s="1">
        <v>9.8719999999999999</v>
      </c>
      <c r="K465" s="1">
        <v>0.96547799999999995</v>
      </c>
      <c r="L465" s="1">
        <v>15.471232000000001</v>
      </c>
      <c r="M465">
        <f t="shared" si="66"/>
        <v>-2.3213742792004277E-3</v>
      </c>
      <c r="N465">
        <f t="shared" si="66"/>
        <v>-7.4131728649706741E-4</v>
      </c>
      <c r="O465">
        <f t="shared" si="66"/>
        <v>2.8965523410918959E-2</v>
      </c>
      <c r="P465">
        <f t="shared" si="66"/>
        <v>1.3085320166208447E-2</v>
      </c>
      <c r="Q465">
        <f t="shared" si="66"/>
        <v>1.3561392053620835E-2</v>
      </c>
      <c r="R465">
        <f t="shared" si="67"/>
        <v>-1.7107663650796079E-3</v>
      </c>
      <c r="S465">
        <f t="shared" si="68"/>
        <v>5.0072542173842383E-3</v>
      </c>
      <c r="T465">
        <f t="shared" si="69"/>
        <v>3.8334222452589106E-2</v>
      </c>
      <c r="U465">
        <f t="shared" si="70"/>
        <v>2.1850311353961427E-3</v>
      </c>
      <c r="V465">
        <f t="shared" si="71"/>
        <v>7.5230647101307557E-3</v>
      </c>
      <c r="W465">
        <f t="shared" si="72"/>
        <v>1.1754355943646377E-2</v>
      </c>
    </row>
    <row r="466" spans="1:23" x14ac:dyDescent="0.3">
      <c r="A466" t="s">
        <v>44</v>
      </c>
      <c r="B466" s="1">
        <v>17.481455</v>
      </c>
      <c r="C466" s="1">
        <v>11.85862</v>
      </c>
      <c r="D466" s="1">
        <v>13.861203</v>
      </c>
      <c r="E466" s="1">
        <v>26.225113</v>
      </c>
      <c r="F466" s="1">
        <v>19.863890000000001</v>
      </c>
      <c r="G466" s="1">
        <v>5.8710529999999999</v>
      </c>
      <c r="H466" s="1">
        <v>3967.030029</v>
      </c>
      <c r="I466" s="1">
        <v>30.121099000000001</v>
      </c>
      <c r="J466" s="1">
        <v>9.507536</v>
      </c>
      <c r="K466" s="1">
        <v>0.96337300000000003</v>
      </c>
      <c r="L466" s="1">
        <v>15.35571</v>
      </c>
      <c r="M466">
        <f t="shared" si="66"/>
        <v>1.0319018088637888E-2</v>
      </c>
      <c r="N466">
        <f t="shared" si="66"/>
        <v>4.6547667586253283E-2</v>
      </c>
      <c r="O466">
        <f t="shared" si="66"/>
        <v>2.2566964761608688E-2</v>
      </c>
      <c r="P466">
        <f t="shared" si="66"/>
        <v>-6.8814090004065687E-4</v>
      </c>
      <c r="Q466">
        <f t="shared" si="66"/>
        <v>2.6603152380682005E-3</v>
      </c>
      <c r="R466">
        <f t="shared" si="67"/>
        <v>3.27672586475658E-3</v>
      </c>
      <c r="S466">
        <f t="shared" si="68"/>
        <v>1.2526124876489408E-2</v>
      </c>
      <c r="T466">
        <f t="shared" si="69"/>
        <v>-1.1230794862392202E-2</v>
      </c>
      <c r="U466">
        <f t="shared" si="70"/>
        <v>4.8805979801689325E-3</v>
      </c>
      <c r="V466">
        <f t="shared" si="71"/>
        <v>1.4084523784680281E-2</v>
      </c>
      <c r="W466">
        <f t="shared" si="72"/>
        <v>2.8008640496575143E-3</v>
      </c>
    </row>
    <row r="467" spans="1:23" x14ac:dyDescent="0.3">
      <c r="A467" t="s">
        <v>43</v>
      </c>
      <c r="B467" s="1">
        <v>17.302906</v>
      </c>
      <c r="C467" s="1">
        <v>11.33118</v>
      </c>
      <c r="D467" s="1">
        <v>13.555301</v>
      </c>
      <c r="E467" s="1">
        <v>26.243172000000001</v>
      </c>
      <c r="F467" s="1">
        <v>19.811185999999999</v>
      </c>
      <c r="G467" s="1">
        <v>5.8518780000000001</v>
      </c>
      <c r="H467" s="1">
        <v>3955.9499510000001</v>
      </c>
      <c r="I467" s="1">
        <v>29.748466000000001</v>
      </c>
      <c r="J467" s="1">
        <v>9.6155259999999991</v>
      </c>
      <c r="K467" s="1">
        <v>0.95869400000000005</v>
      </c>
      <c r="L467" s="1">
        <v>15.142436</v>
      </c>
      <c r="M467">
        <f t="shared" si="66"/>
        <v>-1.4787379849158011E-2</v>
      </c>
      <c r="N467">
        <f t="shared" si="66"/>
        <v>1.5540591065723586E-3</v>
      </c>
      <c r="O467">
        <f t="shared" si="66"/>
        <v>-5.6101269849118118E-3</v>
      </c>
      <c r="P467">
        <f t="shared" si="66"/>
        <v>-6.4957255897318822E-3</v>
      </c>
      <c r="Q467">
        <f t="shared" si="66"/>
        <v>-4.4142363759029912E-3</v>
      </c>
      <c r="R467">
        <f t="shared" si="67"/>
        <v>5.0179814723854133E-3</v>
      </c>
      <c r="S467">
        <f t="shared" si="68"/>
        <v>8.9546912808358137E-4</v>
      </c>
      <c r="T467">
        <f t="shared" si="69"/>
        <v>9.368631282524742E-4</v>
      </c>
      <c r="U467">
        <f t="shared" si="70"/>
        <v>-9.666836079053609E-3</v>
      </c>
      <c r="V467">
        <f t="shared" si="71"/>
        <v>-1.4459151054746266E-2</v>
      </c>
      <c r="W467">
        <f t="shared" si="72"/>
        <v>-5.0477786578146944E-3</v>
      </c>
    </row>
    <row r="468" spans="1:23" x14ac:dyDescent="0.3">
      <c r="A468" t="s">
        <v>42</v>
      </c>
      <c r="B468" s="1">
        <v>17.562611</v>
      </c>
      <c r="C468" s="1">
        <v>11.313598000000001</v>
      </c>
      <c r="D468" s="1">
        <v>13.631777</v>
      </c>
      <c r="E468" s="1">
        <v>26.414755</v>
      </c>
      <c r="F468" s="1">
        <v>19.899025000000002</v>
      </c>
      <c r="G468" s="1">
        <v>5.8226599999999999</v>
      </c>
      <c r="H468" s="1">
        <v>3976.0200199999999</v>
      </c>
      <c r="I468" s="1">
        <v>29.721851000000001</v>
      </c>
      <c r="J468" s="1">
        <v>9.6065260000000006</v>
      </c>
      <c r="K468" s="1">
        <v>0.96805200000000002</v>
      </c>
      <c r="L468" s="1">
        <v>15.364595</v>
      </c>
      <c r="M468">
        <f t="shared" si="66"/>
        <v>4.1764327270079615E-3</v>
      </c>
      <c r="N468">
        <f t="shared" si="66"/>
        <v>-9.9999334959530728E-3</v>
      </c>
      <c r="O468">
        <f t="shared" si="66"/>
        <v>1.1347501629592971E-2</v>
      </c>
      <c r="P468">
        <f t="shared" si="66"/>
        <v>-5.1020302472127854E-3</v>
      </c>
      <c r="Q468">
        <f t="shared" si="66"/>
        <v>-1.3356632479699426E-2</v>
      </c>
      <c r="R468">
        <f t="shared" si="67"/>
        <v>-3.9050638552442507E-3</v>
      </c>
      <c r="S468">
        <f t="shared" si="68"/>
        <v>1.1778967705223353E-2</v>
      </c>
      <c r="T468">
        <f t="shared" si="69"/>
        <v>-1.2031554432733405E-2</v>
      </c>
      <c r="U468">
        <f t="shared" si="70"/>
        <v>6.5683374318290522E-3</v>
      </c>
      <c r="V468">
        <f t="shared" si="71"/>
        <v>-9.7365475302894078E-3</v>
      </c>
      <c r="W468">
        <f t="shared" si="72"/>
        <v>-4.3646298849032705E-3</v>
      </c>
    </row>
    <row r="469" spans="1:23" x14ac:dyDescent="0.3">
      <c r="A469" t="s">
        <v>41</v>
      </c>
      <c r="B469" s="1">
        <v>17.489567000000001</v>
      </c>
      <c r="C469" s="1">
        <v>11.427875999999999</v>
      </c>
      <c r="D469" s="1">
        <v>13.478826</v>
      </c>
      <c r="E469" s="1">
        <v>26.550215000000001</v>
      </c>
      <c r="F469" s="1">
        <v>20.168406999999998</v>
      </c>
      <c r="G469" s="1">
        <v>5.8454870000000003</v>
      </c>
      <c r="H469" s="1">
        <v>3993.4499510000001</v>
      </c>
      <c r="I469" s="1">
        <v>29.375834000000001</v>
      </c>
      <c r="J469" s="1">
        <v>9.7235150000000008</v>
      </c>
      <c r="K469" s="1">
        <v>0.96173500000000001</v>
      </c>
      <c r="L469" s="1">
        <v>15.515663999999999</v>
      </c>
      <c r="M469">
        <f t="shared" si="66"/>
        <v>-5.0786616002735929E-3</v>
      </c>
      <c r="N469">
        <f t="shared" si="66"/>
        <v>-1.44049539021468E-2</v>
      </c>
      <c r="O469">
        <f t="shared" si="66"/>
        <v>5.7062385108759273E-3</v>
      </c>
      <c r="P469">
        <f t="shared" si="66"/>
        <v>-2.1956079368634418E-2</v>
      </c>
      <c r="Q469">
        <f t="shared" si="66"/>
        <v>-2.711875853056811E-2</v>
      </c>
      <c r="R469">
        <f t="shared" si="67"/>
        <v>-2.0201937240488244E-2</v>
      </c>
      <c r="S469">
        <f t="shared" si="68"/>
        <v>6.0771499361043091E-3</v>
      </c>
      <c r="T469">
        <f t="shared" si="69"/>
        <v>-1.9064826766621246E-2</v>
      </c>
      <c r="U469">
        <f t="shared" si="70"/>
        <v>-1.0351977526124267E-2</v>
      </c>
      <c r="V469">
        <f t="shared" si="71"/>
        <v>-2.0202045078881015E-2</v>
      </c>
      <c r="W469">
        <f t="shared" si="72"/>
        <v>-1.1008185462443865E-2</v>
      </c>
    </row>
    <row r="470" spans="1:23" x14ac:dyDescent="0.3">
      <c r="A470" t="s">
        <v>40</v>
      </c>
      <c r="B470" s="1">
        <v>17.578844</v>
      </c>
      <c r="C470" s="1">
        <v>11.594900000000001</v>
      </c>
      <c r="D470" s="1">
        <v>13.402348999999999</v>
      </c>
      <c r="E470" s="1">
        <v>27.146239999999999</v>
      </c>
      <c r="F470" s="1">
        <v>20.730595000000001</v>
      </c>
      <c r="G470" s="1">
        <v>5.9660120000000001</v>
      </c>
      <c r="H470" s="1">
        <v>4037.8999020000001</v>
      </c>
      <c r="I470" s="1">
        <v>29.198391000000001</v>
      </c>
      <c r="J470" s="1">
        <v>9.9124949999999998</v>
      </c>
      <c r="K470" s="1">
        <v>0.97179499999999996</v>
      </c>
      <c r="L470" s="1">
        <v>15.835575</v>
      </c>
      <c r="M470">
        <f t="shared" si="66"/>
        <v>1.0261262811923633E-2</v>
      </c>
      <c r="N470">
        <f t="shared" si="66"/>
        <v>3.8051425567098285E-3</v>
      </c>
      <c r="O470">
        <f t="shared" si="66"/>
        <v>5.7389110642132035E-3</v>
      </c>
      <c r="P470">
        <f t="shared" si="66"/>
        <v>-1.6039259200754552E-2</v>
      </c>
      <c r="Q470">
        <f t="shared" si="66"/>
        <v>-2.6402520140866415E-2</v>
      </c>
      <c r="R470">
        <f t="shared" si="67"/>
        <v>8.022259573826851E-3</v>
      </c>
      <c r="S470">
        <f t="shared" si="68"/>
        <v>3.0397898314049598E-4</v>
      </c>
      <c r="T470">
        <f t="shared" si="69"/>
        <v>-1.2107556102851302E-2</v>
      </c>
      <c r="U470">
        <f t="shared" si="70"/>
        <v>1.6883865188830338E-3</v>
      </c>
      <c r="V470">
        <f t="shared" si="71"/>
        <v>-1.6013266654574698E-2</v>
      </c>
      <c r="W470">
        <f t="shared" si="72"/>
        <v>2.0059349242851354E-4</v>
      </c>
    </row>
    <row r="471" spans="1:23" x14ac:dyDescent="0.3">
      <c r="A471" t="s">
        <v>39</v>
      </c>
      <c r="B471" s="1">
        <v>17.400295</v>
      </c>
      <c r="C471" s="1">
        <v>11.550947000000001</v>
      </c>
      <c r="D471" s="1">
        <v>13.325873</v>
      </c>
      <c r="E471" s="1">
        <v>27.588743000000001</v>
      </c>
      <c r="F471" s="1">
        <v>21.292777999999998</v>
      </c>
      <c r="G471" s="1">
        <v>5.9185319999999999</v>
      </c>
      <c r="H471" s="1">
        <v>4037.0900879999999</v>
      </c>
      <c r="I471" s="1">
        <v>29.189518</v>
      </c>
      <c r="J471" s="1">
        <v>10.033982</v>
      </c>
      <c r="K471" s="1">
        <v>0.97015700000000005</v>
      </c>
      <c r="L471" s="1">
        <v>16.093281000000001</v>
      </c>
      <c r="M471">
        <f t="shared" si="66"/>
        <v>1.8691452105248363E-3</v>
      </c>
      <c r="N471">
        <f t="shared" si="66"/>
        <v>7.6172950371922177E-4</v>
      </c>
      <c r="O471">
        <f t="shared" si="66"/>
        <v>-2.8612453159061468E-3</v>
      </c>
      <c r="P471">
        <f t="shared" si="66"/>
        <v>1.2931007737507993E-2</v>
      </c>
      <c r="Q471">
        <f t="shared" si="66"/>
        <v>-2.7287401401784206E-2</v>
      </c>
      <c r="R471">
        <f t="shared" si="67"/>
        <v>1.0601655202371996E-2</v>
      </c>
      <c r="S471">
        <f t="shared" si="68"/>
        <v>1.1374075022674068E-2</v>
      </c>
      <c r="T471">
        <f t="shared" si="69"/>
        <v>2.6977153760383565E-3</v>
      </c>
      <c r="U471">
        <f t="shared" si="70"/>
        <v>1.0477055467254415E-2</v>
      </c>
      <c r="V471">
        <f t="shared" si="71"/>
        <v>-6.0372931161701837E-3</v>
      </c>
      <c r="W471">
        <f t="shared" si="72"/>
        <v>5.0963174021267932E-3</v>
      </c>
    </row>
    <row r="472" spans="1:23" x14ac:dyDescent="0.3">
      <c r="A472" t="s">
        <v>38</v>
      </c>
      <c r="B472" s="1">
        <v>17.367832</v>
      </c>
      <c r="C472" s="1">
        <v>11.542154999999999</v>
      </c>
      <c r="D472" s="1">
        <v>13.364110999999999</v>
      </c>
      <c r="E472" s="1">
        <v>27.236547000000002</v>
      </c>
      <c r="F472" s="1">
        <v>21.890101999999999</v>
      </c>
      <c r="G472" s="1">
        <v>5.8564439999999998</v>
      </c>
      <c r="H472" s="1">
        <v>4016.6201169999999</v>
      </c>
      <c r="I472" s="1">
        <v>28.861248</v>
      </c>
      <c r="J472" s="1">
        <v>10.006985999999999</v>
      </c>
      <c r="K472" s="1">
        <v>0.96009800000000001</v>
      </c>
      <c r="L472" s="1">
        <v>16.191030999999999</v>
      </c>
      <c r="M472">
        <f t="shared" si="66"/>
        <v>0</v>
      </c>
      <c r="N472">
        <f t="shared" si="66"/>
        <v>-7.5585158151793008E-3</v>
      </c>
      <c r="O472">
        <f t="shared" si="66"/>
        <v>1.8950383079159527E-2</v>
      </c>
      <c r="P472">
        <f t="shared" si="66"/>
        <v>-1.2119285832734472E-2</v>
      </c>
      <c r="Q472">
        <f t="shared" si="66"/>
        <v>-1.7350131106159683E-2</v>
      </c>
      <c r="R472">
        <f t="shared" si="67"/>
        <v>-4.8098907871857444E-3</v>
      </c>
      <c r="S472">
        <f t="shared" si="68"/>
        <v>-5.5028187400514295E-3</v>
      </c>
      <c r="T472">
        <f t="shared" si="69"/>
        <v>-2.0264314592814858E-2</v>
      </c>
      <c r="U472">
        <f t="shared" si="70"/>
        <v>6.3762100176623093E-3</v>
      </c>
      <c r="V472">
        <f t="shared" si="71"/>
        <v>5.4930923236251594E-4</v>
      </c>
      <c r="W472">
        <f t="shared" si="72"/>
        <v>-8.2615554151025394E-3</v>
      </c>
    </row>
    <row r="473" spans="1:23" x14ac:dyDescent="0.3">
      <c r="A473" t="s">
        <v>37</v>
      </c>
      <c r="B473" s="1">
        <v>17.367832</v>
      </c>
      <c r="C473" s="1">
        <v>11.630061</v>
      </c>
      <c r="D473" s="1">
        <v>13.115565999999999</v>
      </c>
      <c r="E473" s="1">
        <v>27.570684</v>
      </c>
      <c r="F473" s="1">
        <v>22.276603999999999</v>
      </c>
      <c r="G473" s="1">
        <v>5.8847490000000002</v>
      </c>
      <c r="H473" s="1">
        <v>4050.080078</v>
      </c>
      <c r="I473" s="1">
        <v>29.020945000000001</v>
      </c>
      <c r="J473" s="1">
        <v>10.213965</v>
      </c>
      <c r="K473" s="1">
        <v>0.95401499999999995</v>
      </c>
      <c r="L473" s="1">
        <v>16.182141999999999</v>
      </c>
      <c r="M473">
        <f t="shared" si="66"/>
        <v>1.7110138902350247E-2</v>
      </c>
      <c r="N473">
        <f t="shared" si="66"/>
        <v>-1.5625071415476421E-2</v>
      </c>
      <c r="O473">
        <f t="shared" si="66"/>
        <v>1.4792898721539993E-2</v>
      </c>
      <c r="P473">
        <f t="shared" si="66"/>
        <v>-3.0177851190551164E-2</v>
      </c>
      <c r="Q473">
        <f t="shared" si="66"/>
        <v>-1.0920340398279826E-2</v>
      </c>
      <c r="R473">
        <f t="shared" si="67"/>
        <v>-2.7169817933306528E-2</v>
      </c>
      <c r="S473">
        <f t="shared" si="68"/>
        <v>-2.7439455608018193E-3</v>
      </c>
      <c r="T473">
        <f t="shared" si="69"/>
        <v>-2.4075716084747234E-2</v>
      </c>
      <c r="U473">
        <f t="shared" si="70"/>
        <v>6.4160652704357002E-3</v>
      </c>
      <c r="V473">
        <f t="shared" si="71"/>
        <v>-2.6203454413940008E-2</v>
      </c>
      <c r="W473">
        <f t="shared" si="72"/>
        <v>-7.0095998319915642E-3</v>
      </c>
    </row>
    <row r="474" spans="1:23" x14ac:dyDescent="0.3">
      <c r="A474" t="s">
        <v>36</v>
      </c>
      <c r="B474" s="1">
        <v>17.075665000000001</v>
      </c>
      <c r="C474" s="1">
        <v>11.814666000000001</v>
      </c>
      <c r="D474" s="1">
        <v>12.924377</v>
      </c>
      <c r="E474" s="1">
        <v>28.428598000000001</v>
      </c>
      <c r="F474" s="1">
        <v>22.522558</v>
      </c>
      <c r="G474" s="1">
        <v>6.0491020000000004</v>
      </c>
      <c r="H474" s="1">
        <v>4078.669922</v>
      </c>
      <c r="I474" s="1">
        <v>29.100795999999999</v>
      </c>
      <c r="J474" s="1">
        <v>10.46594</v>
      </c>
      <c r="K474" s="1">
        <v>0.94793300000000003</v>
      </c>
      <c r="L474" s="1">
        <v>16.61758</v>
      </c>
      <c r="M474">
        <f t="shared" si="66"/>
        <v>1.1538554497501297E-2</v>
      </c>
      <c r="N474">
        <f t="shared" si="66"/>
        <v>-1.1037601137133701E-2</v>
      </c>
      <c r="O474">
        <f t="shared" si="66"/>
        <v>1.5015014307493191E-2</v>
      </c>
      <c r="P474">
        <f t="shared" si="66"/>
        <v>1.2544235993779962E-2</v>
      </c>
      <c r="Q474">
        <f t="shared" si="66"/>
        <v>5.2023808788725923E-4</v>
      </c>
      <c r="R474">
        <f t="shared" si="67"/>
        <v>-7.0443019191018807E-3</v>
      </c>
      <c r="S474">
        <f t="shared" si="68"/>
        <v>2.3081709226756342E-2</v>
      </c>
      <c r="T474">
        <f t="shared" si="69"/>
        <v>-8.5909808162121237E-4</v>
      </c>
      <c r="U474">
        <f t="shared" si="70"/>
        <v>7.7093084690771363E-3</v>
      </c>
      <c r="V474">
        <f t="shared" si="71"/>
        <v>6.4586870003351393E-3</v>
      </c>
      <c r="W474">
        <f t="shared" si="72"/>
        <v>1.2962248001531229E-3</v>
      </c>
    </row>
    <row r="475" spans="1:23" x14ac:dyDescent="0.3">
      <c r="A475" t="s">
        <v>35</v>
      </c>
      <c r="B475" s="1">
        <v>16.880884000000002</v>
      </c>
      <c r="C475" s="1">
        <v>11.946527</v>
      </c>
      <c r="D475" s="1">
        <v>12.733188</v>
      </c>
      <c r="E475" s="1">
        <v>28.076401000000001</v>
      </c>
      <c r="F475" s="1">
        <v>22.510846999999998</v>
      </c>
      <c r="G475" s="1">
        <v>6.0920160000000001</v>
      </c>
      <c r="H475" s="1">
        <v>4073.389893</v>
      </c>
      <c r="I475" s="1">
        <v>28.444254000000001</v>
      </c>
      <c r="J475" s="1">
        <v>10.474938999999999</v>
      </c>
      <c r="K475" s="1">
        <v>0.94068099999999999</v>
      </c>
      <c r="L475" s="1">
        <v>16.510940999999999</v>
      </c>
      <c r="M475">
        <f t="shared" si="66"/>
        <v>-1.7941467606127914E-2</v>
      </c>
      <c r="N475">
        <f t="shared" si="66"/>
        <v>1.1913643680485864E-2</v>
      </c>
      <c r="O475">
        <f t="shared" si="66"/>
        <v>-1.0401165149350855E-2</v>
      </c>
      <c r="P475">
        <f t="shared" si="66"/>
        <v>6.8005761157940992E-3</v>
      </c>
      <c r="Q475">
        <f t="shared" si="66"/>
        <v>1.4515727128702638E-2</v>
      </c>
      <c r="R475">
        <f t="shared" si="67"/>
        <v>1.815952605901594E-2</v>
      </c>
      <c r="S475">
        <f t="shared" si="68"/>
        <v>-8.9644642163551058E-3</v>
      </c>
      <c r="T475">
        <f t="shared" si="69"/>
        <v>2.5099173417844289E-2</v>
      </c>
      <c r="U475">
        <f t="shared" si="70"/>
        <v>-8.1400167228841136E-3</v>
      </c>
      <c r="V475">
        <f t="shared" si="71"/>
        <v>1.8082105522913228E-2</v>
      </c>
      <c r="W475">
        <f t="shared" si="72"/>
        <v>2.5004523617933039E-3</v>
      </c>
    </row>
    <row r="476" spans="1:23" x14ac:dyDescent="0.3">
      <c r="A476" t="s">
        <v>34</v>
      </c>
      <c r="B476" s="1">
        <v>17.189285000000002</v>
      </c>
      <c r="C476" s="1">
        <v>11.805876</v>
      </c>
      <c r="D476" s="1">
        <v>12.86702</v>
      </c>
      <c r="E476" s="1">
        <v>27.886755000000001</v>
      </c>
      <c r="F476" s="1">
        <v>22.188761</v>
      </c>
      <c r="G476" s="1">
        <v>5.9833610000000004</v>
      </c>
      <c r="H476" s="1">
        <v>4063.2299800000001</v>
      </c>
      <c r="I476" s="1">
        <v>28.701547999999999</v>
      </c>
      <c r="J476" s="1">
        <v>10.218464000000001</v>
      </c>
      <c r="K476" s="1">
        <v>0.94840100000000005</v>
      </c>
      <c r="L476" s="1">
        <v>16.217690999999999</v>
      </c>
      <c r="M476">
        <f t="shared" si="66"/>
        <v>2.6660293423235837E-2</v>
      </c>
      <c r="N476">
        <f t="shared" si="66"/>
        <v>2.5190905386112128E-2</v>
      </c>
      <c r="O476">
        <f t="shared" si="66"/>
        <v>7.4850692072341296E-3</v>
      </c>
      <c r="P476">
        <f t="shared" si="66"/>
        <v>4.2538774506157173E-2</v>
      </c>
      <c r="Q476">
        <f t="shared" si="66"/>
        <v>1.8822406032720451E-2</v>
      </c>
      <c r="R476">
        <f t="shared" si="67"/>
        <v>1.1890133254321755E-2</v>
      </c>
      <c r="S476">
        <f t="shared" si="68"/>
        <v>1.1886129816578217E-2</v>
      </c>
      <c r="T476">
        <f t="shared" si="69"/>
        <v>1.1130939864782974E-2</v>
      </c>
      <c r="U476">
        <f t="shared" si="70"/>
        <v>2.0645339032755672E-2</v>
      </c>
      <c r="V476">
        <f t="shared" si="71"/>
        <v>2.0123062473066167E-2</v>
      </c>
      <c r="W476">
        <f t="shared" si="72"/>
        <v>1.3327366390816664E-2</v>
      </c>
    </row>
    <row r="477" spans="1:23" x14ac:dyDescent="0.3">
      <c r="A477" t="s">
        <v>33</v>
      </c>
      <c r="B477" s="1">
        <v>16.742913999999999</v>
      </c>
      <c r="C477" s="1">
        <v>11.515783000000001</v>
      </c>
      <c r="D477" s="1">
        <v>12.771425000000001</v>
      </c>
      <c r="E477" s="1">
        <v>26.748889999999999</v>
      </c>
      <c r="F477" s="1">
        <v>21.778831</v>
      </c>
      <c r="G477" s="1">
        <v>5.9130539999999998</v>
      </c>
      <c r="H477" s="1">
        <v>4009.790039</v>
      </c>
      <c r="I477" s="1">
        <v>28.364405000000001</v>
      </c>
      <c r="J477" s="1">
        <v>10.105975000000001</v>
      </c>
      <c r="K477" s="1">
        <v>0.92921699999999996</v>
      </c>
      <c r="L477" s="1">
        <v>15.897779</v>
      </c>
      <c r="M477">
        <f t="shared" si="66"/>
        <v>-2.4179111680850962E-3</v>
      </c>
      <c r="N477">
        <f t="shared" si="66"/>
        <v>3.0627263107110281E-3</v>
      </c>
      <c r="O477">
        <f t="shared" si="66"/>
        <v>-8.9021234366631896E-3</v>
      </c>
      <c r="P477">
        <f t="shared" si="66"/>
        <v>-3.3743281755216348E-4</v>
      </c>
      <c r="Q477">
        <f t="shared" si="66"/>
        <v>1.8625000391709889E-2</v>
      </c>
      <c r="R477">
        <f t="shared" si="67"/>
        <v>-4.6299794465420874E-4</v>
      </c>
      <c r="S477">
        <f t="shared" si="68"/>
        <v>-8.9893348384851857E-3</v>
      </c>
      <c r="T477">
        <f t="shared" si="69"/>
        <v>-2.6643710587207492E-3</v>
      </c>
      <c r="U477">
        <f t="shared" si="70"/>
        <v>8.1216754128916602E-3</v>
      </c>
      <c r="V477">
        <f t="shared" si="71"/>
        <v>9.5935583250648104E-3</v>
      </c>
      <c r="W477">
        <f t="shared" si="72"/>
        <v>1.4978315322933256E-5</v>
      </c>
    </row>
    <row r="478" spans="1:23" x14ac:dyDescent="0.3">
      <c r="A478" t="s">
        <v>32</v>
      </c>
      <c r="B478" s="1">
        <v>16.783494999999998</v>
      </c>
      <c r="C478" s="1">
        <v>11.480620999999999</v>
      </c>
      <c r="D478" s="1">
        <v>12.886139</v>
      </c>
      <c r="E478" s="1">
        <v>26.757919000000001</v>
      </c>
      <c r="F478" s="1">
        <v>21.380617000000001</v>
      </c>
      <c r="G478" s="1">
        <v>5.9157929999999999</v>
      </c>
      <c r="H478" s="1">
        <v>4009.7299800000001</v>
      </c>
      <c r="I478" s="1">
        <v>28.621694999999999</v>
      </c>
      <c r="J478" s="1">
        <v>10.132973</v>
      </c>
      <c r="K478" s="1">
        <v>0.92173099999999997</v>
      </c>
      <c r="L478" s="1">
        <v>15.746712</v>
      </c>
      <c r="M478">
        <f t="shared" si="66"/>
        <v>1.8719349184817879E-2</v>
      </c>
      <c r="N478">
        <f t="shared" si="66"/>
        <v>-1.5825239905339239E-2</v>
      </c>
      <c r="O478">
        <f t="shared" si="66"/>
        <v>-2.6011618801718539E-2</v>
      </c>
      <c r="P478">
        <f t="shared" si="66"/>
        <v>3.0466349872706466E-3</v>
      </c>
      <c r="Q478">
        <f t="shared" si="66"/>
        <v>1.9208865235034178E-3</v>
      </c>
      <c r="R478">
        <f t="shared" si="67"/>
        <v>2.4995980267270568E-2</v>
      </c>
      <c r="S478">
        <f t="shared" si="68"/>
        <v>-3.5863809646456968E-2</v>
      </c>
      <c r="T478">
        <f t="shared" si="69"/>
        <v>2.8310426565774982E-2</v>
      </c>
      <c r="U478">
        <f t="shared" si="70"/>
        <v>-1.228361948319423E-2</v>
      </c>
      <c r="V478">
        <f t="shared" si="71"/>
        <v>-1.12728086293723E-3</v>
      </c>
      <c r="W478">
        <f t="shared" si="72"/>
        <v>4.4313035007612633E-3</v>
      </c>
    </row>
    <row r="479" spans="1:23" x14ac:dyDescent="0.3">
      <c r="A479" t="s">
        <v>31</v>
      </c>
      <c r="B479" s="1">
        <v>16.475092</v>
      </c>
      <c r="C479" s="1">
        <v>11.665226000000001</v>
      </c>
      <c r="D479" s="1">
        <v>13.23028</v>
      </c>
      <c r="E479" s="1">
        <v>26.676645000000001</v>
      </c>
      <c r="F479" s="1">
        <v>21.339625999999999</v>
      </c>
      <c r="G479" s="1">
        <v>5.771528</v>
      </c>
      <c r="H479" s="1">
        <v>3992.040039</v>
      </c>
      <c r="I479" s="1">
        <v>29.686361000000002</v>
      </c>
      <c r="J479" s="1">
        <v>9.8540019999999995</v>
      </c>
      <c r="K479" s="1">
        <v>0.93319399999999997</v>
      </c>
      <c r="L479" s="1">
        <v>15.764483</v>
      </c>
      <c r="M479">
        <f t="shared" si="66"/>
        <v>-1.4563150059451857E-2</v>
      </c>
      <c r="N479">
        <f t="shared" si="66"/>
        <v>7.5930360042770761E-3</v>
      </c>
      <c r="O479">
        <f t="shared" si="66"/>
        <v>7.2780580577305187E-3</v>
      </c>
      <c r="P479">
        <f t="shared" si="66"/>
        <v>3.6127650046210213E-2</v>
      </c>
      <c r="Q479">
        <f t="shared" si="66"/>
        <v>1.7877077597935997E-2</v>
      </c>
      <c r="R479">
        <f t="shared" si="67"/>
        <v>4.8606485685496192E-2</v>
      </c>
      <c r="S479">
        <f t="shared" si="68"/>
        <v>-5.0551005287327033E-3</v>
      </c>
      <c r="T479">
        <f t="shared" si="69"/>
        <v>1.3888854591864064E-2</v>
      </c>
      <c r="U479">
        <f t="shared" si="70"/>
        <v>-1.2135608865854075E-2</v>
      </c>
      <c r="V479">
        <f t="shared" si="71"/>
        <v>1.9540178443814504E-2</v>
      </c>
      <c r="W479">
        <f t="shared" si="72"/>
        <v>6.8857097990933092E-3</v>
      </c>
    </row>
    <row r="480" spans="1:23" x14ac:dyDescent="0.3">
      <c r="A480" t="s">
        <v>30</v>
      </c>
      <c r="B480" s="1">
        <v>16.718567</v>
      </c>
      <c r="C480" s="1">
        <v>11.577318999999999</v>
      </c>
      <c r="D480" s="1">
        <v>13.134684999999999</v>
      </c>
      <c r="E480" s="1">
        <v>25.746485</v>
      </c>
      <c r="F480" s="1">
        <v>20.964835999999998</v>
      </c>
      <c r="G480" s="1">
        <v>5.5039980000000002</v>
      </c>
      <c r="H480" s="1">
        <v>3964.73999</v>
      </c>
      <c r="I480" s="1">
        <v>29.837191000000001</v>
      </c>
      <c r="J480" s="1">
        <v>9.7190159999999999</v>
      </c>
      <c r="K480" s="1">
        <v>0.944658</v>
      </c>
      <c r="L480" s="1">
        <v>15.462346</v>
      </c>
      <c r="M480">
        <f t="shared" si="66"/>
        <v>-9.6154324619494025E-3</v>
      </c>
      <c r="N480">
        <f t="shared" si="66"/>
        <v>2.2831028486234306E-3</v>
      </c>
      <c r="O480">
        <f t="shared" si="66"/>
        <v>-5.7887418070221575E-3</v>
      </c>
      <c r="P480">
        <f t="shared" si="66"/>
        <v>2.8139880918764959E-3</v>
      </c>
      <c r="Q480">
        <f t="shared" si="66"/>
        <v>1.3590045090001279E-2</v>
      </c>
      <c r="R480">
        <f t="shared" si="67"/>
        <v>-9.9428693400249735E-4</v>
      </c>
      <c r="S480">
        <f t="shared" si="68"/>
        <v>-1.030008410255967E-2</v>
      </c>
      <c r="T480">
        <f t="shared" si="69"/>
        <v>2.0311932118451281E-2</v>
      </c>
      <c r="U480">
        <f t="shared" si="70"/>
        <v>7.2344549848433193E-3</v>
      </c>
      <c r="V480">
        <f t="shared" si="71"/>
        <v>4.0392487315539238E-3</v>
      </c>
      <c r="W480">
        <f t="shared" si="72"/>
        <v>6.8183970932575999E-3</v>
      </c>
    </row>
    <row r="481" spans="1:23" x14ac:dyDescent="0.3">
      <c r="A481" t="s">
        <v>29</v>
      </c>
      <c r="B481" s="1">
        <v>16.880884000000002</v>
      </c>
      <c r="C481" s="1">
        <v>11.550947000000001</v>
      </c>
      <c r="D481" s="1">
        <v>13.211161000000001</v>
      </c>
      <c r="E481" s="1">
        <v>25.674237999999999</v>
      </c>
      <c r="F481" s="1">
        <v>20.683743</v>
      </c>
      <c r="G481" s="1">
        <v>5.5094760000000003</v>
      </c>
      <c r="H481" s="1">
        <v>3937.889893</v>
      </c>
      <c r="I481" s="1">
        <v>30.147715000000002</v>
      </c>
      <c r="J481" s="1">
        <v>9.5255340000000004</v>
      </c>
      <c r="K481" s="1">
        <v>0.93787299999999996</v>
      </c>
      <c r="L481" s="1">
        <v>15.400141</v>
      </c>
      <c r="M481">
        <f t="shared" si="66"/>
        <v>-4.3082646461944929E-3</v>
      </c>
      <c r="N481">
        <f t="shared" si="66"/>
        <v>5.3558881303836792E-3</v>
      </c>
      <c r="O481">
        <f t="shared" si="66"/>
        <v>-1.9858183494615878E-2</v>
      </c>
      <c r="P481">
        <f t="shared" si="66"/>
        <v>3.7591300641010017E-2</v>
      </c>
      <c r="Q481">
        <f t="shared" si="66"/>
        <v>3.3352820932379235E-2</v>
      </c>
      <c r="R481">
        <f t="shared" si="67"/>
        <v>7.2520368631694199E-2</v>
      </c>
      <c r="S481">
        <f t="shared" si="68"/>
        <v>-5.2692719104727725E-3</v>
      </c>
      <c r="T481">
        <f t="shared" si="69"/>
        <v>3.0671720083306209E-2</v>
      </c>
      <c r="U481">
        <f t="shared" si="70"/>
        <v>-7.4283621831913171E-3</v>
      </c>
      <c r="V481">
        <f t="shared" si="71"/>
        <v>1.9411806097205053E-2</v>
      </c>
      <c r="W481">
        <f t="shared" si="72"/>
        <v>1.5304732348637939E-2</v>
      </c>
    </row>
    <row r="482" spans="1:23" x14ac:dyDescent="0.3">
      <c r="A482" t="s">
        <v>28</v>
      </c>
      <c r="B482" s="1">
        <v>16.953925999999999</v>
      </c>
      <c r="C482" s="1">
        <v>11.489411</v>
      </c>
      <c r="D482" s="1">
        <v>13.478826</v>
      </c>
      <c r="E482" s="1">
        <v>24.744076</v>
      </c>
      <c r="F482" s="1">
        <v>20.016148000000001</v>
      </c>
      <c r="G482" s="1">
        <v>5.1369429999999996</v>
      </c>
      <c r="H482" s="1">
        <v>3878.530029</v>
      </c>
      <c r="I482" s="1">
        <v>30.307413</v>
      </c>
      <c r="J482" s="1">
        <v>9.2420639999999992</v>
      </c>
      <c r="K482" s="1">
        <v>0.94489199999999995</v>
      </c>
      <c r="L482" s="1">
        <v>15.106889000000001</v>
      </c>
      <c r="M482">
        <f t="shared" si="66"/>
        <v>2.401969044922625E-2</v>
      </c>
      <c r="N482">
        <f t="shared" si="66"/>
        <v>2.1892023790581305E-2</v>
      </c>
      <c r="O482">
        <f t="shared" si="66"/>
        <v>1.5850226517402088E-2</v>
      </c>
      <c r="P482">
        <f t="shared" si="66"/>
        <v>1.5943539267242679E-2</v>
      </c>
      <c r="Q482">
        <f t="shared" si="66"/>
        <v>1.5448543276376014E-2</v>
      </c>
      <c r="R482">
        <f t="shared" si="67"/>
        <v>1.9942003432936062E-2</v>
      </c>
      <c r="S482">
        <f t="shared" si="68"/>
        <v>1.2748216754370434E-2</v>
      </c>
      <c r="T482">
        <f t="shared" si="69"/>
        <v>3.3407154008355144E-2</v>
      </c>
      <c r="U482">
        <f t="shared" si="70"/>
        <v>1.0508349143268925E-2</v>
      </c>
      <c r="V482">
        <f t="shared" si="71"/>
        <v>1.3110783978608653E-2</v>
      </c>
      <c r="W482">
        <f t="shared" si="72"/>
        <v>1.5904397825360794E-2</v>
      </c>
    </row>
    <row r="483" spans="1:23" x14ac:dyDescent="0.3">
      <c r="A483" t="s">
        <v>27</v>
      </c>
      <c r="B483" s="1">
        <v>16.556249999999999</v>
      </c>
      <c r="C483" s="1">
        <v>11.243273</v>
      </c>
      <c r="D483" s="1">
        <v>13.268516999999999</v>
      </c>
      <c r="E483" s="1">
        <v>24.355758999999999</v>
      </c>
      <c r="F483" s="1">
        <v>19.711632000000002</v>
      </c>
      <c r="G483" s="1">
        <v>5.036505</v>
      </c>
      <c r="H483" s="1">
        <v>3817.8100589999999</v>
      </c>
      <c r="I483" s="1">
        <v>29.925910999999999</v>
      </c>
      <c r="J483" s="1">
        <v>8.9432939999999999</v>
      </c>
      <c r="K483" s="1">
        <v>0.93506599999999995</v>
      </c>
      <c r="L483" s="1">
        <v>14.911389</v>
      </c>
      <c r="M483">
        <f t="shared" si="66"/>
        <v>4.9032712808250167E-4</v>
      </c>
      <c r="N483">
        <f t="shared" si="66"/>
        <v>3.92470292166891E-3</v>
      </c>
      <c r="O483">
        <f t="shared" si="66"/>
        <v>-1.4388563925140652E-3</v>
      </c>
      <c r="P483">
        <f t="shared" si="66"/>
        <v>-1.3172350854491977E-2</v>
      </c>
      <c r="Q483">
        <f t="shared" si="66"/>
        <v>-1.2903058129687728E-2</v>
      </c>
      <c r="R483">
        <f t="shared" si="67"/>
        <v>-2.0248628806587621E-2</v>
      </c>
      <c r="S483">
        <f t="shared" si="68"/>
        <v>-1.2876677101982592E-2</v>
      </c>
      <c r="T483">
        <f t="shared" si="69"/>
        <v>-7.6885795733699913E-3</v>
      </c>
      <c r="U483">
        <f t="shared" si="70"/>
        <v>-1.7486847499317282E-3</v>
      </c>
      <c r="V483">
        <f t="shared" si="71"/>
        <v>-9.4451336865429836E-3</v>
      </c>
      <c r="W483">
        <f t="shared" si="72"/>
        <v>-9.5752511927409412E-3</v>
      </c>
    </row>
    <row r="484" spans="1:23" x14ac:dyDescent="0.3">
      <c r="A484" t="s">
        <v>26</v>
      </c>
      <c r="B484" s="1">
        <v>16.548136</v>
      </c>
      <c r="C484" s="1">
        <v>11.199318999999999</v>
      </c>
      <c r="D484" s="1">
        <v>13.287635999999999</v>
      </c>
      <c r="E484" s="1">
        <v>24.680864</v>
      </c>
      <c r="F484" s="1">
        <v>19.969297000000001</v>
      </c>
      <c r="G484" s="1">
        <v>5.1405950000000002</v>
      </c>
      <c r="H484" s="1">
        <v>3854.719971</v>
      </c>
      <c r="I484" s="1">
        <v>30.316284</v>
      </c>
      <c r="J484" s="1">
        <v>9.0125879999999992</v>
      </c>
      <c r="K484" s="1">
        <v>0.93670399999999998</v>
      </c>
      <c r="L484" s="1">
        <v>15.053572000000001</v>
      </c>
      <c r="M484">
        <f t="shared" si="66"/>
        <v>1.8990519241847137E-2</v>
      </c>
      <c r="N484">
        <f t="shared" si="66"/>
        <v>-4.687584428954672E-3</v>
      </c>
      <c r="O484">
        <f t="shared" si="66"/>
        <v>1.1644816758072274E-2</v>
      </c>
      <c r="P484">
        <f t="shared" si="66"/>
        <v>1.1098796912389464E-2</v>
      </c>
      <c r="Q484">
        <f t="shared" si="66"/>
        <v>5.8679441491582551E-4</v>
      </c>
      <c r="R484">
        <f t="shared" si="67"/>
        <v>-7.579745927348891E-3</v>
      </c>
      <c r="S484">
        <f t="shared" si="68"/>
        <v>1.1844673084546287E-2</v>
      </c>
      <c r="T484">
        <f t="shared" si="69"/>
        <v>-1.5240701777695986E-2</v>
      </c>
      <c r="U484">
        <f t="shared" si="70"/>
        <v>6.5364955228819355E-3</v>
      </c>
      <c r="V484">
        <f t="shared" si="71"/>
        <v>2.9161709802466351E-2</v>
      </c>
      <c r="W484">
        <f t="shared" si="72"/>
        <v>1.5173474302991874E-3</v>
      </c>
    </row>
    <row r="485" spans="1:23" x14ac:dyDescent="0.3">
      <c r="A485" t="s">
        <v>25</v>
      </c>
      <c r="B485" s="1">
        <v>16.239735</v>
      </c>
      <c r="C485" s="1">
        <v>11.252064000000001</v>
      </c>
      <c r="D485" s="1">
        <v>13.134684999999999</v>
      </c>
      <c r="E485" s="1">
        <v>24.409942999999998</v>
      </c>
      <c r="F485" s="1">
        <v>19.957585999999999</v>
      </c>
      <c r="G485" s="1">
        <v>5.1798570000000002</v>
      </c>
      <c r="H485" s="1">
        <v>3848.8798830000001</v>
      </c>
      <c r="I485" s="1">
        <v>29.961400999999999</v>
      </c>
      <c r="J485" s="1">
        <v>9.1520720000000004</v>
      </c>
      <c r="K485" s="1">
        <v>0.93062100000000003</v>
      </c>
      <c r="L485" s="1">
        <v>14.627022999999999</v>
      </c>
      <c r="M485">
        <f t="shared" si="66"/>
        <v>4.0140195782218946E-3</v>
      </c>
      <c r="N485">
        <f t="shared" si="66"/>
        <v>1.3460155039066946E-2</v>
      </c>
      <c r="O485">
        <f t="shared" si="66"/>
        <v>2.2321467140819173E-2</v>
      </c>
      <c r="P485">
        <f t="shared" si="66"/>
        <v>3.1679350097126413E-2</v>
      </c>
      <c r="Q485">
        <f t="shared" si="66"/>
        <v>1.3682302999064477E-2</v>
      </c>
      <c r="R485">
        <f t="shared" si="67"/>
        <v>3.0056144692394149E-3</v>
      </c>
      <c r="S485">
        <f t="shared" si="68"/>
        <v>-2.363249659742217E-3</v>
      </c>
      <c r="T485">
        <f t="shared" si="69"/>
        <v>2.0674518690843691E-2</v>
      </c>
      <c r="U485">
        <f t="shared" si="70"/>
        <v>4.5455036107124869E-3</v>
      </c>
      <c r="V485">
        <f t="shared" si="71"/>
        <v>1.60492743181464E-2</v>
      </c>
      <c r="W485">
        <f t="shared" si="72"/>
        <v>7.5575385730468625E-3</v>
      </c>
    </row>
    <row r="486" spans="1:23" x14ac:dyDescent="0.3">
      <c r="A486" t="s">
        <v>24</v>
      </c>
      <c r="B486" s="1">
        <v>16.174809</v>
      </c>
      <c r="C486" s="1">
        <v>11.102620999999999</v>
      </c>
      <c r="D486" s="1">
        <v>12.847901</v>
      </c>
      <c r="E486" s="1">
        <v>23.660397</v>
      </c>
      <c r="F486" s="1">
        <v>19.688206000000001</v>
      </c>
      <c r="G486" s="1">
        <v>5.1643350000000003</v>
      </c>
      <c r="H486" s="1">
        <v>3820.01001</v>
      </c>
      <c r="I486" s="1">
        <v>30.032374999999998</v>
      </c>
      <c r="J486" s="1">
        <v>8.9666899999999998</v>
      </c>
      <c r="K486" s="1">
        <v>0.92640999999999996</v>
      </c>
      <c r="L486" s="1">
        <v>14.395977999999999</v>
      </c>
      <c r="M486">
        <f t="shared" si="66"/>
        <v>1.5075730655613739E-3</v>
      </c>
      <c r="N486">
        <f t="shared" si="66"/>
        <v>3.4397909183415454E-2</v>
      </c>
      <c r="O486">
        <f t="shared" si="66"/>
        <v>2.4390210842785143E-2</v>
      </c>
      <c r="P486">
        <f t="shared" si="66"/>
        <v>2.6243592482818157E-2</v>
      </c>
      <c r="Q486">
        <f t="shared" si="66"/>
        <v>3.3507486551629828E-2</v>
      </c>
      <c r="R486">
        <f t="shared" si="67"/>
        <v>1.3257031369101391E-2</v>
      </c>
      <c r="S486">
        <f t="shared" si="68"/>
        <v>2.954685102711796E-4</v>
      </c>
      <c r="T486">
        <f t="shared" si="69"/>
        <v>3.0403054704262189E-2</v>
      </c>
      <c r="U486">
        <f t="shared" si="70"/>
        <v>1.3306061285541571E-2</v>
      </c>
      <c r="V486">
        <f t="shared" si="71"/>
        <v>1.5037683578370098E-2</v>
      </c>
      <c r="W486">
        <f t="shared" si="72"/>
        <v>1.7779110667044851E-2</v>
      </c>
    </row>
    <row r="487" spans="1:23" x14ac:dyDescent="0.3">
      <c r="A487" t="s">
        <v>23</v>
      </c>
      <c r="B487" s="1">
        <v>16.150461</v>
      </c>
      <c r="C487" s="1">
        <v>10.733414</v>
      </c>
      <c r="D487" s="1">
        <v>12.541999000000001</v>
      </c>
      <c r="E487" s="1">
        <v>23.055342</v>
      </c>
      <c r="F487" s="1">
        <v>19.049892</v>
      </c>
      <c r="G487" s="1">
        <v>5.0967669999999998</v>
      </c>
      <c r="H487" s="1">
        <v>3753.280029</v>
      </c>
      <c r="I487" s="1">
        <v>30.023503999999999</v>
      </c>
      <c r="J487" s="1">
        <v>8.7021189999999997</v>
      </c>
      <c r="K487" s="1">
        <v>0.91424499999999997</v>
      </c>
      <c r="L487" s="1">
        <v>14.182703</v>
      </c>
      <c r="M487">
        <f t="shared" si="66"/>
        <v>-2.5113717413294268E-4</v>
      </c>
      <c r="N487">
        <f t="shared" si="66"/>
        <v>-1.1335991591383765E-2</v>
      </c>
      <c r="O487">
        <f t="shared" si="66"/>
        <v>-6.0606372798613917E-3</v>
      </c>
      <c r="P487">
        <f t="shared" si="66"/>
        <v>-1.6563839288056603E-2</v>
      </c>
      <c r="Q487">
        <f t="shared" si="66"/>
        <v>5.5641001129456136E-3</v>
      </c>
      <c r="R487">
        <f t="shared" si="67"/>
        <v>-1.3606733714284003E-2</v>
      </c>
      <c r="S487">
        <f t="shared" si="68"/>
        <v>-1.5420383646749136E-2</v>
      </c>
      <c r="T487">
        <f t="shared" si="69"/>
        <v>-9.221221184751327E-3</v>
      </c>
      <c r="U487">
        <f t="shared" si="70"/>
        <v>6.6970356643025752E-3</v>
      </c>
      <c r="V487">
        <f t="shared" si="71"/>
        <v>-2.6829279170945242E-2</v>
      </c>
      <c r="W487">
        <f t="shared" si="72"/>
        <v>-1.1019490374453822E-2</v>
      </c>
    </row>
    <row r="488" spans="1:23" x14ac:dyDescent="0.3">
      <c r="A488" t="s">
        <v>22</v>
      </c>
      <c r="B488" s="1">
        <v>16.154517999999999</v>
      </c>
      <c r="C488" s="1">
        <v>10.856483000000001</v>
      </c>
      <c r="D488" s="1">
        <v>12.618475</v>
      </c>
      <c r="E488" s="1">
        <v>23.443659</v>
      </c>
      <c r="F488" s="1">
        <v>18.944483000000002</v>
      </c>
      <c r="G488" s="1">
        <v>5.1670740000000004</v>
      </c>
      <c r="H488" s="1">
        <v>3795.1000979999999</v>
      </c>
      <c r="I488" s="1">
        <v>30.493728999999998</v>
      </c>
      <c r="J488" s="1">
        <v>8.7831100000000006</v>
      </c>
      <c r="K488" s="1">
        <v>0.90816300000000005</v>
      </c>
      <c r="L488" s="1">
        <v>14.573705</v>
      </c>
      <c r="M488">
        <f t="shared" si="66"/>
        <v>-2.255692037077428E-3</v>
      </c>
      <c r="N488">
        <f t="shared" si="66"/>
        <v>-1.0416507151737808E-2</v>
      </c>
      <c r="O488">
        <f t="shared" si="66"/>
        <v>1.5384695852714403E-2</v>
      </c>
      <c r="P488">
        <f t="shared" si="66"/>
        <v>0</v>
      </c>
      <c r="Q488">
        <f t="shared" si="66"/>
        <v>7.4743394148970577E-3</v>
      </c>
      <c r="R488">
        <f t="shared" si="67"/>
        <v>1.9088655498729956E-2</v>
      </c>
      <c r="S488">
        <f t="shared" si="68"/>
        <v>8.5092692297528139E-3</v>
      </c>
      <c r="T488">
        <f t="shared" si="69"/>
        <v>3.9085993987368894E-3</v>
      </c>
      <c r="U488">
        <f t="shared" si="70"/>
        <v>1.0411602071639603E-2</v>
      </c>
      <c r="V488">
        <f t="shared" si="71"/>
        <v>2.1170625482121341E-2</v>
      </c>
      <c r="W488">
        <f t="shared" si="72"/>
        <v>4.7336737434611198E-3</v>
      </c>
    </row>
    <row r="489" spans="1:23" x14ac:dyDescent="0.3">
      <c r="A489" t="s">
        <v>21</v>
      </c>
      <c r="B489" s="1">
        <v>16.191040000000001</v>
      </c>
      <c r="C489" s="1">
        <v>10.97076</v>
      </c>
      <c r="D489" s="1">
        <v>12.427284999999999</v>
      </c>
      <c r="E489" s="1">
        <v>23.443659</v>
      </c>
      <c r="F489" s="1">
        <v>18.803936</v>
      </c>
      <c r="G489" s="1">
        <v>5.0702889999999998</v>
      </c>
      <c r="H489" s="1">
        <v>3777.219971</v>
      </c>
      <c r="I489" s="1">
        <v>30.236439000000001</v>
      </c>
      <c r="J489" s="1">
        <v>8.7489139999999992</v>
      </c>
      <c r="K489" s="1">
        <v>0.89880499999999997</v>
      </c>
      <c r="L489" s="1">
        <v>14.271566999999999</v>
      </c>
      <c r="M489">
        <f t="shared" si="66"/>
        <v>-7.4627387193033634E-3</v>
      </c>
      <c r="N489">
        <f t="shared" si="66"/>
        <v>-3.1950066164367907E-3</v>
      </c>
      <c r="O489">
        <f t="shared" si="66"/>
        <v>-1.5151593199653757E-2</v>
      </c>
      <c r="P489">
        <f t="shared" si="66"/>
        <v>-5.7450822068317864E-3</v>
      </c>
      <c r="Q489">
        <f t="shared" si="66"/>
        <v>-8.032097582457709E-3</v>
      </c>
      <c r="R489">
        <f t="shared" si="67"/>
        <v>-1.7976461879506411E-3</v>
      </c>
      <c r="S489">
        <f t="shared" si="68"/>
        <v>-2.0497684641215264E-3</v>
      </c>
      <c r="T489">
        <f t="shared" si="69"/>
        <v>8.2363710366162302E-4</v>
      </c>
      <c r="U489">
        <f t="shared" si="70"/>
        <v>7.3409507371771099E-3</v>
      </c>
      <c r="V489">
        <f t="shared" si="71"/>
        <v>6.2302452112605877E-4</v>
      </c>
      <c r="W489">
        <f t="shared" si="72"/>
        <v>-3.5981639034404767E-3</v>
      </c>
    </row>
    <row r="490" spans="1:23" x14ac:dyDescent="0.3">
      <c r="A490" t="s">
        <v>20</v>
      </c>
      <c r="B490" s="1">
        <v>16.312778000000002</v>
      </c>
      <c r="C490" s="1">
        <v>11.005924</v>
      </c>
      <c r="D490" s="1">
        <v>12.618475</v>
      </c>
      <c r="E490" s="1">
        <v>23.579122999999999</v>
      </c>
      <c r="F490" s="1">
        <v>18.956194</v>
      </c>
      <c r="G490" s="1">
        <v>5.0794199999999998</v>
      </c>
      <c r="H490" s="1">
        <v>3790.860107</v>
      </c>
      <c r="I490" s="1">
        <v>30.298544</v>
      </c>
      <c r="J490" s="1">
        <v>8.741714</v>
      </c>
      <c r="K490" s="1">
        <v>0.89225500000000002</v>
      </c>
      <c r="L490" s="1">
        <v>14.262681000000001</v>
      </c>
      <c r="M490">
        <f t="shared" si="66"/>
        <v>-1.1313172526653648E-2</v>
      </c>
      <c r="N490">
        <f t="shared" si="66"/>
        <v>-9.4936629116082472E-3</v>
      </c>
      <c r="O490">
        <f t="shared" si="66"/>
        <v>-4.7618993708242408E-2</v>
      </c>
      <c r="P490">
        <f t="shared" si="66"/>
        <v>-1.8420944395766137E-2</v>
      </c>
      <c r="Q490">
        <f t="shared" si="66"/>
        <v>-1.6706991849271269E-2</v>
      </c>
      <c r="R490">
        <f t="shared" si="67"/>
        <v>-1.4700485179636069E-2</v>
      </c>
      <c r="S490">
        <f t="shared" si="68"/>
        <v>2.2455035210420471E-2</v>
      </c>
      <c r="T490">
        <f t="shared" si="69"/>
        <v>-2.7432918545453933E-2</v>
      </c>
      <c r="U490">
        <f t="shared" si="70"/>
        <v>5.2478899109309474E-4</v>
      </c>
      <c r="V490">
        <f t="shared" si="71"/>
        <v>-3.0797122130856058E-2</v>
      </c>
      <c r="W490">
        <f t="shared" si="72"/>
        <v>-1.2552569355680165E-2</v>
      </c>
    </row>
    <row r="491" spans="1:23" x14ac:dyDescent="0.3">
      <c r="A491" t="s">
        <v>19</v>
      </c>
      <c r="B491" s="1">
        <v>16.499438999999999</v>
      </c>
      <c r="C491" s="1">
        <v>11.111412</v>
      </c>
      <c r="D491" s="1">
        <v>13.249397999999999</v>
      </c>
      <c r="E491" s="1">
        <v>24.021623999999999</v>
      </c>
      <c r="F491" s="1">
        <v>19.278276000000002</v>
      </c>
      <c r="G491" s="1">
        <v>5.1552040000000003</v>
      </c>
      <c r="H491" s="1">
        <v>3839.0500489999999</v>
      </c>
      <c r="I491" s="1">
        <v>29.633130999999999</v>
      </c>
      <c r="J491" s="1">
        <v>8.988289</v>
      </c>
      <c r="K491" s="1">
        <v>0.891787</v>
      </c>
      <c r="L491" s="1">
        <v>14.715888</v>
      </c>
      <c r="M491">
        <f t="shared" si="66"/>
        <v>-2.9427483554643752E-3</v>
      </c>
      <c r="N491">
        <f t="shared" si="66"/>
        <v>1.5848449092872308E-3</v>
      </c>
      <c r="O491">
        <f t="shared" si="66"/>
        <v>4.3478488279409255E-3</v>
      </c>
      <c r="P491">
        <f t="shared" si="66"/>
        <v>5.291064190190875E-3</v>
      </c>
      <c r="Q491">
        <f t="shared" si="66"/>
        <v>-4.5360142074913901E-3</v>
      </c>
      <c r="R491">
        <f t="shared" si="67"/>
        <v>1.6747566065760777E-2</v>
      </c>
      <c r="S491">
        <f t="shared" si="68"/>
        <v>-5.0640014018286106E-3</v>
      </c>
      <c r="T491">
        <f t="shared" si="69"/>
        <v>5.0311440057768664E-3</v>
      </c>
      <c r="U491">
        <f t="shared" si="70"/>
        <v>-9.3556051983484378E-3</v>
      </c>
      <c r="V491">
        <f t="shared" si="71"/>
        <v>1.4084553629879704E-2</v>
      </c>
      <c r="W491">
        <f t="shared" si="72"/>
        <v>-2.2844086030011646E-3</v>
      </c>
    </row>
    <row r="492" spans="1:23" x14ac:dyDescent="0.3">
      <c r="A492" t="s">
        <v>18</v>
      </c>
      <c r="B492" s="1">
        <v>16.548136</v>
      </c>
      <c r="C492" s="1">
        <v>11.093830000000001</v>
      </c>
      <c r="D492" s="1">
        <v>13.192041</v>
      </c>
      <c r="E492" s="1">
        <v>23.895192999999999</v>
      </c>
      <c r="F492" s="1">
        <v>19.366121</v>
      </c>
      <c r="G492" s="1">
        <v>5.0702889999999998</v>
      </c>
      <c r="H492" s="1">
        <v>3847.8400879999999</v>
      </c>
      <c r="I492" s="1">
        <v>29.783957000000001</v>
      </c>
      <c r="J492" s="1">
        <v>8.9432939999999999</v>
      </c>
      <c r="K492" s="1">
        <v>0.90020900000000004</v>
      </c>
      <c r="L492" s="1">
        <v>14.5115</v>
      </c>
      <c r="M492">
        <f t="shared" si="66"/>
        <v>4.4336019489299439E-3</v>
      </c>
      <c r="N492">
        <f t="shared" si="66"/>
        <v>1.2841019685607469E-2</v>
      </c>
      <c r="O492">
        <f t="shared" si="66"/>
        <v>-5.763718733600709E-3</v>
      </c>
      <c r="P492">
        <f t="shared" si="66"/>
        <v>2.6775219643041748E-2</v>
      </c>
      <c r="Q492">
        <f t="shared" si="66"/>
        <v>2.9256072963520952E-2</v>
      </c>
      <c r="R492">
        <f t="shared" si="67"/>
        <v>1.2766927274495909E-2</v>
      </c>
      <c r="S492">
        <f t="shared" si="68"/>
        <v>1.2669711842962172E-2</v>
      </c>
      <c r="T492">
        <f t="shared" si="69"/>
        <v>2.0957538330027337E-2</v>
      </c>
      <c r="U492">
        <f t="shared" si="70"/>
        <v>9.7089012094626614E-3</v>
      </c>
      <c r="V492">
        <f t="shared" si="71"/>
        <v>3.2237697706257729E-2</v>
      </c>
      <c r="W492">
        <f t="shared" si="72"/>
        <v>1.1019781675802864E-2</v>
      </c>
    </row>
    <row r="493" spans="1:23" x14ac:dyDescent="0.3">
      <c r="A493" t="s">
        <v>17</v>
      </c>
      <c r="B493" s="1">
        <v>16.475092</v>
      </c>
      <c r="C493" s="1">
        <v>10.95318</v>
      </c>
      <c r="D493" s="1">
        <v>13.268516999999999</v>
      </c>
      <c r="E493" s="1">
        <v>23.272078</v>
      </c>
      <c r="F493" s="1">
        <v>18.815649000000001</v>
      </c>
      <c r="G493" s="1">
        <v>5.006373</v>
      </c>
      <c r="H493" s="1">
        <v>3805.8999020000001</v>
      </c>
      <c r="I493" s="1">
        <v>29.411324</v>
      </c>
      <c r="J493" s="1">
        <v>8.7597120000000004</v>
      </c>
      <c r="K493" s="1">
        <v>0.89155300000000004</v>
      </c>
      <c r="L493" s="1">
        <v>14.058293000000001</v>
      </c>
      <c r="M493">
        <f t="shared" si="66"/>
        <v>-2.3569102591821323E-2</v>
      </c>
      <c r="N493">
        <f t="shared" si="66"/>
        <v>-2.4018286357976315E-3</v>
      </c>
      <c r="O493">
        <f t="shared" si="66"/>
        <v>5.7971317705880487E-3</v>
      </c>
      <c r="P493">
        <f t="shared" si="66"/>
        <v>-2.0896585114817068E-2</v>
      </c>
      <c r="Q493">
        <f t="shared" si="66"/>
        <v>-2.0725246216780735E-2</v>
      </c>
      <c r="R493">
        <f t="shared" si="67"/>
        <v>-1.0646124841781401E-2</v>
      </c>
      <c r="S493">
        <f t="shared" si="68"/>
        <v>-7.1877585718945758E-3</v>
      </c>
      <c r="T493">
        <f t="shared" si="69"/>
        <v>-1.2778848429523038E-2</v>
      </c>
      <c r="U493">
        <f t="shared" si="70"/>
        <v>-1.4735541564858345E-2</v>
      </c>
      <c r="V493">
        <f t="shared" si="71"/>
        <v>-2.7658318314155994E-2</v>
      </c>
      <c r="W493">
        <f t="shared" si="72"/>
        <v>-1.5683307657065715E-2</v>
      </c>
    </row>
    <row r="494" spans="1:23" x14ac:dyDescent="0.3">
      <c r="A494" t="s">
        <v>16</v>
      </c>
      <c r="B494" s="1">
        <v>16.872768000000001</v>
      </c>
      <c r="C494" s="1">
        <v>10.979551000000001</v>
      </c>
      <c r="D494" s="1">
        <v>13.192041</v>
      </c>
      <c r="E494" s="1">
        <v>23.768764000000001</v>
      </c>
      <c r="F494" s="1">
        <v>19.213861000000001</v>
      </c>
      <c r="G494" s="1">
        <v>5.0602450000000001</v>
      </c>
      <c r="H494" s="1">
        <v>3866.540039</v>
      </c>
      <c r="I494" s="1">
        <v>29.624255999999999</v>
      </c>
      <c r="J494" s="1">
        <v>8.8731000000000009</v>
      </c>
      <c r="K494" s="1">
        <v>0.904887</v>
      </c>
      <c r="L494" s="1">
        <v>14.458182000000001</v>
      </c>
      <c r="M494">
        <f t="shared" si="66"/>
        <v>6.7795809190300815E-3</v>
      </c>
      <c r="N494">
        <f t="shared" si="66"/>
        <v>1.9591821573420765E-2</v>
      </c>
      <c r="O494">
        <f t="shared" si="66"/>
        <v>2.9069157484786778E-3</v>
      </c>
      <c r="P494">
        <f t="shared" si="66"/>
        <v>1.114091042978238E-2</v>
      </c>
      <c r="Q494">
        <f t="shared" si="66"/>
        <v>2.7238483474086639E-2</v>
      </c>
      <c r="R494">
        <f t="shared" si="67"/>
        <v>2.7139338189325901E-3</v>
      </c>
      <c r="S494">
        <f t="shared" si="68"/>
        <v>2.6121643203365741E-2</v>
      </c>
      <c r="T494">
        <f t="shared" si="69"/>
        <v>2.3246212890012607E-2</v>
      </c>
      <c r="U494">
        <f t="shared" si="70"/>
        <v>7.2912503882172075E-3</v>
      </c>
      <c r="V494">
        <f t="shared" si="71"/>
        <v>8.6795018087353348E-3</v>
      </c>
      <c r="W494">
        <f t="shared" si="72"/>
        <v>1.4898500587420704E-2</v>
      </c>
    </row>
    <row r="495" spans="1:23" x14ac:dyDescent="0.3">
      <c r="A495" t="s">
        <v>15</v>
      </c>
      <c r="B495" s="1">
        <v>16.759148</v>
      </c>
      <c r="C495" s="1">
        <v>10.768575</v>
      </c>
      <c r="D495" s="1">
        <v>13.153803999999999</v>
      </c>
      <c r="E495" s="1">
        <v>23.506875999999998</v>
      </c>
      <c r="F495" s="1">
        <v>18.704381999999999</v>
      </c>
      <c r="G495" s="1">
        <v>5.0465489999999997</v>
      </c>
      <c r="H495" s="1">
        <v>3809.780029</v>
      </c>
      <c r="I495" s="1">
        <v>28.870121000000001</v>
      </c>
      <c r="J495" s="1">
        <v>8.6715199999999992</v>
      </c>
      <c r="K495" s="1">
        <v>0.89833700000000005</v>
      </c>
      <c r="L495" s="1">
        <v>14.333772</v>
      </c>
      <c r="M495">
        <f t="shared" si="66"/>
        <v>9.7800604091262677E-3</v>
      </c>
      <c r="N495">
        <f t="shared" si="66"/>
        <v>1.6597369354907743E-2</v>
      </c>
      <c r="O495">
        <f t="shared" si="66"/>
        <v>4.3795847835677026E-3</v>
      </c>
      <c r="P495">
        <f t="shared" si="66"/>
        <v>1.9185563813072237E-2</v>
      </c>
      <c r="Q495">
        <f t="shared" si="66"/>
        <v>1.4290279459354682E-2</v>
      </c>
      <c r="R495">
        <f t="shared" si="67"/>
        <v>2.8661808878061246E-2</v>
      </c>
      <c r="S495">
        <f t="shared" si="68"/>
        <v>1.0873125660176841E-2</v>
      </c>
      <c r="T495">
        <f t="shared" si="69"/>
        <v>3.4571539356339498E-2</v>
      </c>
      <c r="U495">
        <f t="shared" si="70"/>
        <v>1.4531265881396305E-2</v>
      </c>
      <c r="V495">
        <f t="shared" si="71"/>
        <v>2.6081305673795852E-2</v>
      </c>
      <c r="W495">
        <f t="shared" si="72"/>
        <v>1.5405212529945311E-2</v>
      </c>
    </row>
    <row r="496" spans="1:23" x14ac:dyDescent="0.3">
      <c r="A496" t="s">
        <v>14</v>
      </c>
      <c r="B496" s="1">
        <v>16.596830000000001</v>
      </c>
      <c r="C496" s="1">
        <v>10.592763</v>
      </c>
      <c r="D496" s="1">
        <v>13.096447</v>
      </c>
      <c r="E496" s="1">
        <v>23.064373</v>
      </c>
      <c r="F496" s="1">
        <v>18.440857000000001</v>
      </c>
      <c r="G496" s="1">
        <v>4.9059359999999996</v>
      </c>
      <c r="H496" s="1">
        <v>3751.9799800000001</v>
      </c>
      <c r="I496" s="1">
        <v>28.559588999999999</v>
      </c>
      <c r="J496" s="1">
        <v>8.3817500000000003</v>
      </c>
      <c r="K496" s="1">
        <v>0.88546999999999998</v>
      </c>
      <c r="L496" s="1">
        <v>13.969431</v>
      </c>
      <c r="M496">
        <f t="shared" si="66"/>
        <v>3.4346995952847514E-3</v>
      </c>
      <c r="N496">
        <f t="shared" si="66"/>
        <v>-2.0325215282639753E-2</v>
      </c>
      <c r="O496">
        <f t="shared" si="66"/>
        <v>4.9004524999233023E-2</v>
      </c>
      <c r="P496">
        <f t="shared" si="66"/>
        <v>5.1161870071572135E-3</v>
      </c>
      <c r="Q496">
        <f t="shared" si="66"/>
        <v>-2.2180138893022061E-3</v>
      </c>
      <c r="R496">
        <f t="shared" si="67"/>
        <v>-2.9689800621679474E-3</v>
      </c>
      <c r="S496">
        <f t="shared" si="68"/>
        <v>-3.714148498752512E-3</v>
      </c>
      <c r="T496">
        <f t="shared" si="69"/>
        <v>2.3675091213739563E-3</v>
      </c>
      <c r="U496">
        <f t="shared" si="70"/>
        <v>1.323080402578336E-3</v>
      </c>
      <c r="V496">
        <f t="shared" si="71"/>
        <v>-1.3801621328167535E-2</v>
      </c>
      <c r="W496">
        <f t="shared" si="72"/>
        <v>-3.5349359178542539E-3</v>
      </c>
    </row>
    <row r="497" spans="1:23" x14ac:dyDescent="0.3">
      <c r="A497" t="s">
        <v>13</v>
      </c>
      <c r="B497" s="1">
        <v>16.540019999999998</v>
      </c>
      <c r="C497" s="1">
        <v>10.812530000000001</v>
      </c>
      <c r="D497" s="1">
        <v>12.484643</v>
      </c>
      <c r="E497" s="1">
        <v>22.946971999999999</v>
      </c>
      <c r="F497" s="1">
        <v>18.481850000000001</v>
      </c>
      <c r="G497" s="1">
        <v>4.9205449999999997</v>
      </c>
      <c r="H497" s="1">
        <v>3765.290039</v>
      </c>
      <c r="I497" s="1">
        <v>28.666059000000001</v>
      </c>
      <c r="J497" s="1">
        <v>8.3619529999999997</v>
      </c>
      <c r="K497" s="1">
        <v>0.88429999999999997</v>
      </c>
      <c r="L497" s="1">
        <v>14.16493</v>
      </c>
      <c r="M497">
        <f t="shared" si="66"/>
        <v>-2.3478696481428196E-2</v>
      </c>
      <c r="N497">
        <f t="shared" si="66"/>
        <v>-2.2257561013897753E-2</v>
      </c>
      <c r="O497">
        <f t="shared" si="66"/>
        <v>3.0722124179631827E-3</v>
      </c>
      <c r="P497">
        <f t="shared" si="66"/>
        <v>-2.0809247716275014E-2</v>
      </c>
      <c r="Q497">
        <f t="shared" si="66"/>
        <v>-2.9221754874770189E-2</v>
      </c>
      <c r="R497">
        <f t="shared" si="67"/>
        <v>-3.7506675090810626E-2</v>
      </c>
      <c r="S497">
        <f t="shared" si="68"/>
        <v>-1.6737686007731956E-2</v>
      </c>
      <c r="T497">
        <f t="shared" si="69"/>
        <v>-4.3836161857653266E-2</v>
      </c>
      <c r="U497">
        <f t="shared" si="70"/>
        <v>-2.1233358864130358E-2</v>
      </c>
      <c r="V497">
        <f t="shared" si="71"/>
        <v>-2.7455749876174274E-2</v>
      </c>
      <c r="W497">
        <f t="shared" si="72"/>
        <v>-2.6556283653464519E-2</v>
      </c>
    </row>
    <row r="498" spans="1:23" x14ac:dyDescent="0.3">
      <c r="A498" t="s">
        <v>12</v>
      </c>
      <c r="B498" s="1">
        <v>16.937695000000001</v>
      </c>
      <c r="C498" s="1">
        <v>11.058669</v>
      </c>
      <c r="D498" s="1">
        <v>12.446405</v>
      </c>
      <c r="E498" s="1">
        <v>23.434629000000001</v>
      </c>
      <c r="F498" s="1">
        <v>19.038179</v>
      </c>
      <c r="G498" s="1">
        <v>5.1122899999999998</v>
      </c>
      <c r="H498" s="1">
        <v>3868.01001</v>
      </c>
      <c r="I498" s="1">
        <v>29.154029999999999</v>
      </c>
      <c r="J498" s="1">
        <v>8.7453140000000005</v>
      </c>
      <c r="K498" s="1">
        <v>0.90348399999999995</v>
      </c>
      <c r="L498" s="1">
        <v>14.564818000000001</v>
      </c>
      <c r="M498">
        <f t="shared" si="66"/>
        <v>5.2986567702697496E-3</v>
      </c>
      <c r="N498">
        <f t="shared" si="66"/>
        <v>2.3905268676620572E-3</v>
      </c>
      <c r="O498">
        <f t="shared" si="66"/>
        <v>-1.5336701075436832E-3</v>
      </c>
      <c r="P498">
        <f t="shared" si="66"/>
        <v>1.4464409289255853E-2</v>
      </c>
      <c r="Q498">
        <f t="shared" si="66"/>
        <v>1.0254748107567879E-2</v>
      </c>
      <c r="R498">
        <f t="shared" si="67"/>
        <v>-1.9608248895914837E-3</v>
      </c>
      <c r="S498">
        <f t="shared" si="68"/>
        <v>2.4405279060808471E-3</v>
      </c>
      <c r="T498">
        <f t="shared" si="69"/>
        <v>1.929932302073345E-2</v>
      </c>
      <c r="U498">
        <f t="shared" si="70"/>
        <v>6.5160115191587042E-3</v>
      </c>
      <c r="V498">
        <f t="shared" si="71"/>
        <v>1.8012226783666874E-2</v>
      </c>
      <c r="W498">
        <f t="shared" si="72"/>
        <v>7.171007508966154E-3</v>
      </c>
    </row>
    <row r="499" spans="1:23" x14ac:dyDescent="0.3">
      <c r="A499" t="s">
        <v>11</v>
      </c>
      <c r="B499" s="1">
        <v>16.848420999999998</v>
      </c>
      <c r="C499" s="1">
        <v>11.032296000000001</v>
      </c>
      <c r="D499" s="1">
        <v>12.465522999999999</v>
      </c>
      <c r="E499" s="1">
        <v>23.100494000000001</v>
      </c>
      <c r="F499" s="1">
        <v>18.844929</v>
      </c>
      <c r="G499" s="1">
        <v>5.1223340000000004</v>
      </c>
      <c r="H499" s="1">
        <v>3840.469971</v>
      </c>
      <c r="I499" s="1">
        <v>29.083051999999999</v>
      </c>
      <c r="J499" s="1">
        <v>8.5797310000000007</v>
      </c>
      <c r="K499" s="1">
        <v>0.89763499999999996</v>
      </c>
      <c r="L499" s="1">
        <v>14.307115</v>
      </c>
      <c r="M499">
        <f t="shared" si="66"/>
        <v>-1.9230627969485381E-3</v>
      </c>
      <c r="N499">
        <f t="shared" si="66"/>
        <v>-2.7885422910923885E-2</v>
      </c>
      <c r="O499">
        <f t="shared" si="66"/>
        <v>1.0852688410697198E-2</v>
      </c>
      <c r="P499">
        <f t="shared" si="66"/>
        <v>-7.7579214768437321E-3</v>
      </c>
      <c r="Q499">
        <f t="shared" si="66"/>
        <v>-1.5299826787216642E-2</v>
      </c>
      <c r="R499">
        <f t="shared" si="67"/>
        <v>-1.1279404412857463E-2</v>
      </c>
      <c r="S499">
        <f t="shared" si="68"/>
        <v>-1.5229982834383815E-3</v>
      </c>
      <c r="T499">
        <f t="shared" si="69"/>
        <v>-7.9083056519894113E-3</v>
      </c>
      <c r="U499">
        <f t="shared" si="70"/>
        <v>-3.893939259430268E-3</v>
      </c>
      <c r="V499">
        <f t="shared" si="71"/>
        <v>-1.348025948977194E-2</v>
      </c>
      <c r="W499">
        <f t="shared" si="72"/>
        <v>-7.3304090456877136E-3</v>
      </c>
    </row>
    <row r="500" spans="1:23" x14ac:dyDescent="0.3">
      <c r="A500" t="s">
        <v>10</v>
      </c>
      <c r="B500" s="1">
        <v>16.880884000000002</v>
      </c>
      <c r="C500" s="1">
        <v>11.348761</v>
      </c>
      <c r="D500" s="1">
        <v>12.331690999999999</v>
      </c>
      <c r="E500" s="1">
        <v>23.281106999999999</v>
      </c>
      <c r="F500" s="1">
        <v>19.137733000000001</v>
      </c>
      <c r="G500" s="1">
        <v>5.1807699999999999</v>
      </c>
      <c r="H500" s="1">
        <v>3868.830078</v>
      </c>
      <c r="I500" s="1">
        <v>29.127413000000001</v>
      </c>
      <c r="J500" s="1">
        <v>8.648123</v>
      </c>
      <c r="K500" s="1">
        <v>0.90114399999999995</v>
      </c>
      <c r="L500" s="1">
        <v>14.502613999999999</v>
      </c>
      <c r="M500">
        <f t="shared" si="66"/>
        <v>2.4096356924652174E-3</v>
      </c>
      <c r="N500">
        <f t="shared" si="66"/>
        <v>8.5937122291517287E-3</v>
      </c>
      <c r="O500">
        <f t="shared" si="66"/>
        <v>1.7350081475844492E-2</v>
      </c>
      <c r="P500">
        <f t="shared" si="66"/>
        <v>-9.9847307611822256E-3</v>
      </c>
      <c r="Q500">
        <f t="shared" si="66"/>
        <v>-6.116626037119266E-4</v>
      </c>
      <c r="R500">
        <f t="shared" si="67"/>
        <v>2.4734969341060342E-3</v>
      </c>
      <c r="S500">
        <f t="shared" si="68"/>
        <v>1.3271522339298958E-2</v>
      </c>
      <c r="T500">
        <f t="shared" si="69"/>
        <v>1.2502714961255545E-3</v>
      </c>
      <c r="U500">
        <f t="shared" si="70"/>
        <v>-5.4223961627138939E-3</v>
      </c>
      <c r="V500">
        <f t="shared" si="71"/>
        <v>-4.8780320446997205E-3</v>
      </c>
      <c r="W500">
        <f t="shared" si="72"/>
        <v>9.0548541246726622E-4</v>
      </c>
    </row>
    <row r="501" spans="1:23" x14ac:dyDescent="0.3">
      <c r="A501" t="s">
        <v>9</v>
      </c>
      <c r="B501" s="1">
        <v>16.840305000000001</v>
      </c>
      <c r="C501" s="1">
        <v>11.252064000000001</v>
      </c>
      <c r="D501" s="1">
        <v>12.121384000000001</v>
      </c>
      <c r="E501" s="1">
        <v>23.515906999999999</v>
      </c>
      <c r="F501" s="1">
        <v>19.149446000000001</v>
      </c>
      <c r="G501" s="1">
        <v>5.1679870000000001</v>
      </c>
      <c r="H501" s="1">
        <v>3865.330078</v>
      </c>
      <c r="I501" s="1">
        <v>28.745911</v>
      </c>
      <c r="J501" s="1">
        <v>8.6373239999999996</v>
      </c>
      <c r="K501" s="1">
        <v>0.906057</v>
      </c>
      <c r="L501" s="1">
        <v>14.573705</v>
      </c>
      <c r="M501">
        <f t="shared" si="66"/>
        <v>1.3183602269345895E-2</v>
      </c>
      <c r="N501">
        <f t="shared" si="66"/>
        <v>1.8297669738767341E-2</v>
      </c>
      <c r="O501">
        <f t="shared" si="66"/>
        <v>-3.1445881413573185E-3</v>
      </c>
      <c r="P501">
        <f t="shared" si="66"/>
        <v>1.4018704484648481E-2</v>
      </c>
      <c r="Q501">
        <f t="shared" ref="Q501:Q505" si="73">+F501/F502-1</f>
        <v>2.3794638069303931E-2</v>
      </c>
      <c r="R501">
        <f t="shared" si="67"/>
        <v>8.9125386981794286E-3</v>
      </c>
      <c r="S501">
        <f t="shared" si="68"/>
        <v>3.6800059959011922E-2</v>
      </c>
      <c r="T501">
        <f t="shared" si="69"/>
        <v>3.0049312193289435E-2</v>
      </c>
      <c r="U501">
        <f t="shared" si="70"/>
        <v>7.2817665676865317E-3</v>
      </c>
      <c r="V501">
        <f t="shared" si="71"/>
        <v>3.0580330441838388E-3</v>
      </c>
      <c r="W501">
        <f t="shared" si="72"/>
        <v>1.7152001284395535E-2</v>
      </c>
    </row>
    <row r="502" spans="1:23" x14ac:dyDescent="0.3">
      <c r="A502" t="s">
        <v>8</v>
      </c>
      <c r="B502" s="1">
        <v>16.621178</v>
      </c>
      <c r="C502" s="1">
        <v>11.049877</v>
      </c>
      <c r="D502" s="1">
        <v>12.159621</v>
      </c>
      <c r="E502" s="1">
        <v>23.190802000000001</v>
      </c>
      <c r="F502" s="1">
        <v>18.704381999999999</v>
      </c>
      <c r="G502" s="1">
        <v>5.1223340000000004</v>
      </c>
      <c r="H502" s="1">
        <v>3800.1499020000001</v>
      </c>
      <c r="I502" s="1">
        <v>27.725607</v>
      </c>
      <c r="J502" s="1">
        <v>8.3853500000000007</v>
      </c>
      <c r="K502" s="1">
        <v>0.89950699999999995</v>
      </c>
      <c r="L502" s="1">
        <v>14.529273999999999</v>
      </c>
      <c r="M502">
        <f t="shared" si="66"/>
        <v>2.4473784089464878E-3</v>
      </c>
      <c r="N502">
        <f t="shared" si="66"/>
        <v>-1.411763572249336E-2</v>
      </c>
      <c r="O502">
        <f t="shared" si="66"/>
        <v>-7.8003521112970375E-3</v>
      </c>
      <c r="P502">
        <f t="shared" si="66"/>
        <v>-1.344602319763788E-2</v>
      </c>
      <c r="Q502">
        <f t="shared" si="73"/>
        <v>-2.6219483688208034E-2</v>
      </c>
      <c r="R502">
        <f t="shared" si="67"/>
        <v>-9.7087453719660877E-3</v>
      </c>
      <c r="S502">
        <f t="shared" si="68"/>
        <v>-6.6750690502456189E-3</v>
      </c>
      <c r="T502">
        <f t="shared" si="69"/>
        <v>-2.7825783338968346E-3</v>
      </c>
      <c r="U502">
        <f t="shared" si="70"/>
        <v>-5.9454937467330327E-3</v>
      </c>
      <c r="V502">
        <f t="shared" si="71"/>
        <v>-1.9196161051312277E-2</v>
      </c>
      <c r="W502">
        <f t="shared" si="72"/>
        <v>-3.8821007694449516E-3</v>
      </c>
    </row>
    <row r="503" spans="1:23" x14ac:dyDescent="0.3">
      <c r="A503" t="s">
        <v>7</v>
      </c>
      <c r="B503" s="1">
        <v>16.580598999999999</v>
      </c>
      <c r="C503" s="1">
        <v>11.208109</v>
      </c>
      <c r="D503" s="1">
        <v>12.255216000000001</v>
      </c>
      <c r="E503" s="1">
        <v>23.506875999999998</v>
      </c>
      <c r="F503" s="1">
        <v>19.208006000000001</v>
      </c>
      <c r="G503" s="1">
        <v>5.1725529999999997</v>
      </c>
      <c r="H503" s="1">
        <v>3814.959961</v>
      </c>
      <c r="I503" s="1">
        <v>27.911921</v>
      </c>
      <c r="J503" s="1">
        <v>8.4087479999999992</v>
      </c>
      <c r="K503" s="1">
        <v>0.904887</v>
      </c>
      <c r="L503" s="1">
        <v>14.813639</v>
      </c>
    </row>
    <row r="504" spans="1:23" x14ac:dyDescent="0.3">
      <c r="A504" t="s">
        <v>6</v>
      </c>
      <c r="B504" s="1">
        <v>16.588716999999999</v>
      </c>
      <c r="C504" s="1">
        <v>11.366343000000001</v>
      </c>
      <c r="D504" s="1">
        <v>12.216977999999999</v>
      </c>
      <c r="E504" s="1">
        <v>23.615241999999999</v>
      </c>
      <c r="F504" s="1">
        <v>19.196294999999999</v>
      </c>
      <c r="G504" s="1">
        <v>5.1935539999999998</v>
      </c>
      <c r="H504" s="1"/>
      <c r="I504" s="1">
        <v>27.849817000000002</v>
      </c>
      <c r="J504" s="1">
        <v>8.5509339999999998</v>
      </c>
      <c r="K504" s="1">
        <v>0.90886400000000001</v>
      </c>
      <c r="L504" s="1">
        <v>15.053572000000001</v>
      </c>
    </row>
    <row r="505" spans="1:23" x14ac:dyDescent="0.3">
      <c r="A505" t="s">
        <v>5</v>
      </c>
      <c r="B505" s="1">
        <v>16.832190000000001</v>
      </c>
      <c r="C505" s="1">
        <v>11.647643</v>
      </c>
      <c r="D505" s="1">
        <v>12.140502</v>
      </c>
      <c r="E505" s="1">
        <v>24.075806</v>
      </c>
      <c r="F505" s="1">
        <v>19.758482000000001</v>
      </c>
      <c r="G505" s="1">
        <v>5.2017709999999999</v>
      </c>
      <c r="H505" s="1">
        <v>3861.98999</v>
      </c>
      <c r="I505" s="1">
        <v>27.423950000000001</v>
      </c>
      <c r="J505" s="1">
        <v>8.7435130000000001</v>
      </c>
      <c r="K505" s="1">
        <v>0.937639</v>
      </c>
      <c r="L505" s="1">
        <v>15.435686</v>
      </c>
      <c r="M505">
        <f t="shared" si="66"/>
        <v>-7.6553291938940005E-3</v>
      </c>
      <c r="N505">
        <f t="shared" si="66"/>
        <v>-1.6332688373038917E-2</v>
      </c>
      <c r="O505">
        <f t="shared" si="66"/>
        <v>0</v>
      </c>
      <c r="P505">
        <f t="shared" si="66"/>
        <v>-1.2592661949170747E-2</v>
      </c>
      <c r="Q505">
        <f t="shared" si="73"/>
        <v>-2.8505523144241485E-2</v>
      </c>
      <c r="R505">
        <f t="shared" si="67"/>
        <v>-1.6232127997579338E-2</v>
      </c>
      <c r="S505">
        <f t="shared" si="68"/>
        <v>1.6201483798643501E-3</v>
      </c>
      <c r="T505">
        <f t="shared" si="69"/>
        <v>-5.5323382848064706E-2</v>
      </c>
      <c r="U505">
        <f t="shared" si="70"/>
        <v>-9.1472532349848867E-3</v>
      </c>
      <c r="V505">
        <f t="shared" si="71"/>
        <v>-7.9955157091887719E-3</v>
      </c>
      <c r="W505">
        <f t="shared" si="72"/>
        <v>-1.3177278033948747E-2</v>
      </c>
    </row>
    <row r="506" spans="1:23" x14ac:dyDescent="0.3">
      <c r="A506" t="s">
        <v>4</v>
      </c>
      <c r="B506" s="1">
        <v>16.962039999999998</v>
      </c>
      <c r="C506" s="1">
        <v>11.841039</v>
      </c>
      <c r="D506" s="1">
        <v>12.140502</v>
      </c>
      <c r="E506" s="1">
        <v>24.382850999999999</v>
      </c>
      <c r="F506" s="1">
        <v>20.338234</v>
      </c>
      <c r="G506" s="1">
        <v>5.2876000000000003</v>
      </c>
      <c r="H506" s="1">
        <v>3913.5600589999999</v>
      </c>
      <c r="I506" s="1">
        <v>27.379591000000001</v>
      </c>
      <c r="J506" s="1">
        <v>9.2555619999999994</v>
      </c>
      <c r="K506" s="1">
        <v>0.946295</v>
      </c>
      <c r="L506" s="1">
        <v>15.560097000000001</v>
      </c>
    </row>
  </sheetData>
  <mergeCells count="2">
    <mergeCell ref="AH44:AH46"/>
    <mergeCell ref="Y51:AJ52"/>
  </mergeCells>
  <pageMargins left="0.7" right="0.7" top="0.75" bottom="0.75" header="0.3" footer="0.3"/>
  <pageSetup paperSize="9" orientation="portrait" r:id="rId2"/>
  <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CD9F5-15C8-4BFB-B313-DF5F299D6377}">
  <sheetPr codeName="Taul3"/>
  <dimension ref="A1:C5512"/>
  <sheetViews>
    <sheetView workbookViewId="0">
      <selection sqref="A1:C5512"/>
    </sheetView>
  </sheetViews>
  <sheetFormatPr defaultRowHeight="14.4" x14ac:dyDescent="0.3"/>
  <cols>
    <col min="1" max="1" width="13.6640625" bestFit="1" customWidth="1"/>
    <col min="2" max="2" width="10.33203125" bestFit="1" customWidth="1"/>
    <col min="3" max="3" width="12" bestFit="1" customWidth="1"/>
  </cols>
  <sheetData>
    <row r="1" spans="1:3" x14ac:dyDescent="0.3">
      <c r="A1" t="s">
        <v>0</v>
      </c>
      <c r="B1" t="s">
        <v>1</v>
      </c>
      <c r="C1" t="s">
        <v>2</v>
      </c>
    </row>
    <row r="2" spans="1:3" x14ac:dyDescent="0.3">
      <c r="A2" s="1" t="s">
        <v>3</v>
      </c>
      <c r="B2" t="s">
        <v>4</v>
      </c>
      <c r="C2" s="1">
        <v>16.962039999999998</v>
      </c>
    </row>
    <row r="3" spans="1:3" x14ac:dyDescent="0.3">
      <c r="A3" s="1" t="s">
        <v>3</v>
      </c>
      <c r="B3" t="s">
        <v>5</v>
      </c>
      <c r="C3" s="1">
        <v>16.832190000000001</v>
      </c>
    </row>
    <row r="4" spans="1:3" x14ac:dyDescent="0.3">
      <c r="A4" s="1" t="s">
        <v>3</v>
      </c>
      <c r="B4" t="s">
        <v>6</v>
      </c>
      <c r="C4" s="1">
        <v>16.588716999999999</v>
      </c>
    </row>
    <row r="5" spans="1:3" x14ac:dyDescent="0.3">
      <c r="A5" s="1" t="s">
        <v>3</v>
      </c>
      <c r="B5" t="s">
        <v>7</v>
      </c>
      <c r="C5" s="1">
        <v>16.580598999999999</v>
      </c>
    </row>
    <row r="6" spans="1:3" x14ac:dyDescent="0.3">
      <c r="A6" s="1" t="s">
        <v>3</v>
      </c>
      <c r="B6" t="s">
        <v>8</v>
      </c>
      <c r="C6" s="1">
        <v>16.621178</v>
      </c>
    </row>
    <row r="7" spans="1:3" x14ac:dyDescent="0.3">
      <c r="A7" s="1" t="s">
        <v>3</v>
      </c>
      <c r="B7" t="s">
        <v>9</v>
      </c>
      <c r="C7" s="1">
        <v>16.840305000000001</v>
      </c>
    </row>
    <row r="8" spans="1:3" x14ac:dyDescent="0.3">
      <c r="A8" s="1" t="s">
        <v>3</v>
      </c>
      <c r="B8" t="s">
        <v>10</v>
      </c>
      <c r="C8" s="1">
        <v>16.880884000000002</v>
      </c>
    </row>
    <row r="9" spans="1:3" x14ac:dyDescent="0.3">
      <c r="A9" s="1" t="s">
        <v>3</v>
      </c>
      <c r="B9" t="s">
        <v>11</v>
      </c>
      <c r="C9" s="1">
        <v>16.848420999999998</v>
      </c>
    </row>
    <row r="10" spans="1:3" x14ac:dyDescent="0.3">
      <c r="A10" s="1" t="s">
        <v>3</v>
      </c>
      <c r="B10" t="s">
        <v>12</v>
      </c>
      <c r="C10" s="1">
        <v>16.937695000000001</v>
      </c>
    </row>
    <row r="11" spans="1:3" x14ac:dyDescent="0.3">
      <c r="A11" s="1" t="s">
        <v>3</v>
      </c>
      <c r="B11" t="s">
        <v>13</v>
      </c>
      <c r="C11" s="1">
        <v>16.540019999999998</v>
      </c>
    </row>
    <row r="12" spans="1:3" x14ac:dyDescent="0.3">
      <c r="A12" s="1" t="s">
        <v>3</v>
      </c>
      <c r="B12" t="s">
        <v>14</v>
      </c>
      <c r="C12" s="1">
        <v>16.596830000000001</v>
      </c>
    </row>
    <row r="13" spans="1:3" x14ac:dyDescent="0.3">
      <c r="A13" s="1" t="s">
        <v>3</v>
      </c>
      <c r="B13" t="s">
        <v>15</v>
      </c>
      <c r="C13" s="1">
        <v>16.759148</v>
      </c>
    </row>
    <row r="14" spans="1:3" x14ac:dyDescent="0.3">
      <c r="A14" s="1" t="s">
        <v>3</v>
      </c>
      <c r="B14" t="s">
        <v>16</v>
      </c>
      <c r="C14" s="1">
        <v>16.872768000000001</v>
      </c>
    </row>
    <row r="15" spans="1:3" x14ac:dyDescent="0.3">
      <c r="A15" s="1" t="s">
        <v>3</v>
      </c>
      <c r="B15" t="s">
        <v>17</v>
      </c>
      <c r="C15" s="1">
        <v>16.475092</v>
      </c>
    </row>
    <row r="16" spans="1:3" x14ac:dyDescent="0.3">
      <c r="A16" s="1" t="s">
        <v>3</v>
      </c>
      <c r="B16" t="s">
        <v>18</v>
      </c>
      <c r="C16" s="1">
        <v>16.548136</v>
      </c>
    </row>
    <row r="17" spans="1:3" x14ac:dyDescent="0.3">
      <c r="A17" s="1" t="s">
        <v>3</v>
      </c>
      <c r="B17" t="s">
        <v>19</v>
      </c>
      <c r="C17" s="1">
        <v>16.499438999999999</v>
      </c>
    </row>
    <row r="18" spans="1:3" x14ac:dyDescent="0.3">
      <c r="A18" s="1" t="s">
        <v>3</v>
      </c>
      <c r="B18" t="s">
        <v>20</v>
      </c>
      <c r="C18" s="1">
        <v>16.312778000000002</v>
      </c>
    </row>
    <row r="19" spans="1:3" x14ac:dyDescent="0.3">
      <c r="A19" s="1" t="s">
        <v>3</v>
      </c>
      <c r="B19" t="s">
        <v>21</v>
      </c>
      <c r="C19" s="1">
        <v>16.191040000000001</v>
      </c>
    </row>
    <row r="20" spans="1:3" x14ac:dyDescent="0.3">
      <c r="A20" s="1" t="s">
        <v>3</v>
      </c>
      <c r="B20" t="s">
        <v>22</v>
      </c>
      <c r="C20" s="1">
        <v>16.154517999999999</v>
      </c>
    </row>
    <row r="21" spans="1:3" x14ac:dyDescent="0.3">
      <c r="A21" s="1" t="s">
        <v>3</v>
      </c>
      <c r="B21" t="s">
        <v>23</v>
      </c>
      <c r="C21" s="1">
        <v>16.150461</v>
      </c>
    </row>
    <row r="22" spans="1:3" x14ac:dyDescent="0.3">
      <c r="A22" s="1" t="s">
        <v>3</v>
      </c>
      <c r="B22" t="s">
        <v>24</v>
      </c>
      <c r="C22" s="1">
        <v>16.174809</v>
      </c>
    </row>
    <row r="23" spans="1:3" x14ac:dyDescent="0.3">
      <c r="A23" s="1" t="s">
        <v>3</v>
      </c>
      <c r="B23" t="s">
        <v>25</v>
      </c>
      <c r="C23" s="1">
        <v>16.239735</v>
      </c>
    </row>
    <row r="24" spans="1:3" x14ac:dyDescent="0.3">
      <c r="A24" s="1" t="s">
        <v>3</v>
      </c>
      <c r="B24" t="s">
        <v>26</v>
      </c>
      <c r="C24" s="1">
        <v>16.548136</v>
      </c>
    </row>
    <row r="25" spans="1:3" x14ac:dyDescent="0.3">
      <c r="A25" s="1" t="s">
        <v>3</v>
      </c>
      <c r="B25" t="s">
        <v>27</v>
      </c>
      <c r="C25" s="1">
        <v>16.556249999999999</v>
      </c>
    </row>
    <row r="26" spans="1:3" x14ac:dyDescent="0.3">
      <c r="A26" s="1" t="s">
        <v>3</v>
      </c>
      <c r="B26" t="s">
        <v>28</v>
      </c>
      <c r="C26" s="1">
        <v>16.953925999999999</v>
      </c>
    </row>
    <row r="27" spans="1:3" x14ac:dyDescent="0.3">
      <c r="A27" s="1" t="s">
        <v>3</v>
      </c>
      <c r="B27" t="s">
        <v>29</v>
      </c>
      <c r="C27" s="1">
        <v>16.880884000000002</v>
      </c>
    </row>
    <row r="28" spans="1:3" x14ac:dyDescent="0.3">
      <c r="A28" s="1" t="s">
        <v>3</v>
      </c>
      <c r="B28" t="s">
        <v>30</v>
      </c>
      <c r="C28" s="1">
        <v>16.718567</v>
      </c>
    </row>
    <row r="29" spans="1:3" x14ac:dyDescent="0.3">
      <c r="A29" s="1" t="s">
        <v>3</v>
      </c>
      <c r="B29" t="s">
        <v>31</v>
      </c>
      <c r="C29" s="1">
        <v>16.475092</v>
      </c>
    </row>
    <row r="30" spans="1:3" x14ac:dyDescent="0.3">
      <c r="A30" s="1" t="s">
        <v>3</v>
      </c>
      <c r="B30" t="s">
        <v>32</v>
      </c>
      <c r="C30" s="1">
        <v>16.783494999999998</v>
      </c>
    </row>
    <row r="31" spans="1:3" x14ac:dyDescent="0.3">
      <c r="A31" s="1" t="s">
        <v>3</v>
      </c>
      <c r="B31" t="s">
        <v>33</v>
      </c>
      <c r="C31" s="1">
        <v>16.742913999999999</v>
      </c>
    </row>
    <row r="32" spans="1:3" x14ac:dyDescent="0.3">
      <c r="A32" s="1" t="s">
        <v>3</v>
      </c>
      <c r="B32" t="s">
        <v>34</v>
      </c>
      <c r="C32" s="1">
        <v>17.189285000000002</v>
      </c>
    </row>
    <row r="33" spans="1:3" x14ac:dyDescent="0.3">
      <c r="A33" s="1" t="s">
        <v>3</v>
      </c>
      <c r="B33" t="s">
        <v>35</v>
      </c>
      <c r="C33" s="1">
        <v>16.880884000000002</v>
      </c>
    </row>
    <row r="34" spans="1:3" x14ac:dyDescent="0.3">
      <c r="A34" s="1" t="s">
        <v>3</v>
      </c>
      <c r="B34" t="s">
        <v>36</v>
      </c>
      <c r="C34" s="1">
        <v>17.075665000000001</v>
      </c>
    </row>
    <row r="35" spans="1:3" x14ac:dyDescent="0.3">
      <c r="A35" s="1" t="s">
        <v>3</v>
      </c>
      <c r="B35" t="s">
        <v>37</v>
      </c>
      <c r="C35" s="1">
        <v>17.367832</v>
      </c>
    </row>
    <row r="36" spans="1:3" x14ac:dyDescent="0.3">
      <c r="A36" s="1" t="s">
        <v>3</v>
      </c>
      <c r="B36" t="s">
        <v>38</v>
      </c>
      <c r="C36" s="1">
        <v>17.367832</v>
      </c>
    </row>
    <row r="37" spans="1:3" x14ac:dyDescent="0.3">
      <c r="A37" s="1" t="s">
        <v>3</v>
      </c>
      <c r="B37" t="s">
        <v>39</v>
      </c>
      <c r="C37" s="1">
        <v>17.400295</v>
      </c>
    </row>
    <row r="38" spans="1:3" x14ac:dyDescent="0.3">
      <c r="A38" s="1" t="s">
        <v>3</v>
      </c>
      <c r="B38" t="s">
        <v>40</v>
      </c>
      <c r="C38" s="1">
        <v>17.578844</v>
      </c>
    </row>
    <row r="39" spans="1:3" x14ac:dyDescent="0.3">
      <c r="A39" s="1" t="s">
        <v>3</v>
      </c>
      <c r="B39" t="s">
        <v>41</v>
      </c>
      <c r="C39" s="1">
        <v>17.489567000000001</v>
      </c>
    </row>
    <row r="40" spans="1:3" x14ac:dyDescent="0.3">
      <c r="A40" s="1" t="s">
        <v>3</v>
      </c>
      <c r="B40" t="s">
        <v>42</v>
      </c>
      <c r="C40" s="1">
        <v>17.562611</v>
      </c>
    </row>
    <row r="41" spans="1:3" x14ac:dyDescent="0.3">
      <c r="A41" s="1" t="s">
        <v>3</v>
      </c>
      <c r="B41" t="s">
        <v>43</v>
      </c>
      <c r="C41" s="1">
        <v>17.302906</v>
      </c>
    </row>
    <row r="42" spans="1:3" x14ac:dyDescent="0.3">
      <c r="A42" s="1" t="s">
        <v>3</v>
      </c>
      <c r="B42" t="s">
        <v>44</v>
      </c>
      <c r="C42" s="1">
        <v>17.481455</v>
      </c>
    </row>
    <row r="43" spans="1:3" x14ac:dyDescent="0.3">
      <c r="A43" s="1" t="s">
        <v>3</v>
      </c>
      <c r="B43" t="s">
        <v>45</v>
      </c>
      <c r="C43" s="1">
        <v>17.440874000000001</v>
      </c>
    </row>
    <row r="44" spans="1:3" x14ac:dyDescent="0.3">
      <c r="A44" s="1" t="s">
        <v>3</v>
      </c>
      <c r="B44" t="s">
        <v>46</v>
      </c>
      <c r="C44" s="1">
        <v>17.603190999999999</v>
      </c>
    </row>
    <row r="45" spans="1:3" x14ac:dyDescent="0.3">
      <c r="A45" s="1" t="s">
        <v>3</v>
      </c>
      <c r="B45" t="s">
        <v>47</v>
      </c>
      <c r="C45" s="1">
        <v>17.319136</v>
      </c>
    </row>
    <row r="46" spans="1:3" x14ac:dyDescent="0.3">
      <c r="A46" s="1" t="s">
        <v>3</v>
      </c>
      <c r="B46" t="s">
        <v>48</v>
      </c>
      <c r="C46" s="1">
        <v>16.986388999999999</v>
      </c>
    </row>
    <row r="47" spans="1:3" x14ac:dyDescent="0.3">
      <c r="A47" s="1" t="s">
        <v>3</v>
      </c>
      <c r="B47" t="s">
        <v>49</v>
      </c>
      <c r="C47" s="1">
        <v>16.848420999999998</v>
      </c>
    </row>
    <row r="48" spans="1:3" x14ac:dyDescent="0.3">
      <c r="A48" s="1" t="s">
        <v>3</v>
      </c>
      <c r="B48" t="s">
        <v>50</v>
      </c>
      <c r="C48" s="1">
        <v>16.913347000000002</v>
      </c>
    </row>
    <row r="49" spans="1:3" x14ac:dyDescent="0.3">
      <c r="A49" s="1" t="s">
        <v>3</v>
      </c>
      <c r="B49" t="s">
        <v>51</v>
      </c>
      <c r="C49" s="1">
        <v>17.01885</v>
      </c>
    </row>
    <row r="50" spans="1:3" x14ac:dyDescent="0.3">
      <c r="A50" s="1" t="s">
        <v>3</v>
      </c>
      <c r="B50" t="s">
        <v>52</v>
      </c>
      <c r="C50" s="1">
        <v>17.043199999999999</v>
      </c>
    </row>
    <row r="51" spans="1:3" x14ac:dyDescent="0.3">
      <c r="A51" s="1" t="s">
        <v>3</v>
      </c>
      <c r="B51" t="s">
        <v>53</v>
      </c>
      <c r="C51" s="1">
        <v>17.124357</v>
      </c>
    </row>
    <row r="52" spans="1:3" x14ac:dyDescent="0.3">
      <c r="A52" s="1" t="s">
        <v>3</v>
      </c>
      <c r="B52" t="s">
        <v>54</v>
      </c>
      <c r="C52" s="1">
        <v>16.978273000000002</v>
      </c>
    </row>
    <row r="53" spans="1:3" x14ac:dyDescent="0.3">
      <c r="A53" s="1" t="s">
        <v>3</v>
      </c>
      <c r="B53" t="s">
        <v>55</v>
      </c>
      <c r="C53" s="1">
        <v>17.335369</v>
      </c>
    </row>
    <row r="54" spans="1:3" x14ac:dyDescent="0.3">
      <c r="A54" s="1" t="s">
        <v>3</v>
      </c>
      <c r="B54" t="s">
        <v>56</v>
      </c>
      <c r="C54" s="1">
        <v>17.25421</v>
      </c>
    </row>
    <row r="55" spans="1:3" x14ac:dyDescent="0.3">
      <c r="A55" s="1" t="s">
        <v>3</v>
      </c>
      <c r="B55" t="s">
        <v>57</v>
      </c>
      <c r="C55" s="1">
        <v>17.611307</v>
      </c>
    </row>
    <row r="56" spans="1:3" x14ac:dyDescent="0.3">
      <c r="A56" s="1" t="s">
        <v>3</v>
      </c>
      <c r="B56" t="s">
        <v>58</v>
      </c>
      <c r="C56" s="1">
        <v>17.570726000000001</v>
      </c>
    </row>
    <row r="57" spans="1:3" x14ac:dyDescent="0.3">
      <c r="A57" s="1" t="s">
        <v>3</v>
      </c>
      <c r="B57" t="s">
        <v>59</v>
      </c>
      <c r="C57" s="1">
        <v>17.497684</v>
      </c>
    </row>
    <row r="58" spans="1:3" x14ac:dyDescent="0.3">
      <c r="A58" s="1" t="s">
        <v>3</v>
      </c>
      <c r="B58" t="s">
        <v>60</v>
      </c>
      <c r="C58" s="1">
        <v>17.651886000000001</v>
      </c>
    </row>
    <row r="59" spans="1:3" x14ac:dyDescent="0.3">
      <c r="A59" s="1" t="s">
        <v>3</v>
      </c>
      <c r="B59" t="s">
        <v>61</v>
      </c>
      <c r="C59" s="1">
        <v>17.424643</v>
      </c>
    </row>
    <row r="60" spans="1:3" x14ac:dyDescent="0.3">
      <c r="A60" s="1" t="s">
        <v>3</v>
      </c>
      <c r="B60" t="s">
        <v>62</v>
      </c>
      <c r="C60" s="1">
        <v>17.814202999999999</v>
      </c>
    </row>
    <row r="61" spans="1:3" x14ac:dyDescent="0.3">
      <c r="A61" s="1" t="s">
        <v>3</v>
      </c>
      <c r="B61" t="s">
        <v>63</v>
      </c>
      <c r="C61" s="1">
        <v>17.879128000000001</v>
      </c>
    </row>
    <row r="62" spans="1:3" x14ac:dyDescent="0.3">
      <c r="A62" s="1" t="s">
        <v>3</v>
      </c>
      <c r="B62" t="s">
        <v>64</v>
      </c>
      <c r="C62" s="1">
        <v>17.530149000000002</v>
      </c>
    </row>
    <row r="63" spans="1:3" x14ac:dyDescent="0.3">
      <c r="A63" s="1" t="s">
        <v>3</v>
      </c>
      <c r="B63" t="s">
        <v>65</v>
      </c>
      <c r="C63" s="1">
        <v>17.424643</v>
      </c>
    </row>
    <row r="64" spans="1:3" x14ac:dyDescent="0.3">
      <c r="A64" s="1" t="s">
        <v>3</v>
      </c>
      <c r="B64" t="s">
        <v>66</v>
      </c>
      <c r="C64" s="1">
        <v>17.522034000000001</v>
      </c>
    </row>
    <row r="65" spans="1:3" x14ac:dyDescent="0.3">
      <c r="A65" s="1" t="s">
        <v>3</v>
      </c>
      <c r="B65" t="s">
        <v>67</v>
      </c>
      <c r="C65" s="1">
        <v>17.570726000000001</v>
      </c>
    </row>
    <row r="66" spans="1:3" x14ac:dyDescent="0.3">
      <c r="A66" s="1" t="s">
        <v>3</v>
      </c>
      <c r="B66" t="s">
        <v>68</v>
      </c>
      <c r="C66" s="1">
        <v>17.741159</v>
      </c>
    </row>
    <row r="67" spans="1:3" x14ac:dyDescent="0.3">
      <c r="A67" s="1" t="s">
        <v>3</v>
      </c>
      <c r="B67" t="s">
        <v>69</v>
      </c>
      <c r="C67" s="1">
        <v>17.765506999999999</v>
      </c>
    </row>
    <row r="68" spans="1:3" x14ac:dyDescent="0.3">
      <c r="A68" s="1" t="s">
        <v>3</v>
      </c>
      <c r="B68" t="s">
        <v>70</v>
      </c>
      <c r="C68" s="1">
        <v>17.546379000000002</v>
      </c>
    </row>
    <row r="69" spans="1:3" x14ac:dyDescent="0.3">
      <c r="A69" s="1" t="s">
        <v>3</v>
      </c>
      <c r="B69" t="s">
        <v>71</v>
      </c>
      <c r="C69" s="1">
        <v>17.505800000000001</v>
      </c>
    </row>
    <row r="70" spans="1:3" x14ac:dyDescent="0.3">
      <c r="A70" s="1" t="s">
        <v>3</v>
      </c>
      <c r="B70" t="s">
        <v>72</v>
      </c>
      <c r="C70" s="1">
        <v>17.432758</v>
      </c>
    </row>
    <row r="71" spans="1:3" x14ac:dyDescent="0.3">
      <c r="A71" s="1" t="s">
        <v>3</v>
      </c>
      <c r="B71" t="s">
        <v>73</v>
      </c>
      <c r="C71" s="1">
        <v>17.302906</v>
      </c>
    </row>
    <row r="72" spans="1:3" x14ac:dyDescent="0.3">
      <c r="A72" s="1" t="s">
        <v>3</v>
      </c>
      <c r="B72" t="s">
        <v>74</v>
      </c>
      <c r="C72" s="1">
        <v>17.010735</v>
      </c>
    </row>
    <row r="73" spans="1:3" x14ac:dyDescent="0.3">
      <c r="A73" s="1" t="s">
        <v>3</v>
      </c>
      <c r="B73" t="s">
        <v>75</v>
      </c>
      <c r="C73" s="1">
        <v>17.189285000000002</v>
      </c>
    </row>
    <row r="74" spans="1:3" x14ac:dyDescent="0.3">
      <c r="A74" s="1" t="s">
        <v>3</v>
      </c>
      <c r="B74" t="s">
        <v>76</v>
      </c>
      <c r="C74" s="1">
        <v>17.205517</v>
      </c>
    </row>
    <row r="75" spans="1:3" x14ac:dyDescent="0.3">
      <c r="A75" s="1" t="s">
        <v>3</v>
      </c>
      <c r="B75" t="s">
        <v>77</v>
      </c>
      <c r="C75" s="1">
        <v>17.473337000000001</v>
      </c>
    </row>
    <row r="76" spans="1:3" x14ac:dyDescent="0.3">
      <c r="A76" s="1" t="s">
        <v>3</v>
      </c>
      <c r="B76" t="s">
        <v>78</v>
      </c>
      <c r="C76" s="1">
        <v>17.505800000000001</v>
      </c>
    </row>
    <row r="77" spans="1:3" x14ac:dyDescent="0.3">
      <c r="A77" s="1" t="s">
        <v>3</v>
      </c>
      <c r="B77" t="s">
        <v>79</v>
      </c>
      <c r="C77" s="1">
        <v>17.262326999999999</v>
      </c>
    </row>
    <row r="78" spans="1:3" x14ac:dyDescent="0.3">
      <c r="A78" s="1" t="s">
        <v>3</v>
      </c>
      <c r="B78" t="s">
        <v>80</v>
      </c>
      <c r="C78" s="1">
        <v>17.327252999999999</v>
      </c>
    </row>
    <row r="79" spans="1:3" x14ac:dyDescent="0.3">
      <c r="A79" s="1" t="s">
        <v>3</v>
      </c>
      <c r="B79" t="s">
        <v>81</v>
      </c>
      <c r="C79" s="1">
        <v>17.343485000000001</v>
      </c>
    </row>
    <row r="80" spans="1:3" x14ac:dyDescent="0.3">
      <c r="A80" s="1" t="s">
        <v>3</v>
      </c>
      <c r="B80" t="s">
        <v>82</v>
      </c>
      <c r="C80" s="1">
        <v>17.213630999999999</v>
      </c>
    </row>
    <row r="81" spans="1:3" x14ac:dyDescent="0.3">
      <c r="A81" s="1" t="s">
        <v>3</v>
      </c>
      <c r="B81" t="s">
        <v>83</v>
      </c>
      <c r="C81" s="1">
        <v>17.319136</v>
      </c>
    </row>
    <row r="82" spans="1:3" x14ac:dyDescent="0.3">
      <c r="A82" s="1" t="s">
        <v>3</v>
      </c>
      <c r="B82" t="s">
        <v>84</v>
      </c>
      <c r="C82" s="1">
        <v>17.359715999999999</v>
      </c>
    </row>
    <row r="83" spans="1:3" x14ac:dyDescent="0.3">
      <c r="A83" s="1" t="s">
        <v>3</v>
      </c>
      <c r="B83" t="s">
        <v>85</v>
      </c>
      <c r="C83" s="1">
        <v>17.335369</v>
      </c>
    </row>
    <row r="84" spans="1:3" x14ac:dyDescent="0.3">
      <c r="A84" s="1" t="s">
        <v>3</v>
      </c>
      <c r="B84" t="s">
        <v>86</v>
      </c>
      <c r="C84" s="1">
        <v>17.440874000000001</v>
      </c>
    </row>
    <row r="85" spans="1:3" x14ac:dyDescent="0.3">
      <c r="A85" s="1" t="s">
        <v>3</v>
      </c>
      <c r="B85" t="s">
        <v>87</v>
      </c>
      <c r="C85" s="1">
        <v>17.367832</v>
      </c>
    </row>
    <row r="86" spans="1:3" x14ac:dyDescent="0.3">
      <c r="A86" s="1" t="s">
        <v>3</v>
      </c>
      <c r="B86" t="s">
        <v>88</v>
      </c>
      <c r="C86" s="1">
        <v>17.367832</v>
      </c>
    </row>
    <row r="87" spans="1:3" x14ac:dyDescent="0.3">
      <c r="A87" s="1" t="s">
        <v>3</v>
      </c>
      <c r="B87" t="s">
        <v>89</v>
      </c>
      <c r="C87" s="1">
        <v>17.448989999999998</v>
      </c>
    </row>
    <row r="88" spans="1:3" x14ac:dyDescent="0.3">
      <c r="A88" s="1" t="s">
        <v>3</v>
      </c>
      <c r="B88" t="s">
        <v>90</v>
      </c>
      <c r="C88" s="1">
        <v>17.359715999999999</v>
      </c>
    </row>
    <row r="89" spans="1:3" x14ac:dyDescent="0.3">
      <c r="A89" s="1" t="s">
        <v>3</v>
      </c>
      <c r="B89" t="s">
        <v>91</v>
      </c>
      <c r="C89" s="1">
        <v>16.994506999999999</v>
      </c>
    </row>
    <row r="90" spans="1:3" x14ac:dyDescent="0.3">
      <c r="A90" s="1" t="s">
        <v>3</v>
      </c>
      <c r="B90" t="s">
        <v>92</v>
      </c>
      <c r="C90" s="1">
        <v>17.091894</v>
      </c>
    </row>
    <row r="91" spans="1:3" x14ac:dyDescent="0.3">
      <c r="A91" s="1" t="s">
        <v>3</v>
      </c>
      <c r="B91" t="s">
        <v>93</v>
      </c>
      <c r="C91" s="1">
        <v>17.375948000000001</v>
      </c>
    </row>
    <row r="92" spans="1:3" x14ac:dyDescent="0.3">
      <c r="A92" s="1" t="s">
        <v>3</v>
      </c>
      <c r="B92" t="s">
        <v>94</v>
      </c>
      <c r="C92" s="1">
        <v>17.335369</v>
      </c>
    </row>
    <row r="93" spans="1:3" x14ac:dyDescent="0.3">
      <c r="A93" s="1" t="s">
        <v>3</v>
      </c>
      <c r="B93" t="s">
        <v>95</v>
      </c>
      <c r="C93" s="1">
        <v>17.359715999999999</v>
      </c>
    </row>
    <row r="94" spans="1:3" x14ac:dyDescent="0.3">
      <c r="A94" s="1" t="s">
        <v>3</v>
      </c>
      <c r="B94" t="s">
        <v>96</v>
      </c>
      <c r="C94" s="1">
        <v>17.116240999999999</v>
      </c>
    </row>
    <row r="95" spans="1:3" x14ac:dyDescent="0.3">
      <c r="A95" s="1" t="s">
        <v>3</v>
      </c>
      <c r="B95" t="s">
        <v>97</v>
      </c>
      <c r="C95" s="1">
        <v>17.221746</v>
      </c>
    </row>
    <row r="96" spans="1:3" x14ac:dyDescent="0.3">
      <c r="A96" s="1" t="s">
        <v>3</v>
      </c>
      <c r="B96" t="s">
        <v>98</v>
      </c>
      <c r="C96" s="1">
        <v>17.327252999999999</v>
      </c>
    </row>
    <row r="97" spans="1:3" x14ac:dyDescent="0.3">
      <c r="A97" s="1" t="s">
        <v>3</v>
      </c>
      <c r="B97" t="s">
        <v>99</v>
      </c>
      <c r="C97" s="1">
        <v>17.335369</v>
      </c>
    </row>
    <row r="98" spans="1:3" x14ac:dyDescent="0.3">
      <c r="A98" s="1" t="s">
        <v>3</v>
      </c>
      <c r="B98" t="s">
        <v>100</v>
      </c>
      <c r="C98" s="1">
        <v>17.302906</v>
      </c>
    </row>
    <row r="99" spans="1:3" x14ac:dyDescent="0.3">
      <c r="A99" s="1" t="s">
        <v>3</v>
      </c>
      <c r="B99" t="s">
        <v>101</v>
      </c>
      <c r="C99" s="1">
        <v>17.854780000000002</v>
      </c>
    </row>
    <row r="100" spans="1:3" x14ac:dyDescent="0.3">
      <c r="A100" s="1" t="s">
        <v>3</v>
      </c>
      <c r="B100" t="s">
        <v>102</v>
      </c>
      <c r="C100" s="1">
        <v>17.919708</v>
      </c>
    </row>
    <row r="101" spans="1:3" x14ac:dyDescent="0.3">
      <c r="A101" s="1" t="s">
        <v>3</v>
      </c>
      <c r="B101" t="s">
        <v>103</v>
      </c>
      <c r="C101" s="1">
        <v>18.073906000000001</v>
      </c>
    </row>
    <row r="102" spans="1:3" x14ac:dyDescent="0.3">
      <c r="A102" s="1" t="s">
        <v>3</v>
      </c>
      <c r="B102" t="s">
        <v>104</v>
      </c>
      <c r="C102" s="1">
        <v>18.122602000000001</v>
      </c>
    </row>
    <row r="103" spans="1:3" x14ac:dyDescent="0.3">
      <c r="A103" s="1" t="s">
        <v>3</v>
      </c>
      <c r="B103" t="s">
        <v>105</v>
      </c>
      <c r="C103" s="1">
        <v>18.130718000000002</v>
      </c>
    </row>
    <row r="104" spans="1:3" x14ac:dyDescent="0.3">
      <c r="A104" s="1" t="s">
        <v>3</v>
      </c>
      <c r="B104" t="s">
        <v>106</v>
      </c>
      <c r="C104" s="1">
        <v>18.228107000000001</v>
      </c>
    </row>
    <row r="105" spans="1:3" x14ac:dyDescent="0.3">
      <c r="A105" s="1" t="s">
        <v>3</v>
      </c>
      <c r="B105" t="s">
        <v>107</v>
      </c>
      <c r="C105" s="1">
        <v>17.854780000000002</v>
      </c>
    </row>
    <row r="106" spans="1:3" x14ac:dyDescent="0.3">
      <c r="A106" s="1" t="s">
        <v>3</v>
      </c>
      <c r="B106" t="s">
        <v>108</v>
      </c>
      <c r="C106" s="1">
        <v>17.968402999999999</v>
      </c>
    </row>
    <row r="107" spans="1:3" x14ac:dyDescent="0.3">
      <c r="A107" s="1" t="s">
        <v>3</v>
      </c>
      <c r="B107" t="s">
        <v>109</v>
      </c>
      <c r="C107" s="1">
        <v>18.049561000000001</v>
      </c>
    </row>
    <row r="108" spans="1:3" x14ac:dyDescent="0.3">
      <c r="A108" s="1" t="s">
        <v>3</v>
      </c>
      <c r="B108" t="s">
        <v>110</v>
      </c>
      <c r="C108" s="1">
        <v>17.530149000000002</v>
      </c>
    </row>
    <row r="109" spans="1:3" x14ac:dyDescent="0.3">
      <c r="A109" s="1" t="s">
        <v>3</v>
      </c>
      <c r="B109" t="s">
        <v>111</v>
      </c>
      <c r="C109" s="1">
        <v>17.595075999999999</v>
      </c>
    </row>
    <row r="110" spans="1:3" x14ac:dyDescent="0.3">
      <c r="A110" s="1" t="s">
        <v>3</v>
      </c>
      <c r="B110" t="s">
        <v>112</v>
      </c>
      <c r="C110" s="1">
        <v>17.619420999999999</v>
      </c>
    </row>
    <row r="111" spans="1:3" x14ac:dyDescent="0.3">
      <c r="A111" s="1" t="s">
        <v>3</v>
      </c>
      <c r="B111" t="s">
        <v>113</v>
      </c>
      <c r="C111" s="1">
        <v>17.359715999999999</v>
      </c>
    </row>
    <row r="112" spans="1:3" x14ac:dyDescent="0.3">
      <c r="A112" s="1" t="s">
        <v>3</v>
      </c>
      <c r="B112" t="s">
        <v>114</v>
      </c>
      <c r="C112" s="1">
        <v>17.635653000000001</v>
      </c>
    </row>
    <row r="113" spans="1:3" x14ac:dyDescent="0.3">
      <c r="A113" s="1" t="s">
        <v>3</v>
      </c>
      <c r="B113" t="s">
        <v>115</v>
      </c>
      <c r="C113" s="1">
        <v>17.935938</v>
      </c>
    </row>
    <row r="114" spans="1:3" x14ac:dyDescent="0.3">
      <c r="A114" s="1" t="s">
        <v>3</v>
      </c>
      <c r="B114" t="s">
        <v>116</v>
      </c>
      <c r="C114" s="1">
        <v>18.017097</v>
      </c>
    </row>
    <row r="115" spans="1:3" x14ac:dyDescent="0.3">
      <c r="A115" s="1" t="s">
        <v>3</v>
      </c>
      <c r="B115" t="s">
        <v>117</v>
      </c>
      <c r="C115" s="1">
        <v>18.260570999999999</v>
      </c>
    </row>
    <row r="116" spans="1:3" x14ac:dyDescent="0.3">
      <c r="A116" s="1" t="s">
        <v>3</v>
      </c>
      <c r="B116" t="s">
        <v>118</v>
      </c>
      <c r="C116" s="1">
        <v>18.544623999999999</v>
      </c>
    </row>
    <row r="117" spans="1:3" x14ac:dyDescent="0.3">
      <c r="A117" s="1" t="s">
        <v>3</v>
      </c>
      <c r="B117" t="s">
        <v>119</v>
      </c>
      <c r="C117" s="1">
        <v>18.211876</v>
      </c>
    </row>
    <row r="118" spans="1:3" x14ac:dyDescent="0.3">
      <c r="A118" s="1" t="s">
        <v>3</v>
      </c>
      <c r="B118" t="s">
        <v>120</v>
      </c>
      <c r="C118" s="1">
        <v>17.879128000000001</v>
      </c>
    </row>
    <row r="119" spans="1:3" x14ac:dyDescent="0.3">
      <c r="A119" s="1" t="s">
        <v>3</v>
      </c>
      <c r="B119" t="s">
        <v>121</v>
      </c>
      <c r="C119" s="1">
        <v>17.976517000000001</v>
      </c>
    </row>
    <row r="120" spans="1:3" x14ac:dyDescent="0.3">
      <c r="A120" s="1" t="s">
        <v>3</v>
      </c>
      <c r="B120" t="s">
        <v>122</v>
      </c>
      <c r="C120" s="1">
        <v>18.090139000000001</v>
      </c>
    </row>
    <row r="121" spans="1:3" x14ac:dyDescent="0.3">
      <c r="A121" s="1" t="s">
        <v>3</v>
      </c>
      <c r="B121" t="s">
        <v>123</v>
      </c>
      <c r="C121" s="1">
        <v>18.406654</v>
      </c>
    </row>
    <row r="122" spans="1:3" x14ac:dyDescent="0.3">
      <c r="A122" s="1" t="s">
        <v>3</v>
      </c>
      <c r="B122" t="s">
        <v>124</v>
      </c>
      <c r="C122" s="1">
        <v>18.617666</v>
      </c>
    </row>
    <row r="123" spans="1:3" x14ac:dyDescent="0.3">
      <c r="A123" s="1" t="s">
        <v>3</v>
      </c>
      <c r="B123" t="s">
        <v>125</v>
      </c>
      <c r="C123" s="1">
        <v>18.763752</v>
      </c>
    </row>
    <row r="124" spans="1:3" x14ac:dyDescent="0.3">
      <c r="A124" s="1" t="s">
        <v>3</v>
      </c>
      <c r="B124" t="s">
        <v>126</v>
      </c>
      <c r="C124" s="1">
        <v>18.357962000000001</v>
      </c>
    </row>
    <row r="125" spans="1:3" x14ac:dyDescent="0.3">
      <c r="A125" s="1" t="s">
        <v>3</v>
      </c>
      <c r="B125" t="s">
        <v>127</v>
      </c>
      <c r="C125" s="1">
        <v>17.976517000000001</v>
      </c>
    </row>
    <row r="126" spans="1:3" x14ac:dyDescent="0.3">
      <c r="A126" s="1" t="s">
        <v>3</v>
      </c>
      <c r="B126" t="s">
        <v>128</v>
      </c>
      <c r="C126" s="1">
        <v>17.741159</v>
      </c>
    </row>
    <row r="127" spans="1:3" x14ac:dyDescent="0.3">
      <c r="A127" s="1" t="s">
        <v>3</v>
      </c>
      <c r="B127" t="s">
        <v>129</v>
      </c>
      <c r="C127" s="1">
        <v>17.554494999999999</v>
      </c>
    </row>
    <row r="128" spans="1:3" x14ac:dyDescent="0.3">
      <c r="A128" s="1" t="s">
        <v>3</v>
      </c>
      <c r="B128" t="s">
        <v>130</v>
      </c>
      <c r="C128" s="1">
        <v>17.797969999999999</v>
      </c>
    </row>
    <row r="129" spans="1:3" x14ac:dyDescent="0.3">
      <c r="A129" s="1" t="s">
        <v>3</v>
      </c>
      <c r="B129" t="s">
        <v>131</v>
      </c>
      <c r="C129" s="1">
        <v>17.927821999999999</v>
      </c>
    </row>
    <row r="130" spans="1:3" x14ac:dyDescent="0.3">
      <c r="A130" s="1" t="s">
        <v>3</v>
      </c>
      <c r="B130" t="s">
        <v>132</v>
      </c>
      <c r="C130" s="1">
        <v>17.846664000000001</v>
      </c>
    </row>
    <row r="131" spans="1:3" x14ac:dyDescent="0.3">
      <c r="A131" s="1" t="s">
        <v>3</v>
      </c>
      <c r="B131" t="s">
        <v>133</v>
      </c>
      <c r="C131" s="1">
        <v>17.773623000000001</v>
      </c>
    </row>
    <row r="132" spans="1:3" x14ac:dyDescent="0.3">
      <c r="A132" s="1" t="s">
        <v>3</v>
      </c>
      <c r="B132" t="s">
        <v>134</v>
      </c>
      <c r="C132" s="1">
        <v>17.854780000000002</v>
      </c>
    </row>
    <row r="133" spans="1:3" x14ac:dyDescent="0.3">
      <c r="A133" s="1" t="s">
        <v>3</v>
      </c>
      <c r="B133" t="s">
        <v>135</v>
      </c>
      <c r="C133" s="1">
        <v>17.976517000000001</v>
      </c>
    </row>
    <row r="134" spans="1:3" x14ac:dyDescent="0.3">
      <c r="A134" s="1" t="s">
        <v>3</v>
      </c>
      <c r="B134" t="s">
        <v>136</v>
      </c>
      <c r="C134" s="1">
        <v>17.806086000000001</v>
      </c>
    </row>
    <row r="135" spans="1:3" x14ac:dyDescent="0.3">
      <c r="A135" s="1" t="s">
        <v>3</v>
      </c>
      <c r="B135" t="s">
        <v>137</v>
      </c>
      <c r="C135" s="1">
        <v>17.871013999999999</v>
      </c>
    </row>
    <row r="136" spans="1:3" x14ac:dyDescent="0.3">
      <c r="A136" s="1" t="s">
        <v>3</v>
      </c>
      <c r="B136" t="s">
        <v>138</v>
      </c>
      <c r="C136" s="1">
        <v>17.992750000000001</v>
      </c>
    </row>
    <row r="137" spans="1:3" x14ac:dyDescent="0.3">
      <c r="A137" s="1" t="s">
        <v>3</v>
      </c>
      <c r="B137" t="s">
        <v>139</v>
      </c>
      <c r="C137" s="1">
        <v>17.992750000000001</v>
      </c>
    </row>
    <row r="138" spans="1:3" x14ac:dyDescent="0.3">
      <c r="A138" s="1" t="s">
        <v>3</v>
      </c>
      <c r="B138" t="s">
        <v>140</v>
      </c>
      <c r="C138" s="1">
        <v>18.017097</v>
      </c>
    </row>
    <row r="139" spans="1:3" x14ac:dyDescent="0.3">
      <c r="A139" s="1" t="s">
        <v>3</v>
      </c>
      <c r="B139" t="s">
        <v>141</v>
      </c>
      <c r="C139" s="1">
        <v>18.366076</v>
      </c>
    </row>
    <row r="140" spans="1:3" x14ac:dyDescent="0.3">
      <c r="A140" s="1" t="s">
        <v>3</v>
      </c>
      <c r="B140" t="s">
        <v>142</v>
      </c>
      <c r="C140" s="1">
        <v>17.919708</v>
      </c>
    </row>
    <row r="141" spans="1:3" x14ac:dyDescent="0.3">
      <c r="A141" s="1" t="s">
        <v>3</v>
      </c>
      <c r="B141" t="s">
        <v>143</v>
      </c>
      <c r="C141" s="1">
        <v>17.838549</v>
      </c>
    </row>
    <row r="142" spans="1:3" x14ac:dyDescent="0.3">
      <c r="A142" s="1" t="s">
        <v>3</v>
      </c>
      <c r="B142" t="s">
        <v>144</v>
      </c>
      <c r="C142" s="1">
        <v>17.059431</v>
      </c>
    </row>
    <row r="143" spans="1:3" x14ac:dyDescent="0.3">
      <c r="A143" s="1" t="s">
        <v>3</v>
      </c>
      <c r="B143" t="s">
        <v>145</v>
      </c>
      <c r="C143" s="1">
        <v>16.653641</v>
      </c>
    </row>
    <row r="144" spans="1:3" x14ac:dyDescent="0.3">
      <c r="A144" s="1" t="s">
        <v>3</v>
      </c>
      <c r="B144" t="s">
        <v>146</v>
      </c>
      <c r="C144" s="1">
        <v>16.726683000000001</v>
      </c>
    </row>
    <row r="145" spans="1:3" x14ac:dyDescent="0.3">
      <c r="A145" s="1" t="s">
        <v>3</v>
      </c>
      <c r="B145" t="s">
        <v>147</v>
      </c>
      <c r="C145" s="1">
        <v>16.272197999999999</v>
      </c>
    </row>
    <row r="146" spans="1:3" x14ac:dyDescent="0.3">
      <c r="A146" s="1" t="s">
        <v>3</v>
      </c>
      <c r="B146" t="s">
        <v>148</v>
      </c>
      <c r="C146" s="1">
        <v>15.647281</v>
      </c>
    </row>
    <row r="147" spans="1:3" x14ac:dyDescent="0.3">
      <c r="A147" s="1" t="s">
        <v>3</v>
      </c>
      <c r="B147" t="s">
        <v>149</v>
      </c>
      <c r="C147" s="1">
        <v>15.716265</v>
      </c>
    </row>
    <row r="148" spans="1:3" x14ac:dyDescent="0.3">
      <c r="A148" s="1" t="s">
        <v>3</v>
      </c>
      <c r="B148" t="s">
        <v>150</v>
      </c>
      <c r="C148" s="1">
        <v>15.927276000000001</v>
      </c>
    </row>
    <row r="149" spans="1:3" x14ac:dyDescent="0.3">
      <c r="A149" s="1" t="s">
        <v>3</v>
      </c>
      <c r="B149" t="s">
        <v>151</v>
      </c>
      <c r="C149" s="1">
        <v>16.385819999999999</v>
      </c>
    </row>
    <row r="150" spans="1:3" x14ac:dyDescent="0.3">
      <c r="A150" s="1" t="s">
        <v>3</v>
      </c>
      <c r="B150" t="s">
        <v>152</v>
      </c>
      <c r="C150" s="1">
        <v>16.126114000000001</v>
      </c>
    </row>
    <row r="151" spans="1:3" x14ac:dyDescent="0.3">
      <c r="A151" s="1" t="s">
        <v>3</v>
      </c>
      <c r="B151" t="s">
        <v>153</v>
      </c>
      <c r="C151" s="1">
        <v>15.375400000000001</v>
      </c>
    </row>
    <row r="152" spans="1:3" x14ac:dyDescent="0.3">
      <c r="A152" s="1" t="s">
        <v>3</v>
      </c>
      <c r="B152" t="s">
        <v>154</v>
      </c>
      <c r="C152" s="1">
        <v>13.833396</v>
      </c>
    </row>
    <row r="153" spans="1:3" x14ac:dyDescent="0.3">
      <c r="A153" s="1" t="s">
        <v>3</v>
      </c>
      <c r="B153" t="s">
        <v>155</v>
      </c>
      <c r="C153" s="1">
        <v>13.322101999999999</v>
      </c>
    </row>
    <row r="154" spans="1:3" x14ac:dyDescent="0.3">
      <c r="A154" s="1" t="s">
        <v>3</v>
      </c>
      <c r="B154" t="s">
        <v>156</v>
      </c>
      <c r="C154" s="1">
        <v>12.818921</v>
      </c>
    </row>
    <row r="155" spans="1:3" x14ac:dyDescent="0.3">
      <c r="A155" s="1" t="s">
        <v>3</v>
      </c>
      <c r="B155" t="s">
        <v>157</v>
      </c>
      <c r="C155" s="1">
        <v>11.143005</v>
      </c>
    </row>
    <row r="156" spans="1:3" x14ac:dyDescent="0.3">
      <c r="A156" s="1" t="s">
        <v>3</v>
      </c>
      <c r="B156" t="s">
        <v>158</v>
      </c>
      <c r="C156" s="1">
        <v>11.049675000000001</v>
      </c>
    </row>
    <row r="157" spans="1:3" x14ac:dyDescent="0.3">
      <c r="A157" s="1" t="s">
        <v>3</v>
      </c>
      <c r="B157" t="s">
        <v>159</v>
      </c>
      <c r="C157" s="1">
        <v>10.716926000000001</v>
      </c>
    </row>
    <row r="158" spans="1:3" x14ac:dyDescent="0.3">
      <c r="A158" s="1" t="s">
        <v>3</v>
      </c>
      <c r="B158" t="s">
        <v>160</v>
      </c>
      <c r="C158" s="1">
        <v>10.802142</v>
      </c>
    </row>
    <row r="159" spans="1:3" x14ac:dyDescent="0.3">
      <c r="A159" s="1" t="s">
        <v>3</v>
      </c>
      <c r="B159" t="s">
        <v>161</v>
      </c>
      <c r="C159" s="1">
        <v>11.014469</v>
      </c>
    </row>
    <row r="160" spans="1:3" x14ac:dyDescent="0.3">
      <c r="A160" s="1" t="s">
        <v>3</v>
      </c>
      <c r="B160" t="s">
        <v>162</v>
      </c>
      <c r="C160" s="1">
        <v>11.61164</v>
      </c>
    </row>
    <row r="161" spans="1:3" x14ac:dyDescent="0.3">
      <c r="A161" s="1" t="s">
        <v>3</v>
      </c>
      <c r="B161" t="s">
        <v>163</v>
      </c>
      <c r="C161" s="1">
        <v>11.474511</v>
      </c>
    </row>
    <row r="162" spans="1:3" x14ac:dyDescent="0.3">
      <c r="A162" s="1" t="s">
        <v>3</v>
      </c>
      <c r="B162" t="s">
        <v>164</v>
      </c>
      <c r="C162" s="1">
        <v>10.864070999999999</v>
      </c>
    </row>
    <row r="163" spans="1:3" x14ac:dyDescent="0.3">
      <c r="A163" s="1" t="s">
        <v>3</v>
      </c>
      <c r="B163" t="s">
        <v>165</v>
      </c>
      <c r="C163" s="1">
        <v>11.288726</v>
      </c>
    </row>
    <row r="164" spans="1:3" x14ac:dyDescent="0.3">
      <c r="A164" s="1" t="s">
        <v>3</v>
      </c>
      <c r="B164" t="s">
        <v>166</v>
      </c>
      <c r="C164" s="1">
        <v>11.642604</v>
      </c>
    </row>
    <row r="165" spans="1:3" x14ac:dyDescent="0.3">
      <c r="A165" s="1" t="s">
        <v>3</v>
      </c>
      <c r="B165" t="s">
        <v>167</v>
      </c>
      <c r="C165" s="1">
        <v>12.319397</v>
      </c>
    </row>
    <row r="166" spans="1:3" x14ac:dyDescent="0.3">
      <c r="A166" s="1" t="s">
        <v>3</v>
      </c>
      <c r="B166" t="s">
        <v>168</v>
      </c>
      <c r="C166" s="1">
        <v>11.589523</v>
      </c>
    </row>
    <row r="167" spans="1:3" x14ac:dyDescent="0.3">
      <c r="A167" s="1" t="s">
        <v>3</v>
      </c>
      <c r="B167" t="s">
        <v>169</v>
      </c>
      <c r="C167" s="1">
        <v>11.598369</v>
      </c>
    </row>
    <row r="168" spans="1:3" x14ac:dyDescent="0.3">
      <c r="A168" s="1" t="s">
        <v>3</v>
      </c>
      <c r="B168" t="s">
        <v>170</v>
      </c>
      <c r="C168" s="1">
        <v>11.832814000000001</v>
      </c>
    </row>
    <row r="169" spans="1:3" x14ac:dyDescent="0.3">
      <c r="A169" s="1" t="s">
        <v>3</v>
      </c>
      <c r="B169" t="s">
        <v>171</v>
      </c>
      <c r="C169" s="1">
        <v>11.456818</v>
      </c>
    </row>
    <row r="170" spans="1:3" x14ac:dyDescent="0.3">
      <c r="A170" s="1" t="s">
        <v>3</v>
      </c>
      <c r="B170" t="s">
        <v>172</v>
      </c>
      <c r="C170" s="1">
        <v>12.129187999999999</v>
      </c>
    </row>
    <row r="171" spans="1:3" x14ac:dyDescent="0.3">
      <c r="A171" s="1" t="s">
        <v>3</v>
      </c>
      <c r="B171" t="s">
        <v>173</v>
      </c>
      <c r="C171" s="1">
        <v>12.279586</v>
      </c>
    </row>
    <row r="172" spans="1:3" x14ac:dyDescent="0.3">
      <c r="A172" s="1" t="s">
        <v>3</v>
      </c>
      <c r="B172" t="s">
        <v>174</v>
      </c>
      <c r="C172" s="1">
        <v>12.748474</v>
      </c>
    </row>
    <row r="173" spans="1:3" x14ac:dyDescent="0.3">
      <c r="A173" s="1" t="s">
        <v>3</v>
      </c>
      <c r="B173" t="s">
        <v>175</v>
      </c>
      <c r="C173" s="1">
        <v>13.186399</v>
      </c>
    </row>
    <row r="174" spans="1:3" x14ac:dyDescent="0.3">
      <c r="A174" s="1" t="s">
        <v>3</v>
      </c>
      <c r="B174" t="s">
        <v>176</v>
      </c>
      <c r="C174" s="1">
        <v>13.128894000000001</v>
      </c>
    </row>
    <row r="175" spans="1:3" x14ac:dyDescent="0.3">
      <c r="A175" s="1" t="s">
        <v>3</v>
      </c>
      <c r="B175" t="s">
        <v>177</v>
      </c>
      <c r="C175" s="1">
        <v>13.721641</v>
      </c>
    </row>
    <row r="176" spans="1:3" x14ac:dyDescent="0.3">
      <c r="A176" s="1" t="s">
        <v>3</v>
      </c>
      <c r="B176" t="s">
        <v>178</v>
      </c>
      <c r="C176" s="1">
        <v>13.836651</v>
      </c>
    </row>
    <row r="177" spans="1:3" x14ac:dyDescent="0.3">
      <c r="A177" s="1" t="s">
        <v>3</v>
      </c>
      <c r="B177" t="s">
        <v>179</v>
      </c>
      <c r="C177" s="1">
        <v>13.09793</v>
      </c>
    </row>
    <row r="178" spans="1:3" x14ac:dyDescent="0.3">
      <c r="A178" s="1" t="s">
        <v>3</v>
      </c>
      <c r="B178" t="s">
        <v>180</v>
      </c>
      <c r="C178" s="1">
        <v>13.469502</v>
      </c>
    </row>
    <row r="179" spans="1:3" x14ac:dyDescent="0.3">
      <c r="A179" s="1" t="s">
        <v>3</v>
      </c>
      <c r="B179" t="s">
        <v>181</v>
      </c>
      <c r="C179" s="1">
        <v>13.995896</v>
      </c>
    </row>
    <row r="180" spans="1:3" x14ac:dyDescent="0.3">
      <c r="A180" s="1" t="s">
        <v>3</v>
      </c>
      <c r="B180" t="s">
        <v>182</v>
      </c>
      <c r="C180" s="1">
        <v>13.827805</v>
      </c>
    </row>
    <row r="181" spans="1:3" x14ac:dyDescent="0.3">
      <c r="A181" s="1" t="s">
        <v>3</v>
      </c>
      <c r="B181" t="s">
        <v>183</v>
      </c>
      <c r="C181" s="1">
        <v>13.120047</v>
      </c>
    </row>
    <row r="182" spans="1:3" x14ac:dyDescent="0.3">
      <c r="A182" s="1" t="s">
        <v>3</v>
      </c>
      <c r="B182" t="s">
        <v>184</v>
      </c>
      <c r="C182" s="1">
        <v>13.491619</v>
      </c>
    </row>
    <row r="183" spans="1:3" x14ac:dyDescent="0.3">
      <c r="A183" s="1" t="s">
        <v>3</v>
      </c>
      <c r="B183" t="s">
        <v>185</v>
      </c>
      <c r="C183" s="1">
        <v>13.903003999999999</v>
      </c>
    </row>
    <row r="184" spans="1:3" x14ac:dyDescent="0.3">
      <c r="A184" s="1" t="s">
        <v>3</v>
      </c>
      <c r="B184" t="s">
        <v>186</v>
      </c>
      <c r="C184" s="1">
        <v>14.136067000000001</v>
      </c>
    </row>
    <row r="185" spans="1:3" x14ac:dyDescent="0.3">
      <c r="A185" s="1" t="s">
        <v>3</v>
      </c>
      <c r="B185" t="s">
        <v>187</v>
      </c>
      <c r="C185" s="1">
        <v>14.231196000000001</v>
      </c>
    </row>
    <row r="186" spans="1:3" x14ac:dyDescent="0.3">
      <c r="A186" s="1" t="s">
        <v>3</v>
      </c>
      <c r="B186" t="s">
        <v>188</v>
      </c>
      <c r="C186" s="1">
        <v>14.392913999999999</v>
      </c>
    </row>
    <row r="187" spans="1:3" x14ac:dyDescent="0.3">
      <c r="A187" s="1" t="s">
        <v>3</v>
      </c>
      <c r="B187" t="s">
        <v>189</v>
      </c>
      <c r="C187" s="1">
        <v>14.697324999999999</v>
      </c>
    </row>
    <row r="188" spans="1:3" x14ac:dyDescent="0.3">
      <c r="A188" s="1" t="s">
        <v>3</v>
      </c>
      <c r="B188" t="s">
        <v>190</v>
      </c>
      <c r="C188" s="1">
        <v>14.41194</v>
      </c>
    </row>
    <row r="189" spans="1:3" x14ac:dyDescent="0.3">
      <c r="A189" s="1" t="s">
        <v>3</v>
      </c>
      <c r="B189" t="s">
        <v>191</v>
      </c>
      <c r="C189" s="1">
        <v>13.84117</v>
      </c>
    </row>
    <row r="190" spans="1:3" x14ac:dyDescent="0.3">
      <c r="A190" s="1" t="s">
        <v>3</v>
      </c>
      <c r="B190" t="s">
        <v>192</v>
      </c>
      <c r="C190" s="1">
        <v>14.121798999999999</v>
      </c>
    </row>
    <row r="191" spans="1:3" x14ac:dyDescent="0.3">
      <c r="A191" s="1" t="s">
        <v>3</v>
      </c>
      <c r="B191" t="s">
        <v>193</v>
      </c>
      <c r="C191" s="1">
        <v>14.093260000000001</v>
      </c>
    </row>
    <row r="192" spans="1:3" x14ac:dyDescent="0.3">
      <c r="A192" s="1" t="s">
        <v>3</v>
      </c>
      <c r="B192" t="s">
        <v>194</v>
      </c>
      <c r="C192" s="1">
        <v>14.354863</v>
      </c>
    </row>
    <row r="193" spans="1:3" x14ac:dyDescent="0.3">
      <c r="A193" s="1" t="s">
        <v>3</v>
      </c>
      <c r="B193" t="s">
        <v>195</v>
      </c>
      <c r="C193" s="1">
        <v>14.830503999999999</v>
      </c>
    </row>
    <row r="194" spans="1:3" x14ac:dyDescent="0.3">
      <c r="A194" s="1" t="s">
        <v>3</v>
      </c>
      <c r="B194" t="s">
        <v>196</v>
      </c>
      <c r="C194" s="1">
        <v>14.659273000000001</v>
      </c>
    </row>
    <row r="195" spans="1:3" x14ac:dyDescent="0.3">
      <c r="A195" s="1" t="s">
        <v>3</v>
      </c>
      <c r="B195" t="s">
        <v>197</v>
      </c>
      <c r="C195" s="1">
        <v>15.306146</v>
      </c>
    </row>
    <row r="196" spans="1:3" x14ac:dyDescent="0.3">
      <c r="A196" s="1" t="s">
        <v>3</v>
      </c>
      <c r="B196" t="s">
        <v>198</v>
      </c>
      <c r="C196" s="1">
        <v>14.754402000000001</v>
      </c>
    </row>
    <row r="197" spans="1:3" x14ac:dyDescent="0.3">
      <c r="A197" s="1" t="s">
        <v>3</v>
      </c>
      <c r="B197" t="s">
        <v>199</v>
      </c>
      <c r="C197" s="1">
        <v>14.511825</v>
      </c>
    </row>
    <row r="198" spans="1:3" x14ac:dyDescent="0.3">
      <c r="A198" s="1" t="s">
        <v>3</v>
      </c>
      <c r="B198" t="s">
        <v>200</v>
      </c>
      <c r="C198" s="1">
        <v>14.193144999999999</v>
      </c>
    </row>
    <row r="199" spans="1:3" x14ac:dyDescent="0.3">
      <c r="A199" s="1" t="s">
        <v>3</v>
      </c>
      <c r="B199" t="s">
        <v>201</v>
      </c>
      <c r="C199" s="1">
        <v>15.082594</v>
      </c>
    </row>
    <row r="200" spans="1:3" x14ac:dyDescent="0.3">
      <c r="A200" s="1" t="s">
        <v>3</v>
      </c>
      <c r="B200" t="s">
        <v>202</v>
      </c>
      <c r="C200" s="1">
        <v>14.79721</v>
      </c>
    </row>
    <row r="201" spans="1:3" x14ac:dyDescent="0.3">
      <c r="A201" s="1" t="s">
        <v>3</v>
      </c>
      <c r="B201" t="s">
        <v>203</v>
      </c>
      <c r="C201" s="1">
        <v>14.930388000000001</v>
      </c>
    </row>
    <row r="202" spans="1:3" x14ac:dyDescent="0.3">
      <c r="A202" s="1" t="s">
        <v>3</v>
      </c>
      <c r="B202" t="s">
        <v>204</v>
      </c>
      <c r="C202" s="1">
        <v>15.016005</v>
      </c>
    </row>
    <row r="203" spans="1:3" x14ac:dyDescent="0.3">
      <c r="A203" s="1" t="s">
        <v>3</v>
      </c>
      <c r="B203" t="s">
        <v>205</v>
      </c>
      <c r="C203" s="1">
        <v>15.220530999999999</v>
      </c>
    </row>
    <row r="204" spans="1:3" x14ac:dyDescent="0.3">
      <c r="A204" s="1" t="s">
        <v>3</v>
      </c>
      <c r="B204" t="s">
        <v>206</v>
      </c>
      <c r="C204" s="1">
        <v>15.710440999999999</v>
      </c>
    </row>
    <row r="205" spans="1:3" x14ac:dyDescent="0.3">
      <c r="A205" s="1" t="s">
        <v>3</v>
      </c>
      <c r="B205" t="s">
        <v>207</v>
      </c>
      <c r="C205" s="1">
        <v>16.076685000000001</v>
      </c>
    </row>
    <row r="206" spans="1:3" x14ac:dyDescent="0.3">
      <c r="A206" s="1" t="s">
        <v>3</v>
      </c>
      <c r="B206" t="s">
        <v>208</v>
      </c>
      <c r="C206" s="1">
        <v>16.324017999999999</v>
      </c>
    </row>
    <row r="207" spans="1:3" x14ac:dyDescent="0.3">
      <c r="A207" s="1" t="s">
        <v>3</v>
      </c>
      <c r="B207" t="s">
        <v>209</v>
      </c>
      <c r="C207" s="1">
        <v>16.381095999999999</v>
      </c>
    </row>
    <row r="208" spans="1:3" x14ac:dyDescent="0.3">
      <c r="A208" s="1" t="s">
        <v>3</v>
      </c>
      <c r="B208" t="s">
        <v>210</v>
      </c>
      <c r="C208" s="1">
        <v>16.385853000000001</v>
      </c>
    </row>
    <row r="209" spans="1:3" x14ac:dyDescent="0.3">
      <c r="A209" s="1" t="s">
        <v>3</v>
      </c>
      <c r="B209" t="s">
        <v>211</v>
      </c>
      <c r="C209" s="1">
        <v>16.699776</v>
      </c>
    </row>
    <row r="210" spans="1:3" x14ac:dyDescent="0.3">
      <c r="A210" s="1" t="s">
        <v>3</v>
      </c>
      <c r="B210" t="s">
        <v>212</v>
      </c>
      <c r="C210" s="1">
        <v>17.156390999999999</v>
      </c>
    </row>
    <row r="211" spans="1:3" x14ac:dyDescent="0.3">
      <c r="A211" s="1" t="s">
        <v>3</v>
      </c>
      <c r="B211" t="s">
        <v>213</v>
      </c>
      <c r="C211" s="1">
        <v>16.828199000000001</v>
      </c>
    </row>
    <row r="212" spans="1:3" x14ac:dyDescent="0.3">
      <c r="A212" s="1" t="s">
        <v>3</v>
      </c>
      <c r="B212" t="s">
        <v>214</v>
      </c>
      <c r="C212" s="1">
        <v>16.918571</v>
      </c>
    </row>
    <row r="213" spans="1:3" x14ac:dyDescent="0.3">
      <c r="A213" s="1" t="s">
        <v>3</v>
      </c>
      <c r="B213" t="s">
        <v>215</v>
      </c>
      <c r="C213" s="1">
        <v>16.871008</v>
      </c>
    </row>
    <row r="214" spans="1:3" x14ac:dyDescent="0.3">
      <c r="A214" s="1" t="s">
        <v>3</v>
      </c>
      <c r="B214" t="s">
        <v>216</v>
      </c>
      <c r="C214" s="1">
        <v>16.618915999999999</v>
      </c>
    </row>
    <row r="215" spans="1:3" x14ac:dyDescent="0.3">
      <c r="A215" s="1" t="s">
        <v>3</v>
      </c>
      <c r="B215" t="s">
        <v>217</v>
      </c>
      <c r="C215" s="1">
        <v>16.423902999999999</v>
      </c>
    </row>
    <row r="216" spans="1:3" x14ac:dyDescent="0.3">
      <c r="A216" s="1" t="s">
        <v>3</v>
      </c>
      <c r="B216" t="s">
        <v>218</v>
      </c>
      <c r="C216" s="1">
        <v>15.577261999999999</v>
      </c>
    </row>
    <row r="217" spans="1:3" x14ac:dyDescent="0.3">
      <c r="A217" s="1" t="s">
        <v>3</v>
      </c>
      <c r="B217" t="s">
        <v>219</v>
      </c>
      <c r="C217" s="1">
        <v>15.886430000000001</v>
      </c>
    </row>
    <row r="218" spans="1:3" x14ac:dyDescent="0.3">
      <c r="A218" s="1" t="s">
        <v>3</v>
      </c>
      <c r="B218" t="s">
        <v>220</v>
      </c>
      <c r="C218" s="1">
        <v>15.834108000000001</v>
      </c>
    </row>
    <row r="219" spans="1:3" x14ac:dyDescent="0.3">
      <c r="A219" s="1" t="s">
        <v>3</v>
      </c>
      <c r="B219" t="s">
        <v>221</v>
      </c>
      <c r="C219" s="1">
        <v>16.514277</v>
      </c>
    </row>
    <row r="220" spans="1:3" x14ac:dyDescent="0.3">
      <c r="A220" s="1" t="s">
        <v>3</v>
      </c>
      <c r="B220" t="s">
        <v>222</v>
      </c>
      <c r="C220" s="1">
        <v>16.571352000000001</v>
      </c>
    </row>
    <row r="221" spans="1:3" x14ac:dyDescent="0.3">
      <c r="A221" s="1" t="s">
        <v>3</v>
      </c>
      <c r="B221" t="s">
        <v>223</v>
      </c>
      <c r="C221" s="1">
        <v>16.794905</v>
      </c>
    </row>
    <row r="222" spans="1:3" x14ac:dyDescent="0.3">
      <c r="A222" s="1" t="s">
        <v>3</v>
      </c>
      <c r="B222" t="s">
        <v>224</v>
      </c>
      <c r="C222" s="1">
        <v>16.105225000000001</v>
      </c>
    </row>
    <row r="223" spans="1:3" x14ac:dyDescent="0.3">
      <c r="A223" s="1" t="s">
        <v>3</v>
      </c>
      <c r="B223" t="s">
        <v>225</v>
      </c>
      <c r="C223" s="1">
        <v>16.076685000000001</v>
      </c>
    </row>
    <row r="224" spans="1:3" x14ac:dyDescent="0.3">
      <c r="A224" s="1" t="s">
        <v>3</v>
      </c>
      <c r="B224" t="s">
        <v>226</v>
      </c>
      <c r="C224" s="1">
        <v>15.758006</v>
      </c>
    </row>
    <row r="225" spans="1:3" x14ac:dyDescent="0.3">
      <c r="A225" s="1" t="s">
        <v>3</v>
      </c>
      <c r="B225" t="s">
        <v>227</v>
      </c>
      <c r="C225" s="1">
        <v>15.938748</v>
      </c>
    </row>
    <row r="226" spans="1:3" x14ac:dyDescent="0.3">
      <c r="A226" s="1" t="s">
        <v>3</v>
      </c>
      <c r="B226" t="s">
        <v>228</v>
      </c>
      <c r="C226" s="1">
        <v>15.900698</v>
      </c>
    </row>
    <row r="227" spans="1:3" x14ac:dyDescent="0.3">
      <c r="A227" s="1" t="s">
        <v>3</v>
      </c>
      <c r="B227" t="s">
        <v>229</v>
      </c>
      <c r="C227" s="1">
        <v>16.12425</v>
      </c>
    </row>
    <row r="228" spans="1:3" x14ac:dyDescent="0.3">
      <c r="A228" s="1" t="s">
        <v>3</v>
      </c>
      <c r="B228" t="s">
        <v>230</v>
      </c>
      <c r="C228" s="1">
        <v>16.081441999999999</v>
      </c>
    </row>
    <row r="229" spans="1:3" x14ac:dyDescent="0.3">
      <c r="A229" s="1" t="s">
        <v>3</v>
      </c>
      <c r="B229" t="s">
        <v>231</v>
      </c>
      <c r="C229" s="1">
        <v>16.324017999999999</v>
      </c>
    </row>
    <row r="230" spans="1:3" x14ac:dyDescent="0.3">
      <c r="A230" s="1" t="s">
        <v>3</v>
      </c>
      <c r="B230" t="s">
        <v>232</v>
      </c>
      <c r="C230" s="1">
        <v>16.457197000000001</v>
      </c>
    </row>
    <row r="231" spans="1:3" x14ac:dyDescent="0.3">
      <c r="A231" s="1" t="s">
        <v>3</v>
      </c>
      <c r="B231" t="s">
        <v>233</v>
      </c>
      <c r="C231" s="1">
        <v>16.552326000000001</v>
      </c>
    </row>
    <row r="232" spans="1:3" x14ac:dyDescent="0.3">
      <c r="A232" s="1" t="s">
        <v>3</v>
      </c>
      <c r="B232" t="s">
        <v>234</v>
      </c>
      <c r="C232" s="1">
        <v>16.65221</v>
      </c>
    </row>
    <row r="233" spans="1:3" x14ac:dyDescent="0.3">
      <c r="A233" s="1" t="s">
        <v>3</v>
      </c>
      <c r="B233" t="s">
        <v>235</v>
      </c>
      <c r="C233" s="1">
        <v>16.409634</v>
      </c>
    </row>
    <row r="234" spans="1:3" x14ac:dyDescent="0.3">
      <c r="A234" s="1" t="s">
        <v>3</v>
      </c>
      <c r="B234" t="s">
        <v>236</v>
      </c>
      <c r="C234" s="1">
        <v>16.295479</v>
      </c>
    </row>
    <row r="235" spans="1:3" x14ac:dyDescent="0.3">
      <c r="A235" s="1" t="s">
        <v>3</v>
      </c>
      <c r="B235" t="s">
        <v>237</v>
      </c>
      <c r="C235" s="1">
        <v>16.224133999999999</v>
      </c>
    </row>
    <row r="236" spans="1:3" x14ac:dyDescent="0.3">
      <c r="A236" s="1" t="s">
        <v>3</v>
      </c>
      <c r="B236" t="s">
        <v>238</v>
      </c>
      <c r="C236" s="1">
        <v>16.495251</v>
      </c>
    </row>
    <row r="237" spans="1:3" x14ac:dyDescent="0.3">
      <c r="A237" s="1" t="s">
        <v>3</v>
      </c>
      <c r="B237" t="s">
        <v>239</v>
      </c>
      <c r="C237" s="1">
        <v>16.794905</v>
      </c>
    </row>
    <row r="238" spans="1:3" x14ac:dyDescent="0.3">
      <c r="A238" s="1" t="s">
        <v>3</v>
      </c>
      <c r="B238" t="s">
        <v>240</v>
      </c>
      <c r="C238" s="1">
        <v>16.851982</v>
      </c>
    </row>
    <row r="239" spans="1:3" x14ac:dyDescent="0.3">
      <c r="A239" s="1" t="s">
        <v>3</v>
      </c>
      <c r="B239" t="s">
        <v>241</v>
      </c>
      <c r="C239" s="1">
        <v>16.985161000000002</v>
      </c>
    </row>
    <row r="240" spans="1:3" x14ac:dyDescent="0.3">
      <c r="A240" s="1" t="s">
        <v>3</v>
      </c>
      <c r="B240" t="s">
        <v>242</v>
      </c>
      <c r="C240" s="1">
        <v>17.104071000000001</v>
      </c>
    </row>
    <row r="241" spans="1:3" x14ac:dyDescent="0.3">
      <c r="A241" s="1" t="s">
        <v>3</v>
      </c>
      <c r="B241" t="s">
        <v>243</v>
      </c>
      <c r="C241" s="1">
        <v>17.042238000000001</v>
      </c>
    </row>
    <row r="242" spans="1:3" x14ac:dyDescent="0.3">
      <c r="A242" s="1" t="s">
        <v>3</v>
      </c>
      <c r="B242" t="s">
        <v>244</v>
      </c>
      <c r="C242" s="1">
        <v>16.966135000000001</v>
      </c>
    </row>
    <row r="243" spans="1:3" x14ac:dyDescent="0.3">
      <c r="A243" s="1" t="s">
        <v>3</v>
      </c>
      <c r="B243" t="s">
        <v>245</v>
      </c>
      <c r="C243" s="1">
        <v>17.13261</v>
      </c>
    </row>
    <row r="244" spans="1:3" x14ac:dyDescent="0.3">
      <c r="A244" s="1" t="s">
        <v>3</v>
      </c>
      <c r="B244" t="s">
        <v>246</v>
      </c>
      <c r="C244" s="1">
        <v>17.332377999999999</v>
      </c>
    </row>
    <row r="245" spans="1:3" x14ac:dyDescent="0.3">
      <c r="A245" s="1" t="s">
        <v>3</v>
      </c>
      <c r="B245" t="s">
        <v>247</v>
      </c>
      <c r="C245" s="1">
        <v>17.465558999999999</v>
      </c>
    </row>
    <row r="246" spans="1:3" x14ac:dyDescent="0.3">
      <c r="A246" s="1" t="s">
        <v>3</v>
      </c>
      <c r="B246" t="s">
        <v>248</v>
      </c>
      <c r="C246" s="1">
        <v>17.151636</v>
      </c>
    </row>
    <row r="247" spans="1:3" x14ac:dyDescent="0.3">
      <c r="A247" s="1" t="s">
        <v>3</v>
      </c>
      <c r="B247" t="s">
        <v>249</v>
      </c>
      <c r="C247" s="1">
        <v>16.875762999999999</v>
      </c>
    </row>
    <row r="248" spans="1:3" x14ac:dyDescent="0.3">
      <c r="A248" s="1" t="s">
        <v>3</v>
      </c>
      <c r="B248" t="s">
        <v>250</v>
      </c>
      <c r="C248" s="1">
        <v>16.704533000000001</v>
      </c>
    </row>
    <row r="249" spans="1:3" x14ac:dyDescent="0.3">
      <c r="A249" s="1" t="s">
        <v>3</v>
      </c>
      <c r="B249" t="s">
        <v>251</v>
      </c>
      <c r="C249" s="1">
        <v>16.832954000000001</v>
      </c>
    </row>
    <row r="250" spans="1:3" x14ac:dyDescent="0.3">
      <c r="A250" s="1" t="s">
        <v>3</v>
      </c>
      <c r="B250" t="s">
        <v>252</v>
      </c>
      <c r="C250" s="1">
        <v>16.133762000000001</v>
      </c>
    </row>
    <row r="251" spans="1:3" x14ac:dyDescent="0.3">
      <c r="A251" s="1" t="s">
        <v>3</v>
      </c>
      <c r="B251" t="s">
        <v>253</v>
      </c>
      <c r="C251" s="1">
        <v>16.381095999999999</v>
      </c>
    </row>
    <row r="252" spans="1:3" x14ac:dyDescent="0.3">
      <c r="A252" s="1" t="s">
        <v>3</v>
      </c>
      <c r="B252" t="s">
        <v>254</v>
      </c>
      <c r="C252" s="1">
        <v>16.723558000000001</v>
      </c>
    </row>
    <row r="253" spans="1:3" x14ac:dyDescent="0.3">
      <c r="A253" s="1" t="s">
        <v>3</v>
      </c>
      <c r="B253" t="s">
        <v>255</v>
      </c>
      <c r="C253" s="1">
        <v>16.709289999999999</v>
      </c>
    </row>
    <row r="254" spans="1:3" x14ac:dyDescent="0.3">
      <c r="A254" s="1" t="s">
        <v>3</v>
      </c>
      <c r="B254" t="s">
        <v>256</v>
      </c>
      <c r="C254" s="1">
        <v>16.642700000000001</v>
      </c>
    </row>
    <row r="255" spans="1:3" x14ac:dyDescent="0.3">
      <c r="A255" s="1" t="s">
        <v>3</v>
      </c>
      <c r="B255" t="s">
        <v>257</v>
      </c>
      <c r="C255" s="1">
        <v>16.552326000000001</v>
      </c>
    </row>
    <row r="256" spans="1:3" x14ac:dyDescent="0.3">
      <c r="A256" s="1" t="s">
        <v>3</v>
      </c>
      <c r="B256" t="s">
        <v>258</v>
      </c>
      <c r="C256" s="1">
        <v>16.904302999999999</v>
      </c>
    </row>
    <row r="257" spans="1:3" x14ac:dyDescent="0.3">
      <c r="A257" s="1" t="s">
        <v>3</v>
      </c>
      <c r="B257" t="s">
        <v>259</v>
      </c>
      <c r="C257" s="1">
        <v>16.951865999999999</v>
      </c>
    </row>
    <row r="258" spans="1:3" x14ac:dyDescent="0.3">
      <c r="A258" s="1" t="s">
        <v>3</v>
      </c>
      <c r="B258" t="s">
        <v>260</v>
      </c>
      <c r="C258" s="1">
        <v>16.871008</v>
      </c>
    </row>
    <row r="259" spans="1:3" x14ac:dyDescent="0.3">
      <c r="A259" s="1" t="s">
        <v>3</v>
      </c>
      <c r="B259" t="s">
        <v>261</v>
      </c>
      <c r="C259" s="1">
        <v>17.213469</v>
      </c>
    </row>
    <row r="260" spans="1:3" x14ac:dyDescent="0.3">
      <c r="A260" s="1" t="s">
        <v>3</v>
      </c>
      <c r="B260" t="s">
        <v>262</v>
      </c>
      <c r="C260" s="1">
        <v>17.089801999999999</v>
      </c>
    </row>
    <row r="261" spans="1:3" x14ac:dyDescent="0.3">
      <c r="A261" s="1" t="s">
        <v>3</v>
      </c>
      <c r="B261" t="s">
        <v>263</v>
      </c>
      <c r="C261" s="1">
        <v>16.818687000000001</v>
      </c>
    </row>
    <row r="262" spans="1:3" x14ac:dyDescent="0.3">
      <c r="A262" s="1" t="s">
        <v>3</v>
      </c>
      <c r="B262" t="s">
        <v>264</v>
      </c>
      <c r="C262" s="1">
        <v>16.937597</v>
      </c>
    </row>
    <row r="263" spans="1:3" x14ac:dyDescent="0.3">
      <c r="A263" s="1" t="s">
        <v>3</v>
      </c>
      <c r="B263" t="s">
        <v>265</v>
      </c>
      <c r="C263" s="1">
        <v>17.023212000000001</v>
      </c>
    </row>
    <row r="264" spans="1:3" x14ac:dyDescent="0.3">
      <c r="A264" s="1" t="s">
        <v>3</v>
      </c>
      <c r="B264" t="s">
        <v>266</v>
      </c>
      <c r="C264" s="1">
        <v>16.190840000000001</v>
      </c>
    </row>
    <row r="265" spans="1:3" x14ac:dyDescent="0.3">
      <c r="A265" s="1" t="s">
        <v>3</v>
      </c>
      <c r="B265" t="s">
        <v>267</v>
      </c>
      <c r="C265" s="1">
        <v>15.929237000000001</v>
      </c>
    </row>
    <row r="266" spans="1:3" x14ac:dyDescent="0.3">
      <c r="A266" s="1" t="s">
        <v>3</v>
      </c>
      <c r="B266" t="s">
        <v>268</v>
      </c>
      <c r="C266" s="1">
        <v>15.819839</v>
      </c>
    </row>
    <row r="267" spans="1:3" x14ac:dyDescent="0.3">
      <c r="A267" s="1" t="s">
        <v>3</v>
      </c>
      <c r="B267" t="s">
        <v>269</v>
      </c>
      <c r="C267" s="1">
        <v>16.290724000000001</v>
      </c>
    </row>
    <row r="268" spans="1:3" x14ac:dyDescent="0.3">
      <c r="A268" s="1" t="s">
        <v>3</v>
      </c>
      <c r="B268" t="s">
        <v>270</v>
      </c>
      <c r="C268" s="1">
        <v>16.300238</v>
      </c>
    </row>
    <row r="269" spans="1:3" x14ac:dyDescent="0.3">
      <c r="A269" s="1" t="s">
        <v>3</v>
      </c>
      <c r="B269" t="s">
        <v>271</v>
      </c>
      <c r="C269" s="1">
        <v>16.438172999999999</v>
      </c>
    </row>
    <row r="270" spans="1:3" x14ac:dyDescent="0.3">
      <c r="A270" s="1" t="s">
        <v>3</v>
      </c>
      <c r="B270" t="s">
        <v>272</v>
      </c>
      <c r="C270" s="1">
        <v>16.228888999999999</v>
      </c>
    </row>
    <row r="271" spans="1:3" x14ac:dyDescent="0.3">
      <c r="A271" s="1" t="s">
        <v>3</v>
      </c>
      <c r="B271" t="s">
        <v>273</v>
      </c>
      <c r="C271" s="1">
        <v>16.580866</v>
      </c>
    </row>
    <row r="272" spans="1:3" x14ac:dyDescent="0.3">
      <c r="A272" s="1" t="s">
        <v>3</v>
      </c>
      <c r="B272" t="s">
        <v>274</v>
      </c>
      <c r="C272" s="1">
        <v>16.851982</v>
      </c>
    </row>
    <row r="273" spans="1:3" x14ac:dyDescent="0.3">
      <c r="A273" s="1" t="s">
        <v>3</v>
      </c>
      <c r="B273" t="s">
        <v>275</v>
      </c>
      <c r="C273" s="1">
        <v>16.576108999999999</v>
      </c>
    </row>
    <row r="274" spans="1:3" x14ac:dyDescent="0.3">
      <c r="A274" s="1" t="s">
        <v>3</v>
      </c>
      <c r="B274" t="s">
        <v>276</v>
      </c>
      <c r="C274" s="1">
        <v>16.647455000000001</v>
      </c>
    </row>
    <row r="275" spans="1:3" x14ac:dyDescent="0.3">
      <c r="A275" s="1" t="s">
        <v>3</v>
      </c>
      <c r="B275" t="s">
        <v>277</v>
      </c>
      <c r="C275" s="1">
        <v>16.404879000000001</v>
      </c>
    </row>
    <row r="276" spans="1:3" x14ac:dyDescent="0.3">
      <c r="A276" s="1" t="s">
        <v>3</v>
      </c>
      <c r="B276" t="s">
        <v>278</v>
      </c>
      <c r="C276" s="1">
        <v>16.10998</v>
      </c>
    </row>
    <row r="277" spans="1:3" x14ac:dyDescent="0.3">
      <c r="A277" s="1" t="s">
        <v>3</v>
      </c>
      <c r="B277" t="s">
        <v>279</v>
      </c>
      <c r="C277" s="1">
        <v>16.514277</v>
      </c>
    </row>
    <row r="278" spans="1:3" x14ac:dyDescent="0.3">
      <c r="A278" s="1" t="s">
        <v>3</v>
      </c>
      <c r="B278" t="s">
        <v>280</v>
      </c>
      <c r="C278" s="1">
        <v>16.105225000000001</v>
      </c>
    </row>
    <row r="279" spans="1:3" x14ac:dyDescent="0.3">
      <c r="A279" s="1" t="s">
        <v>3</v>
      </c>
      <c r="B279" t="s">
        <v>281</v>
      </c>
      <c r="C279" s="1">
        <v>16.376339000000002</v>
      </c>
    </row>
    <row r="280" spans="1:3" x14ac:dyDescent="0.3">
      <c r="A280" s="1" t="s">
        <v>3</v>
      </c>
      <c r="B280" t="s">
        <v>282</v>
      </c>
      <c r="C280" s="1">
        <v>16.24316</v>
      </c>
    </row>
    <row r="281" spans="1:3" x14ac:dyDescent="0.3">
      <c r="A281" s="1" t="s">
        <v>3</v>
      </c>
      <c r="B281" t="s">
        <v>283</v>
      </c>
      <c r="C281" s="1">
        <v>16.090955999999998</v>
      </c>
    </row>
    <row r="282" spans="1:3" x14ac:dyDescent="0.3">
      <c r="A282" s="1" t="s">
        <v>3</v>
      </c>
      <c r="B282" t="s">
        <v>284</v>
      </c>
      <c r="C282" s="1">
        <v>16.186083</v>
      </c>
    </row>
    <row r="283" spans="1:3" x14ac:dyDescent="0.3">
      <c r="A283" s="1" t="s">
        <v>3</v>
      </c>
      <c r="B283" t="s">
        <v>285</v>
      </c>
      <c r="C283" s="1">
        <v>16.557082999999999</v>
      </c>
    </row>
    <row r="284" spans="1:3" x14ac:dyDescent="0.3">
      <c r="A284" s="1" t="s">
        <v>3</v>
      </c>
      <c r="B284" t="s">
        <v>286</v>
      </c>
      <c r="C284" s="1">
        <v>16.552326000000001</v>
      </c>
    </row>
    <row r="285" spans="1:3" x14ac:dyDescent="0.3">
      <c r="A285" s="1" t="s">
        <v>3</v>
      </c>
      <c r="B285" t="s">
        <v>287</v>
      </c>
      <c r="C285" s="1">
        <v>16.599892000000001</v>
      </c>
    </row>
    <row r="286" spans="1:3" x14ac:dyDescent="0.3">
      <c r="A286" s="1" t="s">
        <v>3</v>
      </c>
      <c r="B286" t="s">
        <v>288</v>
      </c>
      <c r="C286" s="1">
        <v>16.742584000000001</v>
      </c>
    </row>
    <row r="287" spans="1:3" x14ac:dyDescent="0.3">
      <c r="A287" s="1" t="s">
        <v>3</v>
      </c>
      <c r="B287" t="s">
        <v>289</v>
      </c>
      <c r="C287" s="1">
        <v>16.190840000000001</v>
      </c>
    </row>
    <row r="288" spans="1:3" x14ac:dyDescent="0.3">
      <c r="A288" s="1" t="s">
        <v>3</v>
      </c>
      <c r="B288" t="s">
        <v>290</v>
      </c>
      <c r="C288" s="1">
        <v>16.300238</v>
      </c>
    </row>
    <row r="289" spans="1:3" x14ac:dyDescent="0.3">
      <c r="A289" s="1" t="s">
        <v>3</v>
      </c>
      <c r="B289" t="s">
        <v>291</v>
      </c>
      <c r="C289" s="1">
        <v>16.285969000000001</v>
      </c>
    </row>
    <row r="290" spans="1:3" x14ac:dyDescent="0.3">
      <c r="A290" s="1" t="s">
        <v>3</v>
      </c>
      <c r="B290" t="s">
        <v>292</v>
      </c>
      <c r="C290" s="1">
        <v>16.162299999999998</v>
      </c>
    </row>
    <row r="291" spans="1:3" x14ac:dyDescent="0.3">
      <c r="A291" s="1" t="s">
        <v>3</v>
      </c>
      <c r="B291" t="s">
        <v>293</v>
      </c>
      <c r="C291" s="1">
        <v>16.10998</v>
      </c>
    </row>
    <row r="292" spans="1:3" x14ac:dyDescent="0.3">
      <c r="A292" s="1" t="s">
        <v>3</v>
      </c>
      <c r="B292" t="s">
        <v>294</v>
      </c>
      <c r="C292" s="1">
        <v>16.271698000000001</v>
      </c>
    </row>
    <row r="293" spans="1:3" x14ac:dyDescent="0.3">
      <c r="A293" s="1" t="s">
        <v>3</v>
      </c>
      <c r="B293" t="s">
        <v>295</v>
      </c>
      <c r="C293" s="1">
        <v>16.304993</v>
      </c>
    </row>
    <row r="294" spans="1:3" x14ac:dyDescent="0.3">
      <c r="A294" s="1" t="s">
        <v>3</v>
      </c>
      <c r="B294" t="s">
        <v>296</v>
      </c>
      <c r="C294" s="1">
        <v>16.433416000000001</v>
      </c>
    </row>
    <row r="295" spans="1:3" x14ac:dyDescent="0.3">
      <c r="A295" s="1" t="s">
        <v>3</v>
      </c>
      <c r="B295" t="s">
        <v>297</v>
      </c>
      <c r="C295" s="1">
        <v>16.752096000000002</v>
      </c>
    </row>
    <row r="296" spans="1:3" x14ac:dyDescent="0.3">
      <c r="A296" s="1" t="s">
        <v>3</v>
      </c>
      <c r="B296" t="s">
        <v>298</v>
      </c>
      <c r="C296" s="1">
        <v>16.771121999999998</v>
      </c>
    </row>
    <row r="297" spans="1:3" x14ac:dyDescent="0.3">
      <c r="A297" s="1" t="s">
        <v>3</v>
      </c>
      <c r="B297" t="s">
        <v>299</v>
      </c>
      <c r="C297" s="1">
        <v>16.899543999999999</v>
      </c>
    </row>
    <row r="298" spans="1:3" x14ac:dyDescent="0.3">
      <c r="A298" s="1" t="s">
        <v>3</v>
      </c>
      <c r="B298" t="s">
        <v>300</v>
      </c>
      <c r="C298" s="1">
        <v>17.061261999999999</v>
      </c>
    </row>
    <row r="299" spans="1:3" x14ac:dyDescent="0.3">
      <c r="A299" s="1" t="s">
        <v>3</v>
      </c>
      <c r="B299" t="s">
        <v>301</v>
      </c>
      <c r="C299" s="1">
        <v>16.837713000000001</v>
      </c>
    </row>
    <row r="300" spans="1:3" x14ac:dyDescent="0.3">
      <c r="A300" s="1" t="s">
        <v>3</v>
      </c>
      <c r="B300" t="s">
        <v>302</v>
      </c>
      <c r="C300" s="1">
        <v>17.318110000000001</v>
      </c>
    </row>
    <row r="301" spans="1:3" x14ac:dyDescent="0.3">
      <c r="A301" s="1" t="s">
        <v>3</v>
      </c>
      <c r="B301" t="s">
        <v>303</v>
      </c>
      <c r="C301" s="1">
        <v>17.413239000000001</v>
      </c>
    </row>
    <row r="302" spans="1:3" x14ac:dyDescent="0.3">
      <c r="A302" s="1" t="s">
        <v>3</v>
      </c>
      <c r="B302" t="s">
        <v>304</v>
      </c>
      <c r="C302" s="1">
        <v>17.517879000000001</v>
      </c>
    </row>
    <row r="303" spans="1:3" x14ac:dyDescent="0.3">
      <c r="A303" s="1" t="s">
        <v>3</v>
      </c>
      <c r="B303" t="s">
        <v>305</v>
      </c>
      <c r="C303" s="1">
        <v>17.170660000000002</v>
      </c>
    </row>
    <row r="304" spans="1:3" x14ac:dyDescent="0.3">
      <c r="A304" s="1" t="s">
        <v>3</v>
      </c>
      <c r="B304" t="s">
        <v>306</v>
      </c>
      <c r="C304" s="1">
        <v>17.589226</v>
      </c>
    </row>
    <row r="305" spans="1:3" x14ac:dyDescent="0.3">
      <c r="A305" s="1" t="s">
        <v>3</v>
      </c>
      <c r="B305" t="s">
        <v>307</v>
      </c>
      <c r="C305" s="1">
        <v>17.046994999999999</v>
      </c>
    </row>
    <row r="306" spans="1:3" x14ac:dyDescent="0.3">
      <c r="A306" s="1" t="s">
        <v>3</v>
      </c>
      <c r="B306" t="s">
        <v>308</v>
      </c>
      <c r="C306" s="1">
        <v>17.237251000000001</v>
      </c>
    </row>
    <row r="307" spans="1:3" x14ac:dyDescent="0.3">
      <c r="A307" s="1" t="s">
        <v>3</v>
      </c>
      <c r="B307" t="s">
        <v>309</v>
      </c>
      <c r="C307" s="1">
        <v>17.208711999999998</v>
      </c>
    </row>
    <row r="308" spans="1:3" x14ac:dyDescent="0.3">
      <c r="A308" s="1" t="s">
        <v>3</v>
      </c>
      <c r="B308" t="s">
        <v>310</v>
      </c>
      <c r="C308" s="1">
        <v>17.051749999999998</v>
      </c>
    </row>
    <row r="309" spans="1:3" x14ac:dyDescent="0.3">
      <c r="A309" s="1" t="s">
        <v>3</v>
      </c>
      <c r="B309" t="s">
        <v>311</v>
      </c>
      <c r="C309" s="1">
        <v>16.533300000000001</v>
      </c>
    </row>
    <row r="310" spans="1:3" x14ac:dyDescent="0.3">
      <c r="A310" s="1" t="s">
        <v>3</v>
      </c>
      <c r="B310" t="s">
        <v>312</v>
      </c>
      <c r="C310" s="1">
        <v>16.547571000000001</v>
      </c>
    </row>
    <row r="311" spans="1:3" x14ac:dyDescent="0.3">
      <c r="A311" s="1" t="s">
        <v>3</v>
      </c>
      <c r="B311" t="s">
        <v>313</v>
      </c>
      <c r="C311" s="1">
        <v>16.538056999999998</v>
      </c>
    </row>
    <row r="312" spans="1:3" x14ac:dyDescent="0.3">
      <c r="A312" s="1" t="s">
        <v>3</v>
      </c>
      <c r="B312" t="s">
        <v>314</v>
      </c>
      <c r="C312" s="1">
        <v>16.238403000000002</v>
      </c>
    </row>
    <row r="313" spans="1:3" x14ac:dyDescent="0.3">
      <c r="A313" s="1" t="s">
        <v>3</v>
      </c>
      <c r="B313" t="s">
        <v>315</v>
      </c>
      <c r="C313" s="1">
        <v>15.857889999999999</v>
      </c>
    </row>
    <row r="314" spans="1:3" x14ac:dyDescent="0.3">
      <c r="A314" s="1" t="s">
        <v>3</v>
      </c>
      <c r="B314" t="s">
        <v>316</v>
      </c>
      <c r="C314" s="1">
        <v>15.367979999999999</v>
      </c>
    </row>
    <row r="315" spans="1:3" x14ac:dyDescent="0.3">
      <c r="A315" s="1" t="s">
        <v>3</v>
      </c>
      <c r="B315" t="s">
        <v>317</v>
      </c>
      <c r="C315" s="1">
        <v>15.234799000000001</v>
      </c>
    </row>
    <row r="316" spans="1:3" x14ac:dyDescent="0.3">
      <c r="A316" s="1" t="s">
        <v>3</v>
      </c>
      <c r="B316" t="s">
        <v>318</v>
      </c>
      <c r="C316" s="1">
        <v>15.363223</v>
      </c>
    </row>
    <row r="317" spans="1:3" x14ac:dyDescent="0.3">
      <c r="A317" s="1" t="s">
        <v>3</v>
      </c>
      <c r="B317" t="s">
        <v>319</v>
      </c>
      <c r="C317" s="1">
        <v>15.634338</v>
      </c>
    </row>
    <row r="318" spans="1:3" x14ac:dyDescent="0.3">
      <c r="A318" s="1" t="s">
        <v>3</v>
      </c>
      <c r="B318" t="s">
        <v>320</v>
      </c>
      <c r="C318" s="1">
        <v>16.043389999999999</v>
      </c>
    </row>
    <row r="319" spans="1:3" x14ac:dyDescent="0.3">
      <c r="A319" s="1" t="s">
        <v>3</v>
      </c>
      <c r="B319" t="s">
        <v>321</v>
      </c>
      <c r="C319" s="1">
        <v>16.119492999999999</v>
      </c>
    </row>
    <row r="320" spans="1:3" x14ac:dyDescent="0.3">
      <c r="A320" s="1" t="s">
        <v>3</v>
      </c>
      <c r="B320" t="s">
        <v>322</v>
      </c>
      <c r="C320" s="1">
        <v>16.238403000000002</v>
      </c>
    </row>
    <row r="321" spans="1:3" x14ac:dyDescent="0.3">
      <c r="A321" s="1" t="s">
        <v>3</v>
      </c>
      <c r="B321" t="s">
        <v>323</v>
      </c>
      <c r="C321" s="1">
        <v>16.048147</v>
      </c>
    </row>
    <row r="322" spans="1:3" x14ac:dyDescent="0.3">
      <c r="A322" s="1" t="s">
        <v>3</v>
      </c>
      <c r="B322" t="s">
        <v>324</v>
      </c>
      <c r="C322" s="1">
        <v>16.856736999999999</v>
      </c>
    </row>
    <row r="323" spans="1:3" x14ac:dyDescent="0.3">
      <c r="A323" s="1" t="s">
        <v>3</v>
      </c>
      <c r="B323" t="s">
        <v>325</v>
      </c>
      <c r="C323" s="1">
        <v>16.68075</v>
      </c>
    </row>
    <row r="324" spans="1:3" x14ac:dyDescent="0.3">
      <c r="A324" s="1" t="s">
        <v>3</v>
      </c>
      <c r="B324" t="s">
        <v>326</v>
      </c>
      <c r="C324" s="1">
        <v>16.714044999999999</v>
      </c>
    </row>
    <row r="325" spans="1:3" x14ac:dyDescent="0.3">
      <c r="A325" s="1" t="s">
        <v>3</v>
      </c>
      <c r="B325" t="s">
        <v>327</v>
      </c>
      <c r="C325" s="1">
        <v>16.400122</v>
      </c>
    </row>
    <row r="326" spans="1:3" x14ac:dyDescent="0.3">
      <c r="A326" s="1" t="s">
        <v>3</v>
      </c>
      <c r="B326" t="s">
        <v>328</v>
      </c>
      <c r="C326" s="1">
        <v>16.409634</v>
      </c>
    </row>
    <row r="327" spans="1:3" x14ac:dyDescent="0.3">
      <c r="A327" s="1" t="s">
        <v>3</v>
      </c>
      <c r="B327" t="s">
        <v>329</v>
      </c>
      <c r="C327" s="1">
        <v>16.509519999999998</v>
      </c>
    </row>
    <row r="328" spans="1:3" x14ac:dyDescent="0.3">
      <c r="A328" s="1" t="s">
        <v>3</v>
      </c>
      <c r="B328" t="s">
        <v>330</v>
      </c>
      <c r="C328" s="1">
        <v>16.766365</v>
      </c>
    </row>
    <row r="329" spans="1:3" x14ac:dyDescent="0.3">
      <c r="A329" s="1" t="s">
        <v>3</v>
      </c>
      <c r="B329" t="s">
        <v>331</v>
      </c>
      <c r="C329" s="1">
        <v>16.809173999999999</v>
      </c>
    </row>
    <row r="330" spans="1:3" x14ac:dyDescent="0.3">
      <c r="A330" s="1" t="s">
        <v>3</v>
      </c>
      <c r="B330" t="s">
        <v>332</v>
      </c>
      <c r="C330" s="1">
        <v>16.723558000000001</v>
      </c>
    </row>
    <row r="331" spans="1:3" x14ac:dyDescent="0.3">
      <c r="A331" s="1" t="s">
        <v>3</v>
      </c>
      <c r="B331" t="s">
        <v>333</v>
      </c>
      <c r="C331" s="1">
        <v>17.042238000000001</v>
      </c>
    </row>
    <row r="332" spans="1:3" x14ac:dyDescent="0.3">
      <c r="A332" s="1" t="s">
        <v>3</v>
      </c>
      <c r="B332" t="s">
        <v>334</v>
      </c>
      <c r="C332" s="1">
        <v>17.008942000000001</v>
      </c>
    </row>
    <row r="333" spans="1:3" x14ac:dyDescent="0.3">
      <c r="A333" s="1" t="s">
        <v>3</v>
      </c>
      <c r="B333" t="s">
        <v>335</v>
      </c>
      <c r="C333" s="1">
        <v>17.280059999999999</v>
      </c>
    </row>
    <row r="334" spans="1:3" x14ac:dyDescent="0.3">
      <c r="A334" s="1" t="s">
        <v>3</v>
      </c>
      <c r="B334" t="s">
        <v>336</v>
      </c>
      <c r="C334" s="1">
        <v>17.774725</v>
      </c>
    </row>
    <row r="335" spans="1:3" x14ac:dyDescent="0.3">
      <c r="A335" s="1" t="s">
        <v>3</v>
      </c>
      <c r="B335" t="s">
        <v>337</v>
      </c>
      <c r="C335" s="1">
        <v>17.922173999999998</v>
      </c>
    </row>
    <row r="336" spans="1:3" x14ac:dyDescent="0.3">
      <c r="A336" s="1" t="s">
        <v>3</v>
      </c>
      <c r="B336" t="s">
        <v>338</v>
      </c>
      <c r="C336" s="1">
        <v>18.345495</v>
      </c>
    </row>
    <row r="337" spans="1:3" x14ac:dyDescent="0.3">
      <c r="A337" s="1" t="s">
        <v>3</v>
      </c>
      <c r="B337" t="s">
        <v>339</v>
      </c>
      <c r="C337" s="1">
        <v>18.269392</v>
      </c>
    </row>
    <row r="338" spans="1:3" x14ac:dyDescent="0.3">
      <c r="A338" s="1" t="s">
        <v>3</v>
      </c>
      <c r="B338" t="s">
        <v>340</v>
      </c>
      <c r="C338" s="1">
        <v>18.102919</v>
      </c>
    </row>
    <row r="339" spans="1:3" x14ac:dyDescent="0.3">
      <c r="A339" s="1" t="s">
        <v>3</v>
      </c>
      <c r="B339" t="s">
        <v>341</v>
      </c>
      <c r="C339" s="1">
        <v>18.088647999999999</v>
      </c>
    </row>
    <row r="340" spans="1:3" x14ac:dyDescent="0.3">
      <c r="A340" s="1" t="s">
        <v>3</v>
      </c>
      <c r="B340" t="s">
        <v>342</v>
      </c>
      <c r="C340" s="1">
        <v>17.408481999999999</v>
      </c>
    </row>
    <row r="341" spans="1:3" x14ac:dyDescent="0.3">
      <c r="A341" s="1" t="s">
        <v>3</v>
      </c>
      <c r="B341" t="s">
        <v>343</v>
      </c>
      <c r="C341" s="1">
        <v>17.551174</v>
      </c>
    </row>
    <row r="342" spans="1:3" x14ac:dyDescent="0.3">
      <c r="A342" s="1" t="s">
        <v>3</v>
      </c>
      <c r="B342" t="s">
        <v>344</v>
      </c>
      <c r="C342" s="1">
        <v>17.422751999999999</v>
      </c>
    </row>
    <row r="343" spans="1:3" x14ac:dyDescent="0.3">
      <c r="A343" s="1" t="s">
        <v>3</v>
      </c>
      <c r="B343" t="s">
        <v>345</v>
      </c>
      <c r="C343" s="1">
        <v>17.351403999999999</v>
      </c>
    </row>
    <row r="344" spans="1:3" x14ac:dyDescent="0.3">
      <c r="A344" s="1" t="s">
        <v>3</v>
      </c>
      <c r="B344" t="s">
        <v>346</v>
      </c>
      <c r="C344" s="1">
        <v>17.541661999999999</v>
      </c>
    </row>
    <row r="345" spans="1:3" x14ac:dyDescent="0.3">
      <c r="A345" s="1" t="s">
        <v>3</v>
      </c>
      <c r="B345" t="s">
        <v>347</v>
      </c>
      <c r="C345" s="1">
        <v>17.722404000000001</v>
      </c>
    </row>
    <row r="346" spans="1:3" x14ac:dyDescent="0.3">
      <c r="A346" s="1" t="s">
        <v>3</v>
      </c>
      <c r="B346" t="s">
        <v>348</v>
      </c>
      <c r="C346" s="1">
        <v>17.708136</v>
      </c>
    </row>
    <row r="347" spans="1:3" x14ac:dyDescent="0.3">
      <c r="A347" s="1" t="s">
        <v>3</v>
      </c>
      <c r="B347" t="s">
        <v>349</v>
      </c>
      <c r="C347" s="1">
        <v>17.874611000000002</v>
      </c>
    </row>
    <row r="348" spans="1:3" x14ac:dyDescent="0.3">
      <c r="A348" s="1" t="s">
        <v>3</v>
      </c>
      <c r="B348" t="s">
        <v>350</v>
      </c>
      <c r="C348" s="1">
        <v>17.960225999999999</v>
      </c>
    </row>
    <row r="349" spans="1:3" x14ac:dyDescent="0.3">
      <c r="A349" s="1" t="s">
        <v>3</v>
      </c>
      <c r="B349" t="s">
        <v>351</v>
      </c>
      <c r="C349" s="1">
        <v>18.150482</v>
      </c>
    </row>
    <row r="350" spans="1:3" x14ac:dyDescent="0.3">
      <c r="A350" s="1" t="s">
        <v>3</v>
      </c>
      <c r="B350" t="s">
        <v>352</v>
      </c>
      <c r="C350" s="1">
        <v>18.488188000000001</v>
      </c>
    </row>
    <row r="351" spans="1:3" x14ac:dyDescent="0.3">
      <c r="A351" s="1" t="s">
        <v>3</v>
      </c>
      <c r="B351" t="s">
        <v>353</v>
      </c>
      <c r="C351" s="1">
        <v>18.307445999999999</v>
      </c>
    </row>
    <row r="352" spans="1:3" x14ac:dyDescent="0.3">
      <c r="A352" s="1" t="s">
        <v>3</v>
      </c>
      <c r="B352" t="s">
        <v>354</v>
      </c>
      <c r="C352" s="1">
        <v>17.670086000000001</v>
      </c>
    </row>
    <row r="353" spans="1:3" x14ac:dyDescent="0.3">
      <c r="A353" s="1" t="s">
        <v>3</v>
      </c>
      <c r="B353" t="s">
        <v>355</v>
      </c>
      <c r="C353" s="1">
        <v>18.083893</v>
      </c>
    </row>
    <row r="354" spans="1:3" x14ac:dyDescent="0.3">
      <c r="A354" s="1" t="s">
        <v>3</v>
      </c>
      <c r="B354" t="s">
        <v>356</v>
      </c>
      <c r="C354" s="1">
        <v>18.364521</v>
      </c>
    </row>
    <row r="355" spans="1:3" x14ac:dyDescent="0.3">
      <c r="A355" s="1" t="s">
        <v>3</v>
      </c>
      <c r="B355" t="s">
        <v>357</v>
      </c>
      <c r="C355" s="1">
        <v>18.716495999999999</v>
      </c>
    </row>
    <row r="356" spans="1:3" x14ac:dyDescent="0.3">
      <c r="A356" s="1" t="s">
        <v>3</v>
      </c>
      <c r="B356" t="s">
        <v>358</v>
      </c>
      <c r="C356" s="1">
        <v>18.8687</v>
      </c>
    </row>
    <row r="357" spans="1:3" x14ac:dyDescent="0.3">
      <c r="A357" s="1" t="s">
        <v>3</v>
      </c>
      <c r="B357" t="s">
        <v>359</v>
      </c>
      <c r="C357" s="1">
        <v>18.740278</v>
      </c>
    </row>
    <row r="358" spans="1:3" x14ac:dyDescent="0.3">
      <c r="A358" s="1" t="s">
        <v>3</v>
      </c>
      <c r="B358" t="s">
        <v>360</v>
      </c>
      <c r="C358" s="1">
        <v>19.225431</v>
      </c>
    </row>
    <row r="359" spans="1:3" x14ac:dyDescent="0.3">
      <c r="A359" s="1" t="s">
        <v>3</v>
      </c>
      <c r="B359" t="s">
        <v>361</v>
      </c>
      <c r="C359" s="1">
        <v>19.292023</v>
      </c>
    </row>
    <row r="360" spans="1:3" x14ac:dyDescent="0.3">
      <c r="A360" s="1" t="s">
        <v>3</v>
      </c>
      <c r="B360" t="s">
        <v>362</v>
      </c>
      <c r="C360" s="1">
        <v>19.967434000000001</v>
      </c>
    </row>
    <row r="361" spans="1:3" x14ac:dyDescent="0.3">
      <c r="A361" s="1" t="s">
        <v>3</v>
      </c>
      <c r="B361" t="s">
        <v>363</v>
      </c>
      <c r="C361" s="1">
        <v>20.776024</v>
      </c>
    </row>
    <row r="362" spans="1:3" x14ac:dyDescent="0.3">
      <c r="A362" s="1" t="s">
        <v>3</v>
      </c>
      <c r="B362" t="s">
        <v>364</v>
      </c>
      <c r="C362" s="1">
        <v>20.233792999999999</v>
      </c>
    </row>
    <row r="363" spans="1:3" x14ac:dyDescent="0.3">
      <c r="A363" s="1" t="s">
        <v>3</v>
      </c>
      <c r="B363" t="s">
        <v>365</v>
      </c>
      <c r="C363" s="1">
        <v>20.195741999999999</v>
      </c>
    </row>
    <row r="364" spans="1:3" x14ac:dyDescent="0.3">
      <c r="A364" s="1" t="s">
        <v>3</v>
      </c>
      <c r="B364" t="s">
        <v>366</v>
      </c>
      <c r="C364" s="1">
        <v>20.347946</v>
      </c>
    </row>
    <row r="365" spans="1:3" x14ac:dyDescent="0.3">
      <c r="A365" s="1" t="s">
        <v>3</v>
      </c>
      <c r="B365" t="s">
        <v>367</v>
      </c>
      <c r="C365" s="1">
        <v>20.576253999999999</v>
      </c>
    </row>
    <row r="366" spans="1:3" x14ac:dyDescent="0.3">
      <c r="A366" s="1" t="s">
        <v>3</v>
      </c>
      <c r="B366" t="s">
        <v>368</v>
      </c>
      <c r="C366" s="1">
        <v>20.091100999999998</v>
      </c>
    </row>
    <row r="367" spans="1:3" x14ac:dyDescent="0.3">
      <c r="A367" s="1" t="s">
        <v>3</v>
      </c>
      <c r="B367" t="s">
        <v>369</v>
      </c>
      <c r="C367" s="1">
        <v>20.043534999999999</v>
      </c>
    </row>
    <row r="368" spans="1:3" x14ac:dyDescent="0.3">
      <c r="A368" s="1" t="s">
        <v>3</v>
      </c>
      <c r="B368" t="s">
        <v>370</v>
      </c>
      <c r="C368" s="1">
        <v>20.176714</v>
      </c>
    </row>
    <row r="369" spans="1:3" x14ac:dyDescent="0.3">
      <c r="A369" s="1" t="s">
        <v>3</v>
      </c>
      <c r="B369" t="s">
        <v>371</v>
      </c>
      <c r="C369" s="1">
        <v>20.167204000000002</v>
      </c>
    </row>
    <row r="370" spans="1:3" x14ac:dyDescent="0.3">
      <c r="A370" s="1" t="s">
        <v>3</v>
      </c>
      <c r="B370" t="s">
        <v>372</v>
      </c>
      <c r="C370" s="1">
        <v>20.262331</v>
      </c>
    </row>
    <row r="371" spans="1:3" x14ac:dyDescent="0.3">
      <c r="A371" s="1" t="s">
        <v>3</v>
      </c>
      <c r="B371" t="s">
        <v>373</v>
      </c>
      <c r="C371" s="1">
        <v>20.110125</v>
      </c>
    </row>
    <row r="372" spans="1:3" x14ac:dyDescent="0.3">
      <c r="A372" s="1" t="s">
        <v>3</v>
      </c>
      <c r="B372" t="s">
        <v>374</v>
      </c>
      <c r="C372" s="1">
        <v>19.976946000000002</v>
      </c>
    </row>
    <row r="373" spans="1:3" x14ac:dyDescent="0.3">
      <c r="A373" s="1" t="s">
        <v>3</v>
      </c>
      <c r="B373" t="s">
        <v>375</v>
      </c>
      <c r="C373" s="1">
        <v>19.824741</v>
      </c>
    </row>
    <row r="374" spans="1:3" x14ac:dyDescent="0.3">
      <c r="A374" s="1" t="s">
        <v>3</v>
      </c>
      <c r="B374" t="s">
        <v>376</v>
      </c>
      <c r="C374" s="1">
        <v>19.453741000000001</v>
      </c>
    </row>
    <row r="375" spans="1:3" x14ac:dyDescent="0.3">
      <c r="A375" s="1" t="s">
        <v>3</v>
      </c>
      <c r="B375" t="s">
        <v>377</v>
      </c>
      <c r="C375" s="1">
        <v>19.463253000000002</v>
      </c>
    </row>
    <row r="376" spans="1:3" x14ac:dyDescent="0.3">
      <c r="A376" s="1" t="s">
        <v>3</v>
      </c>
      <c r="B376" t="s">
        <v>378</v>
      </c>
      <c r="C376" s="1">
        <v>19.011395</v>
      </c>
    </row>
    <row r="377" spans="1:3" x14ac:dyDescent="0.3">
      <c r="A377" s="1" t="s">
        <v>3</v>
      </c>
      <c r="B377" t="s">
        <v>379</v>
      </c>
      <c r="C377" s="1">
        <v>19.253971</v>
      </c>
    </row>
    <row r="378" spans="1:3" x14ac:dyDescent="0.3">
      <c r="A378" s="1" t="s">
        <v>3</v>
      </c>
      <c r="B378" t="s">
        <v>380</v>
      </c>
      <c r="C378" s="1">
        <v>19.767664</v>
      </c>
    </row>
    <row r="379" spans="1:3" x14ac:dyDescent="0.3">
      <c r="A379" s="1" t="s">
        <v>3</v>
      </c>
      <c r="B379" t="s">
        <v>381</v>
      </c>
      <c r="C379" s="1">
        <v>20.452587000000001</v>
      </c>
    </row>
    <row r="380" spans="1:3" x14ac:dyDescent="0.3">
      <c r="A380" s="1" t="s">
        <v>3</v>
      </c>
      <c r="B380" t="s">
        <v>382</v>
      </c>
      <c r="C380" s="1">
        <v>20.547716000000001</v>
      </c>
    </row>
    <row r="381" spans="1:3" x14ac:dyDescent="0.3">
      <c r="A381" s="1" t="s">
        <v>3</v>
      </c>
      <c r="B381" t="s">
        <v>383</v>
      </c>
      <c r="C381" s="1">
        <v>20.623819000000001</v>
      </c>
    </row>
    <row r="382" spans="1:3" x14ac:dyDescent="0.3">
      <c r="A382" s="1" t="s">
        <v>3</v>
      </c>
      <c r="B382" t="s">
        <v>384</v>
      </c>
      <c r="C382" s="1">
        <v>20.718948000000001</v>
      </c>
    </row>
    <row r="383" spans="1:3" x14ac:dyDescent="0.3">
      <c r="A383" s="1" t="s">
        <v>3</v>
      </c>
      <c r="B383" t="s">
        <v>385</v>
      </c>
      <c r="C383" s="1">
        <v>20.538204</v>
      </c>
    </row>
    <row r="384" spans="1:3" x14ac:dyDescent="0.3">
      <c r="A384" s="1" t="s">
        <v>3</v>
      </c>
      <c r="B384" t="s">
        <v>386</v>
      </c>
      <c r="C384" s="1">
        <v>20.642845000000001</v>
      </c>
    </row>
    <row r="385" spans="1:3" x14ac:dyDescent="0.3">
      <c r="A385" s="1" t="s">
        <v>3</v>
      </c>
      <c r="B385" t="s">
        <v>387</v>
      </c>
      <c r="C385" s="1">
        <v>20.994820000000001</v>
      </c>
    </row>
    <row r="386" spans="1:3" x14ac:dyDescent="0.3">
      <c r="A386" s="1" t="s">
        <v>3</v>
      </c>
      <c r="B386" t="s">
        <v>388</v>
      </c>
      <c r="C386" s="1">
        <v>20.699922999999998</v>
      </c>
    </row>
    <row r="387" spans="1:3" x14ac:dyDescent="0.3">
      <c r="A387" s="1" t="s">
        <v>3</v>
      </c>
      <c r="B387" t="s">
        <v>389</v>
      </c>
      <c r="C387" s="1">
        <v>20.737971999999999</v>
      </c>
    </row>
    <row r="388" spans="1:3" x14ac:dyDescent="0.3">
      <c r="A388" s="1" t="s">
        <v>3</v>
      </c>
      <c r="B388" t="s">
        <v>390</v>
      </c>
      <c r="C388" s="1">
        <v>20.680895</v>
      </c>
    </row>
    <row r="389" spans="1:3" x14ac:dyDescent="0.3">
      <c r="A389" s="1" t="s">
        <v>3</v>
      </c>
      <c r="B389" t="s">
        <v>391</v>
      </c>
      <c r="C389" s="1">
        <v>20.585768000000002</v>
      </c>
    </row>
    <row r="390" spans="1:3" x14ac:dyDescent="0.3">
      <c r="A390" s="1" t="s">
        <v>3</v>
      </c>
      <c r="B390" t="s">
        <v>392</v>
      </c>
      <c r="C390" s="1">
        <v>20.385998000000001</v>
      </c>
    </row>
    <row r="391" spans="1:3" x14ac:dyDescent="0.3">
      <c r="A391" s="1" t="s">
        <v>3</v>
      </c>
      <c r="B391" t="s">
        <v>393</v>
      </c>
      <c r="C391" s="1">
        <v>20.319407999999999</v>
      </c>
    </row>
    <row r="392" spans="1:3" x14ac:dyDescent="0.3">
      <c r="A392" s="1" t="s">
        <v>3</v>
      </c>
      <c r="B392" t="s">
        <v>394</v>
      </c>
      <c r="C392" s="1">
        <v>20.053049000000001</v>
      </c>
    </row>
    <row r="393" spans="1:3" x14ac:dyDescent="0.3">
      <c r="A393" s="1" t="s">
        <v>3</v>
      </c>
      <c r="B393" t="s">
        <v>395</v>
      </c>
      <c r="C393" s="1">
        <v>19.957920000000001</v>
      </c>
    </row>
    <row r="394" spans="1:3" x14ac:dyDescent="0.3">
      <c r="A394" s="1" t="s">
        <v>3</v>
      </c>
      <c r="B394" t="s">
        <v>396</v>
      </c>
      <c r="C394" s="1">
        <v>20.014999</v>
      </c>
    </row>
    <row r="395" spans="1:3" x14ac:dyDescent="0.3">
      <c r="A395" s="1" t="s">
        <v>3</v>
      </c>
      <c r="B395" t="s">
        <v>397</v>
      </c>
      <c r="C395" s="1">
        <v>19.957920000000001</v>
      </c>
    </row>
    <row r="396" spans="1:3" x14ac:dyDescent="0.3">
      <c r="A396" s="1" t="s">
        <v>3</v>
      </c>
      <c r="B396" t="s">
        <v>398</v>
      </c>
      <c r="C396" s="1">
        <v>19.682048999999999</v>
      </c>
    </row>
    <row r="397" spans="1:3" x14ac:dyDescent="0.3">
      <c r="A397" s="1" t="s">
        <v>3</v>
      </c>
      <c r="B397" t="s">
        <v>399</v>
      </c>
      <c r="C397" s="1">
        <v>19.682048999999999</v>
      </c>
    </row>
    <row r="398" spans="1:3" x14ac:dyDescent="0.3">
      <c r="A398" s="1" t="s">
        <v>3</v>
      </c>
      <c r="B398" t="s">
        <v>400</v>
      </c>
      <c r="C398" s="1">
        <v>19.900845</v>
      </c>
    </row>
    <row r="399" spans="1:3" x14ac:dyDescent="0.3">
      <c r="A399" s="1" t="s">
        <v>3</v>
      </c>
      <c r="B399" t="s">
        <v>401</v>
      </c>
      <c r="C399" s="1">
        <v>19.548867999999999</v>
      </c>
    </row>
    <row r="400" spans="1:3" x14ac:dyDescent="0.3">
      <c r="A400" s="1" t="s">
        <v>3</v>
      </c>
      <c r="B400" t="s">
        <v>402</v>
      </c>
      <c r="C400" s="1">
        <v>19.78669</v>
      </c>
    </row>
    <row r="401" spans="1:3" x14ac:dyDescent="0.3">
      <c r="A401" s="1" t="s">
        <v>3</v>
      </c>
      <c r="B401" t="s">
        <v>403</v>
      </c>
      <c r="C401" s="1">
        <v>19.758151999999999</v>
      </c>
    </row>
    <row r="402" spans="1:3" x14ac:dyDescent="0.3">
      <c r="A402" s="1" t="s">
        <v>3</v>
      </c>
      <c r="B402" t="s">
        <v>404</v>
      </c>
      <c r="C402" s="1">
        <v>20.100612999999999</v>
      </c>
    </row>
    <row r="403" spans="1:3" x14ac:dyDescent="0.3">
      <c r="A403" s="1" t="s">
        <v>3</v>
      </c>
      <c r="B403" t="s">
        <v>405</v>
      </c>
      <c r="C403" s="1">
        <v>20.35746</v>
      </c>
    </row>
    <row r="404" spans="1:3" x14ac:dyDescent="0.3">
      <c r="A404" s="1" t="s">
        <v>3</v>
      </c>
      <c r="B404" t="s">
        <v>406</v>
      </c>
      <c r="C404" s="1">
        <v>20.642845000000001</v>
      </c>
    </row>
    <row r="405" spans="1:3" x14ac:dyDescent="0.3">
      <c r="A405" s="1" t="s">
        <v>3</v>
      </c>
      <c r="B405" t="s">
        <v>407</v>
      </c>
      <c r="C405" s="1">
        <v>21.013845</v>
      </c>
    </row>
    <row r="406" spans="1:3" x14ac:dyDescent="0.3">
      <c r="A406" s="1" t="s">
        <v>3</v>
      </c>
      <c r="B406" t="s">
        <v>408</v>
      </c>
      <c r="C406" s="1">
        <v>20.899691000000001</v>
      </c>
    </row>
    <row r="407" spans="1:3" x14ac:dyDescent="0.3">
      <c r="A407" s="1" t="s">
        <v>3</v>
      </c>
      <c r="B407" t="s">
        <v>409</v>
      </c>
      <c r="C407" s="1">
        <v>21.451435</v>
      </c>
    </row>
    <row r="408" spans="1:3" x14ac:dyDescent="0.3">
      <c r="A408" s="1" t="s">
        <v>3</v>
      </c>
      <c r="B408" t="s">
        <v>410</v>
      </c>
      <c r="C408" s="1">
        <v>21.441922999999999</v>
      </c>
    </row>
    <row r="409" spans="1:3" x14ac:dyDescent="0.3">
      <c r="A409" s="1" t="s">
        <v>3</v>
      </c>
      <c r="B409" t="s">
        <v>411</v>
      </c>
      <c r="C409" s="1">
        <v>21.356307999999999</v>
      </c>
    </row>
    <row r="410" spans="1:3" x14ac:dyDescent="0.3">
      <c r="A410" s="1" t="s">
        <v>3</v>
      </c>
      <c r="B410" t="s">
        <v>412</v>
      </c>
      <c r="C410" s="1">
        <v>21.251664999999999</v>
      </c>
    </row>
    <row r="411" spans="1:3" x14ac:dyDescent="0.3">
      <c r="A411" s="1" t="s">
        <v>3</v>
      </c>
      <c r="B411" t="s">
        <v>413</v>
      </c>
      <c r="C411" s="1">
        <v>21.470461</v>
      </c>
    </row>
    <row r="412" spans="1:3" x14ac:dyDescent="0.3">
      <c r="A412" s="1" t="s">
        <v>3</v>
      </c>
      <c r="B412" t="s">
        <v>414</v>
      </c>
      <c r="C412" s="1">
        <v>21.527536000000001</v>
      </c>
    </row>
    <row r="413" spans="1:3" x14ac:dyDescent="0.3">
      <c r="A413" s="1" t="s">
        <v>3</v>
      </c>
      <c r="B413" t="s">
        <v>415</v>
      </c>
      <c r="C413" s="1">
        <v>21.527536000000001</v>
      </c>
    </row>
    <row r="414" spans="1:3" x14ac:dyDescent="0.3">
      <c r="A414" s="1" t="s">
        <v>3</v>
      </c>
      <c r="B414" t="s">
        <v>416</v>
      </c>
      <c r="C414" s="1">
        <v>21.755845999999998</v>
      </c>
    </row>
    <row r="415" spans="1:3" x14ac:dyDescent="0.3">
      <c r="A415" s="1" t="s">
        <v>3</v>
      </c>
      <c r="B415" t="s">
        <v>417</v>
      </c>
      <c r="C415" s="1">
        <v>22.079281000000002</v>
      </c>
    </row>
    <row r="416" spans="1:3" x14ac:dyDescent="0.3">
      <c r="A416" s="1" t="s">
        <v>3</v>
      </c>
      <c r="B416" t="s">
        <v>418</v>
      </c>
      <c r="C416" s="1">
        <v>22.193435999999998</v>
      </c>
    </row>
    <row r="417" spans="1:3" x14ac:dyDescent="0.3">
      <c r="A417" s="1" t="s">
        <v>3</v>
      </c>
      <c r="B417" t="s">
        <v>419</v>
      </c>
      <c r="C417" s="1">
        <v>22.155386</v>
      </c>
    </row>
    <row r="418" spans="1:3" x14ac:dyDescent="0.3">
      <c r="A418" s="1" t="s">
        <v>3</v>
      </c>
      <c r="B418" t="s">
        <v>420</v>
      </c>
      <c r="C418" s="1">
        <v>21.774871999999998</v>
      </c>
    </row>
    <row r="419" spans="1:3" x14ac:dyDescent="0.3">
      <c r="A419" s="1" t="s">
        <v>3</v>
      </c>
      <c r="B419" t="s">
        <v>421</v>
      </c>
      <c r="C419" s="1">
        <v>21.651205000000001</v>
      </c>
    </row>
    <row r="420" spans="1:3" x14ac:dyDescent="0.3">
      <c r="A420" s="1" t="s">
        <v>3</v>
      </c>
      <c r="B420" t="s">
        <v>422</v>
      </c>
      <c r="C420" s="1">
        <v>21.746334000000001</v>
      </c>
    </row>
    <row r="421" spans="1:3" x14ac:dyDescent="0.3">
      <c r="A421" s="1" t="s">
        <v>3</v>
      </c>
      <c r="B421" t="s">
        <v>423</v>
      </c>
      <c r="C421" s="1">
        <v>20.928229999999999</v>
      </c>
    </row>
    <row r="422" spans="1:3" x14ac:dyDescent="0.3">
      <c r="A422" s="1" t="s">
        <v>3</v>
      </c>
      <c r="B422" t="s">
        <v>424</v>
      </c>
      <c r="C422" s="1">
        <v>21.137509999999999</v>
      </c>
    </row>
    <row r="423" spans="1:3" x14ac:dyDescent="0.3">
      <c r="A423" s="1" t="s">
        <v>3</v>
      </c>
      <c r="B423" t="s">
        <v>425</v>
      </c>
      <c r="C423" s="1">
        <v>21.194590000000002</v>
      </c>
    </row>
    <row r="424" spans="1:3" x14ac:dyDescent="0.3">
      <c r="A424" s="1" t="s">
        <v>3</v>
      </c>
      <c r="B424" t="s">
        <v>426</v>
      </c>
      <c r="C424" s="1">
        <v>21.223127000000002</v>
      </c>
    </row>
    <row r="425" spans="1:3" x14ac:dyDescent="0.3">
      <c r="A425" s="1" t="s">
        <v>3</v>
      </c>
      <c r="B425" t="s">
        <v>427</v>
      </c>
      <c r="C425" s="1">
        <v>21.299229</v>
      </c>
    </row>
    <row r="426" spans="1:3" x14ac:dyDescent="0.3">
      <c r="A426" s="1" t="s">
        <v>3</v>
      </c>
      <c r="B426" t="s">
        <v>428</v>
      </c>
      <c r="C426" s="1">
        <v>21.270693000000001</v>
      </c>
    </row>
    <row r="427" spans="1:3" x14ac:dyDescent="0.3">
      <c r="A427" s="1" t="s">
        <v>3</v>
      </c>
      <c r="B427" t="s">
        <v>429</v>
      </c>
      <c r="C427" s="1">
        <v>21.261178999999998</v>
      </c>
    </row>
    <row r="428" spans="1:3" x14ac:dyDescent="0.3">
      <c r="A428" s="1" t="s">
        <v>3</v>
      </c>
      <c r="B428" t="s">
        <v>430</v>
      </c>
      <c r="C428" s="1">
        <v>21.327767999999999</v>
      </c>
    </row>
    <row r="429" spans="1:3" x14ac:dyDescent="0.3">
      <c r="A429" s="1" t="s">
        <v>3</v>
      </c>
      <c r="B429" t="s">
        <v>431</v>
      </c>
      <c r="C429" s="1">
        <v>21.460947000000001</v>
      </c>
    </row>
    <row r="430" spans="1:3" x14ac:dyDescent="0.3">
      <c r="A430" s="1" t="s">
        <v>3</v>
      </c>
      <c r="B430" t="s">
        <v>432</v>
      </c>
      <c r="C430" s="1">
        <v>21.584616</v>
      </c>
    </row>
    <row r="431" spans="1:3" x14ac:dyDescent="0.3">
      <c r="A431" s="1" t="s">
        <v>3</v>
      </c>
      <c r="B431" t="s">
        <v>433</v>
      </c>
      <c r="C431" s="1">
        <v>21.365818000000001</v>
      </c>
    </row>
    <row r="432" spans="1:3" x14ac:dyDescent="0.3">
      <c r="A432" s="1" t="s">
        <v>3</v>
      </c>
      <c r="B432" t="s">
        <v>434</v>
      </c>
      <c r="C432" s="1">
        <v>21.460947000000001</v>
      </c>
    </row>
    <row r="433" spans="1:3" x14ac:dyDescent="0.3">
      <c r="A433" s="1" t="s">
        <v>3</v>
      </c>
      <c r="B433" t="s">
        <v>435</v>
      </c>
      <c r="C433" s="1">
        <v>22.00318</v>
      </c>
    </row>
    <row r="434" spans="1:3" x14ac:dyDescent="0.3">
      <c r="A434" s="1" t="s">
        <v>3</v>
      </c>
      <c r="B434" t="s">
        <v>436</v>
      </c>
      <c r="C434" s="1">
        <v>22.107821000000001</v>
      </c>
    </row>
    <row r="435" spans="1:3" x14ac:dyDescent="0.3">
      <c r="A435" s="1" t="s">
        <v>3</v>
      </c>
      <c r="B435" t="s">
        <v>437</v>
      </c>
      <c r="C435" s="1">
        <v>22.260024999999999</v>
      </c>
    </row>
    <row r="436" spans="1:3" x14ac:dyDescent="0.3">
      <c r="A436" s="1" t="s">
        <v>3</v>
      </c>
      <c r="B436" t="s">
        <v>438</v>
      </c>
      <c r="C436" s="1">
        <v>22.155386</v>
      </c>
    </row>
    <row r="437" spans="1:3" x14ac:dyDescent="0.3">
      <c r="A437" s="1" t="s">
        <v>3</v>
      </c>
      <c r="B437" t="s">
        <v>439</v>
      </c>
      <c r="C437" s="1">
        <v>21.869999</v>
      </c>
    </row>
    <row r="438" spans="1:3" x14ac:dyDescent="0.3">
      <c r="A438" s="1" t="s">
        <v>3</v>
      </c>
      <c r="B438" t="s">
        <v>440</v>
      </c>
      <c r="C438" s="1">
        <v>21.959999</v>
      </c>
    </row>
    <row r="439" spans="1:3" x14ac:dyDescent="0.3">
      <c r="A439" s="1" t="s">
        <v>3</v>
      </c>
      <c r="B439" t="s">
        <v>441</v>
      </c>
      <c r="C439" s="1">
        <v>21.85</v>
      </c>
    </row>
    <row r="440" spans="1:3" x14ac:dyDescent="0.3">
      <c r="A440" s="1" t="s">
        <v>3</v>
      </c>
      <c r="B440" t="s">
        <v>442</v>
      </c>
      <c r="C440" s="1">
        <v>22.4</v>
      </c>
    </row>
    <row r="441" spans="1:3" x14ac:dyDescent="0.3">
      <c r="A441" s="1" t="s">
        <v>3</v>
      </c>
      <c r="B441" t="s">
        <v>443</v>
      </c>
      <c r="C441" s="1">
        <v>22.43</v>
      </c>
    </row>
    <row r="442" spans="1:3" x14ac:dyDescent="0.3">
      <c r="A442" s="1" t="s">
        <v>3</v>
      </c>
      <c r="B442" t="s">
        <v>444</v>
      </c>
      <c r="C442" s="1">
        <v>22.450001</v>
      </c>
    </row>
    <row r="443" spans="1:3" x14ac:dyDescent="0.3">
      <c r="A443" s="1" t="s">
        <v>3</v>
      </c>
      <c r="B443" t="s">
        <v>445</v>
      </c>
      <c r="C443" s="1">
        <v>22.6</v>
      </c>
    </row>
    <row r="444" spans="1:3" x14ac:dyDescent="0.3">
      <c r="A444" s="1" t="s">
        <v>3</v>
      </c>
      <c r="B444" t="s">
        <v>446</v>
      </c>
      <c r="C444" s="1">
        <v>23</v>
      </c>
    </row>
    <row r="445" spans="1:3" x14ac:dyDescent="0.3">
      <c r="A445" s="1" t="s">
        <v>3</v>
      </c>
      <c r="B445" t="s">
        <v>447</v>
      </c>
      <c r="C445" s="1">
        <v>23.059999000000001</v>
      </c>
    </row>
    <row r="446" spans="1:3" x14ac:dyDescent="0.3">
      <c r="A446" s="1" t="s">
        <v>3</v>
      </c>
      <c r="B446" t="s">
        <v>448</v>
      </c>
      <c r="C446" s="1">
        <v>22.59</v>
      </c>
    </row>
    <row r="447" spans="1:3" x14ac:dyDescent="0.3">
      <c r="A447" s="1" t="s">
        <v>3</v>
      </c>
      <c r="B447" t="s">
        <v>449</v>
      </c>
      <c r="C447" s="1">
        <v>22.74</v>
      </c>
    </row>
    <row r="448" spans="1:3" x14ac:dyDescent="0.3">
      <c r="A448" s="1" t="s">
        <v>3</v>
      </c>
      <c r="B448" t="s">
        <v>450</v>
      </c>
      <c r="C448" s="1">
        <v>22.799999</v>
      </c>
    </row>
    <row r="449" spans="1:3" x14ac:dyDescent="0.3">
      <c r="A449" s="1" t="s">
        <v>3</v>
      </c>
      <c r="B449" t="s">
        <v>451</v>
      </c>
      <c r="C449" s="1">
        <v>22.75</v>
      </c>
    </row>
    <row r="450" spans="1:3" x14ac:dyDescent="0.3">
      <c r="A450" s="1" t="s">
        <v>3</v>
      </c>
      <c r="B450" t="s">
        <v>452</v>
      </c>
      <c r="C450" s="1">
        <v>23.01</v>
      </c>
    </row>
    <row r="451" spans="1:3" x14ac:dyDescent="0.3">
      <c r="A451" s="1" t="s">
        <v>3</v>
      </c>
      <c r="B451" t="s">
        <v>453</v>
      </c>
      <c r="C451" s="1">
        <v>22.790001</v>
      </c>
    </row>
    <row r="452" spans="1:3" x14ac:dyDescent="0.3">
      <c r="A452" s="1" t="s">
        <v>3</v>
      </c>
      <c r="B452" t="s">
        <v>454</v>
      </c>
      <c r="C452" s="1">
        <v>23.09</v>
      </c>
    </row>
    <row r="453" spans="1:3" x14ac:dyDescent="0.3">
      <c r="A453" s="1" t="s">
        <v>3</v>
      </c>
      <c r="B453" t="s">
        <v>455</v>
      </c>
      <c r="C453" s="1">
        <v>23.51</v>
      </c>
    </row>
    <row r="454" spans="1:3" x14ac:dyDescent="0.3">
      <c r="A454" s="1" t="s">
        <v>3</v>
      </c>
      <c r="B454" t="s">
        <v>456</v>
      </c>
      <c r="C454" s="1">
        <v>23.370000999999998</v>
      </c>
    </row>
    <row r="455" spans="1:3" x14ac:dyDescent="0.3">
      <c r="A455" s="1" t="s">
        <v>3</v>
      </c>
      <c r="B455" t="s">
        <v>457</v>
      </c>
      <c r="C455" s="1">
        <v>23.32</v>
      </c>
    </row>
    <row r="456" spans="1:3" x14ac:dyDescent="0.3">
      <c r="A456" s="1" t="s">
        <v>3</v>
      </c>
      <c r="B456" t="s">
        <v>458</v>
      </c>
      <c r="C456" s="1">
        <v>23.549999</v>
      </c>
    </row>
    <row r="457" spans="1:3" x14ac:dyDescent="0.3">
      <c r="A457" s="1" t="s">
        <v>3</v>
      </c>
      <c r="B457" t="s">
        <v>459</v>
      </c>
      <c r="C457" s="1">
        <v>23.469999000000001</v>
      </c>
    </row>
    <row r="458" spans="1:3" x14ac:dyDescent="0.3">
      <c r="A458" s="1" t="s">
        <v>3</v>
      </c>
      <c r="B458" t="s">
        <v>460</v>
      </c>
      <c r="C458" s="1">
        <v>23.700001</v>
      </c>
    </row>
    <row r="459" spans="1:3" x14ac:dyDescent="0.3">
      <c r="A459" s="1" t="s">
        <v>3</v>
      </c>
      <c r="B459" t="s">
        <v>461</v>
      </c>
      <c r="C459" s="1">
        <v>23.309999000000001</v>
      </c>
    </row>
    <row r="460" spans="1:3" x14ac:dyDescent="0.3">
      <c r="A460" s="1" t="s">
        <v>3</v>
      </c>
      <c r="B460" t="s">
        <v>462</v>
      </c>
      <c r="C460" s="1">
        <v>23.49</v>
      </c>
    </row>
    <row r="461" spans="1:3" x14ac:dyDescent="0.3">
      <c r="A461" s="1" t="s">
        <v>3</v>
      </c>
      <c r="B461" t="s">
        <v>463</v>
      </c>
      <c r="C461" s="1">
        <v>23.549999</v>
      </c>
    </row>
    <row r="462" spans="1:3" x14ac:dyDescent="0.3">
      <c r="A462" s="1" t="s">
        <v>3</v>
      </c>
      <c r="B462" t="s">
        <v>464</v>
      </c>
      <c r="C462" s="1">
        <v>23.440000999999999</v>
      </c>
    </row>
    <row r="463" spans="1:3" x14ac:dyDescent="0.3">
      <c r="A463" s="1" t="s">
        <v>3</v>
      </c>
      <c r="B463" t="s">
        <v>465</v>
      </c>
      <c r="C463" s="1">
        <v>23.4</v>
      </c>
    </row>
    <row r="464" spans="1:3" x14ac:dyDescent="0.3">
      <c r="A464" s="1" t="s">
        <v>3</v>
      </c>
      <c r="B464" t="s">
        <v>466</v>
      </c>
      <c r="C464" s="1">
        <v>23.51</v>
      </c>
    </row>
    <row r="465" spans="1:3" x14ac:dyDescent="0.3">
      <c r="A465" s="1" t="s">
        <v>3</v>
      </c>
      <c r="B465" t="s">
        <v>467</v>
      </c>
      <c r="C465" s="1">
        <v>23.51</v>
      </c>
    </row>
    <row r="466" spans="1:3" x14ac:dyDescent="0.3">
      <c r="A466" s="1" t="s">
        <v>3</v>
      </c>
      <c r="B466" t="s">
        <v>468</v>
      </c>
      <c r="C466" s="1">
        <v>23.76</v>
      </c>
    </row>
    <row r="467" spans="1:3" x14ac:dyDescent="0.3">
      <c r="A467" s="1" t="s">
        <v>3</v>
      </c>
      <c r="B467" t="s">
        <v>469</v>
      </c>
      <c r="C467" s="1">
        <v>23.709999</v>
      </c>
    </row>
    <row r="468" spans="1:3" x14ac:dyDescent="0.3">
      <c r="A468" s="1" t="s">
        <v>3</v>
      </c>
      <c r="B468" t="s">
        <v>470</v>
      </c>
      <c r="C468" s="1">
        <v>23.959999</v>
      </c>
    </row>
    <row r="469" spans="1:3" x14ac:dyDescent="0.3">
      <c r="A469" s="1" t="s">
        <v>3</v>
      </c>
      <c r="B469" t="s">
        <v>471</v>
      </c>
      <c r="C469" s="1">
        <v>24.280000999999999</v>
      </c>
    </row>
    <row r="470" spans="1:3" x14ac:dyDescent="0.3">
      <c r="A470" s="1" t="s">
        <v>3</v>
      </c>
      <c r="B470" t="s">
        <v>472</v>
      </c>
      <c r="C470" s="1">
        <v>24.059999000000001</v>
      </c>
    </row>
    <row r="471" spans="1:3" x14ac:dyDescent="0.3">
      <c r="A471" s="1" t="s">
        <v>3</v>
      </c>
      <c r="B471" t="s">
        <v>473</v>
      </c>
      <c r="C471" s="1">
        <v>23.889999</v>
      </c>
    </row>
    <row r="472" spans="1:3" x14ac:dyDescent="0.3">
      <c r="A472" s="1" t="s">
        <v>3</v>
      </c>
      <c r="B472" t="s">
        <v>474</v>
      </c>
      <c r="C472" s="1">
        <v>23.719999000000001</v>
      </c>
    </row>
    <row r="473" spans="1:3" x14ac:dyDescent="0.3">
      <c r="A473" s="1" t="s">
        <v>3</v>
      </c>
      <c r="B473" t="s">
        <v>475</v>
      </c>
      <c r="C473" s="1">
        <v>23.33</v>
      </c>
    </row>
    <row r="474" spans="1:3" x14ac:dyDescent="0.3">
      <c r="A474" s="1" t="s">
        <v>3</v>
      </c>
      <c r="B474" t="s">
        <v>476</v>
      </c>
      <c r="C474" s="1">
        <v>23.59</v>
      </c>
    </row>
    <row r="475" spans="1:3" x14ac:dyDescent="0.3">
      <c r="A475" s="1" t="s">
        <v>3</v>
      </c>
      <c r="B475" t="s">
        <v>477</v>
      </c>
      <c r="C475" s="1">
        <v>23.559999000000001</v>
      </c>
    </row>
    <row r="476" spans="1:3" x14ac:dyDescent="0.3">
      <c r="A476" s="1" t="s">
        <v>3</v>
      </c>
      <c r="B476" t="s">
        <v>478</v>
      </c>
      <c r="C476" s="1">
        <v>23.43</v>
      </c>
    </row>
    <row r="477" spans="1:3" x14ac:dyDescent="0.3">
      <c r="A477" s="1" t="s">
        <v>3</v>
      </c>
      <c r="B477" t="s">
        <v>479</v>
      </c>
      <c r="C477" s="1">
        <v>23.65</v>
      </c>
    </row>
    <row r="478" spans="1:3" x14ac:dyDescent="0.3">
      <c r="A478" s="1" t="s">
        <v>3</v>
      </c>
      <c r="B478" t="s">
        <v>480</v>
      </c>
      <c r="C478" s="1">
        <v>23.799999</v>
      </c>
    </row>
    <row r="479" spans="1:3" x14ac:dyDescent="0.3">
      <c r="A479" s="1" t="s">
        <v>3</v>
      </c>
      <c r="B479" t="s">
        <v>481</v>
      </c>
      <c r="C479" s="1">
        <v>23.66</v>
      </c>
    </row>
    <row r="480" spans="1:3" x14ac:dyDescent="0.3">
      <c r="A480" s="1" t="s">
        <v>3</v>
      </c>
      <c r="B480" t="s">
        <v>482</v>
      </c>
      <c r="C480" s="1">
        <v>23.26</v>
      </c>
    </row>
    <row r="481" spans="1:3" x14ac:dyDescent="0.3">
      <c r="A481" s="1" t="s">
        <v>3</v>
      </c>
      <c r="B481" t="s">
        <v>483</v>
      </c>
      <c r="C481" s="1">
        <v>23.200001</v>
      </c>
    </row>
    <row r="482" spans="1:3" x14ac:dyDescent="0.3">
      <c r="A482" s="1" t="s">
        <v>3</v>
      </c>
      <c r="B482" t="s">
        <v>484</v>
      </c>
      <c r="C482" s="1">
        <v>23.23</v>
      </c>
    </row>
    <row r="483" spans="1:3" x14ac:dyDescent="0.3">
      <c r="A483" s="1" t="s">
        <v>3</v>
      </c>
      <c r="B483" t="s">
        <v>485</v>
      </c>
      <c r="C483" s="1">
        <v>23.24</v>
      </c>
    </row>
    <row r="484" spans="1:3" x14ac:dyDescent="0.3">
      <c r="A484" s="1" t="s">
        <v>3</v>
      </c>
      <c r="B484" t="s">
        <v>486</v>
      </c>
      <c r="C484" s="1">
        <v>23.18</v>
      </c>
    </row>
    <row r="485" spans="1:3" x14ac:dyDescent="0.3">
      <c r="A485" s="1" t="s">
        <v>3</v>
      </c>
      <c r="B485" t="s">
        <v>487</v>
      </c>
      <c r="C485" s="1">
        <v>23.4</v>
      </c>
    </row>
    <row r="486" spans="1:3" x14ac:dyDescent="0.3">
      <c r="A486" s="1" t="s">
        <v>3</v>
      </c>
      <c r="B486" t="s">
        <v>488</v>
      </c>
      <c r="C486" s="1">
        <v>22.790001</v>
      </c>
    </row>
    <row r="487" spans="1:3" x14ac:dyDescent="0.3">
      <c r="A487" s="1" t="s">
        <v>3</v>
      </c>
      <c r="B487" t="s">
        <v>489</v>
      </c>
      <c r="C487" s="1">
        <v>23.059999000000001</v>
      </c>
    </row>
    <row r="488" spans="1:3" x14ac:dyDescent="0.3">
      <c r="A488" s="1" t="s">
        <v>3</v>
      </c>
      <c r="B488" t="s">
        <v>490</v>
      </c>
      <c r="C488" s="1">
        <v>23.030000999999999</v>
      </c>
    </row>
    <row r="489" spans="1:3" x14ac:dyDescent="0.3">
      <c r="A489" s="1" t="s">
        <v>3</v>
      </c>
      <c r="B489" t="s">
        <v>491</v>
      </c>
      <c r="C489" s="1">
        <v>23.02</v>
      </c>
    </row>
    <row r="490" spans="1:3" x14ac:dyDescent="0.3">
      <c r="A490" s="1" t="s">
        <v>3</v>
      </c>
      <c r="B490" t="s">
        <v>492</v>
      </c>
      <c r="C490" s="1">
        <v>23.1</v>
      </c>
    </row>
    <row r="491" spans="1:3" x14ac:dyDescent="0.3">
      <c r="A491" s="1" t="s">
        <v>3</v>
      </c>
      <c r="B491" t="s">
        <v>493</v>
      </c>
      <c r="C491" s="1">
        <v>22.93</v>
      </c>
    </row>
    <row r="492" spans="1:3" x14ac:dyDescent="0.3">
      <c r="A492" s="1" t="s">
        <v>3</v>
      </c>
      <c r="B492" t="s">
        <v>494</v>
      </c>
      <c r="C492" s="1">
        <v>22.870000999999998</v>
      </c>
    </row>
    <row r="493" spans="1:3" x14ac:dyDescent="0.3">
      <c r="A493" s="1" t="s">
        <v>3</v>
      </c>
      <c r="B493" t="s">
        <v>495</v>
      </c>
      <c r="C493" s="1">
        <v>22.360001</v>
      </c>
    </row>
    <row r="494" spans="1:3" x14ac:dyDescent="0.3">
      <c r="A494" s="1" t="s">
        <v>3</v>
      </c>
      <c r="B494" t="s">
        <v>496</v>
      </c>
      <c r="C494" s="1">
        <v>22.48</v>
      </c>
    </row>
    <row r="495" spans="1:3" x14ac:dyDescent="0.3">
      <c r="A495" s="1" t="s">
        <v>3</v>
      </c>
      <c r="B495" t="s">
        <v>497</v>
      </c>
      <c r="C495" s="1">
        <v>22.879999000000002</v>
      </c>
    </row>
    <row r="496" spans="1:3" x14ac:dyDescent="0.3">
      <c r="A496" s="1" t="s">
        <v>3</v>
      </c>
      <c r="B496" t="s">
        <v>498</v>
      </c>
      <c r="C496" s="1">
        <v>23.209999</v>
      </c>
    </row>
    <row r="497" spans="1:3" x14ac:dyDescent="0.3">
      <c r="A497" s="1" t="s">
        <v>3</v>
      </c>
      <c r="B497" t="s">
        <v>499</v>
      </c>
      <c r="C497" s="1">
        <v>23.290001</v>
      </c>
    </row>
    <row r="498" spans="1:3" x14ac:dyDescent="0.3">
      <c r="A498" s="1" t="s">
        <v>3</v>
      </c>
      <c r="B498" t="s">
        <v>500</v>
      </c>
      <c r="C498" s="1">
        <v>23.4</v>
      </c>
    </row>
    <row r="499" spans="1:3" x14ac:dyDescent="0.3">
      <c r="A499" s="1" t="s">
        <v>3</v>
      </c>
      <c r="B499" t="s">
        <v>501</v>
      </c>
      <c r="C499" s="1">
        <v>23.48</v>
      </c>
    </row>
    <row r="500" spans="1:3" x14ac:dyDescent="0.3">
      <c r="A500" s="1" t="s">
        <v>3</v>
      </c>
      <c r="B500" t="s">
        <v>502</v>
      </c>
      <c r="C500" s="1">
        <v>23.5</v>
      </c>
    </row>
    <row r="501" spans="1:3" x14ac:dyDescent="0.3">
      <c r="A501" s="1" t="s">
        <v>3</v>
      </c>
      <c r="B501" t="s">
        <v>503</v>
      </c>
      <c r="C501" s="1">
        <v>23.799999</v>
      </c>
    </row>
    <row r="502" spans="1:3" x14ac:dyDescent="0.3">
      <c r="A502" s="1" t="s">
        <v>3</v>
      </c>
      <c r="B502" t="s">
        <v>504</v>
      </c>
      <c r="C502" s="1">
        <v>23.24</v>
      </c>
    </row>
    <row r="503" spans="1:3" x14ac:dyDescent="0.3">
      <c r="A503" s="1" t="s">
        <v>505</v>
      </c>
      <c r="B503" t="s">
        <v>4</v>
      </c>
      <c r="C503" s="1">
        <v>11.841039</v>
      </c>
    </row>
    <row r="504" spans="1:3" x14ac:dyDescent="0.3">
      <c r="A504" s="1" t="s">
        <v>505</v>
      </c>
      <c r="B504" t="s">
        <v>5</v>
      </c>
      <c r="C504" s="1">
        <v>11.647643</v>
      </c>
    </row>
    <row r="505" spans="1:3" x14ac:dyDescent="0.3">
      <c r="A505" s="1" t="s">
        <v>505</v>
      </c>
      <c r="B505" t="s">
        <v>6</v>
      </c>
      <c r="C505" s="1">
        <v>11.366343000000001</v>
      </c>
    </row>
    <row r="506" spans="1:3" x14ac:dyDescent="0.3">
      <c r="A506" s="1" t="s">
        <v>505</v>
      </c>
      <c r="B506" t="s">
        <v>7</v>
      </c>
      <c r="C506" s="1">
        <v>11.208109</v>
      </c>
    </row>
    <row r="507" spans="1:3" x14ac:dyDescent="0.3">
      <c r="A507" s="1" t="s">
        <v>505</v>
      </c>
      <c r="B507" t="s">
        <v>8</v>
      </c>
      <c r="C507" s="1">
        <v>11.049877</v>
      </c>
    </row>
    <row r="508" spans="1:3" x14ac:dyDescent="0.3">
      <c r="A508" s="1" t="s">
        <v>505</v>
      </c>
      <c r="B508" t="s">
        <v>9</v>
      </c>
      <c r="C508" s="1">
        <v>11.252064000000001</v>
      </c>
    </row>
    <row r="509" spans="1:3" x14ac:dyDescent="0.3">
      <c r="A509" s="1" t="s">
        <v>505</v>
      </c>
      <c r="B509" t="s">
        <v>10</v>
      </c>
      <c r="C509" s="1">
        <v>11.348761</v>
      </c>
    </row>
    <row r="510" spans="1:3" x14ac:dyDescent="0.3">
      <c r="A510" s="1" t="s">
        <v>505</v>
      </c>
      <c r="B510" t="s">
        <v>11</v>
      </c>
      <c r="C510" s="1">
        <v>11.032296000000001</v>
      </c>
    </row>
    <row r="511" spans="1:3" x14ac:dyDescent="0.3">
      <c r="A511" s="1" t="s">
        <v>505</v>
      </c>
      <c r="B511" t="s">
        <v>12</v>
      </c>
      <c r="C511" s="1">
        <v>11.058669</v>
      </c>
    </row>
    <row r="512" spans="1:3" x14ac:dyDescent="0.3">
      <c r="A512" s="1" t="s">
        <v>505</v>
      </c>
      <c r="B512" t="s">
        <v>13</v>
      </c>
      <c r="C512" s="1">
        <v>10.812530000000001</v>
      </c>
    </row>
    <row r="513" spans="1:3" x14ac:dyDescent="0.3">
      <c r="A513" s="1" t="s">
        <v>505</v>
      </c>
      <c r="B513" t="s">
        <v>14</v>
      </c>
      <c r="C513" s="1">
        <v>10.592763</v>
      </c>
    </row>
    <row r="514" spans="1:3" x14ac:dyDescent="0.3">
      <c r="A514" s="1" t="s">
        <v>505</v>
      </c>
      <c r="B514" t="s">
        <v>15</v>
      </c>
      <c r="C514" s="1">
        <v>10.768575</v>
      </c>
    </row>
    <row r="515" spans="1:3" x14ac:dyDescent="0.3">
      <c r="A515" s="1" t="s">
        <v>505</v>
      </c>
      <c r="B515" t="s">
        <v>16</v>
      </c>
      <c r="C515" s="1">
        <v>10.979551000000001</v>
      </c>
    </row>
    <row r="516" spans="1:3" x14ac:dyDescent="0.3">
      <c r="A516" s="1" t="s">
        <v>505</v>
      </c>
      <c r="B516" t="s">
        <v>17</v>
      </c>
      <c r="C516" s="1">
        <v>10.95318</v>
      </c>
    </row>
    <row r="517" spans="1:3" x14ac:dyDescent="0.3">
      <c r="A517" s="1" t="s">
        <v>505</v>
      </c>
      <c r="B517" t="s">
        <v>18</v>
      </c>
      <c r="C517" s="1">
        <v>11.093830000000001</v>
      </c>
    </row>
    <row r="518" spans="1:3" x14ac:dyDescent="0.3">
      <c r="A518" s="1" t="s">
        <v>505</v>
      </c>
      <c r="B518" t="s">
        <v>19</v>
      </c>
      <c r="C518" s="1">
        <v>11.111412</v>
      </c>
    </row>
    <row r="519" spans="1:3" x14ac:dyDescent="0.3">
      <c r="A519" s="1" t="s">
        <v>505</v>
      </c>
      <c r="B519" t="s">
        <v>20</v>
      </c>
      <c r="C519" s="1">
        <v>11.005924</v>
      </c>
    </row>
    <row r="520" spans="1:3" x14ac:dyDescent="0.3">
      <c r="A520" s="1" t="s">
        <v>505</v>
      </c>
      <c r="B520" t="s">
        <v>21</v>
      </c>
      <c r="C520" s="1">
        <v>10.97076</v>
      </c>
    </row>
    <row r="521" spans="1:3" x14ac:dyDescent="0.3">
      <c r="A521" s="1" t="s">
        <v>505</v>
      </c>
      <c r="B521" t="s">
        <v>22</v>
      </c>
      <c r="C521" s="1">
        <v>10.856483000000001</v>
      </c>
    </row>
    <row r="522" spans="1:3" x14ac:dyDescent="0.3">
      <c r="A522" s="1" t="s">
        <v>505</v>
      </c>
      <c r="B522" t="s">
        <v>23</v>
      </c>
      <c r="C522" s="1">
        <v>10.733414</v>
      </c>
    </row>
    <row r="523" spans="1:3" x14ac:dyDescent="0.3">
      <c r="A523" s="1" t="s">
        <v>505</v>
      </c>
      <c r="B523" t="s">
        <v>24</v>
      </c>
      <c r="C523" s="1">
        <v>11.102620999999999</v>
      </c>
    </row>
    <row r="524" spans="1:3" x14ac:dyDescent="0.3">
      <c r="A524" s="1" t="s">
        <v>505</v>
      </c>
      <c r="B524" t="s">
        <v>25</v>
      </c>
      <c r="C524" s="1">
        <v>11.252064000000001</v>
      </c>
    </row>
    <row r="525" spans="1:3" x14ac:dyDescent="0.3">
      <c r="A525" s="1" t="s">
        <v>505</v>
      </c>
      <c r="B525" t="s">
        <v>26</v>
      </c>
      <c r="C525" s="1">
        <v>11.199318999999999</v>
      </c>
    </row>
    <row r="526" spans="1:3" x14ac:dyDescent="0.3">
      <c r="A526" s="1" t="s">
        <v>505</v>
      </c>
      <c r="B526" t="s">
        <v>27</v>
      </c>
      <c r="C526" s="1">
        <v>11.243273</v>
      </c>
    </row>
    <row r="527" spans="1:3" x14ac:dyDescent="0.3">
      <c r="A527" s="1" t="s">
        <v>505</v>
      </c>
      <c r="B527" t="s">
        <v>28</v>
      </c>
      <c r="C527" s="1">
        <v>11.489411</v>
      </c>
    </row>
    <row r="528" spans="1:3" x14ac:dyDescent="0.3">
      <c r="A528" s="1" t="s">
        <v>505</v>
      </c>
      <c r="B528" t="s">
        <v>29</v>
      </c>
      <c r="C528" s="1">
        <v>11.550947000000001</v>
      </c>
    </row>
    <row r="529" spans="1:3" x14ac:dyDescent="0.3">
      <c r="A529" s="1" t="s">
        <v>505</v>
      </c>
      <c r="B529" t="s">
        <v>30</v>
      </c>
      <c r="C529" s="1">
        <v>11.577318999999999</v>
      </c>
    </row>
    <row r="530" spans="1:3" x14ac:dyDescent="0.3">
      <c r="A530" s="1" t="s">
        <v>505</v>
      </c>
      <c r="B530" t="s">
        <v>31</v>
      </c>
      <c r="C530" s="1">
        <v>11.665226000000001</v>
      </c>
    </row>
    <row r="531" spans="1:3" x14ac:dyDescent="0.3">
      <c r="A531" s="1" t="s">
        <v>505</v>
      </c>
      <c r="B531" t="s">
        <v>32</v>
      </c>
      <c r="C531" s="1">
        <v>11.480620999999999</v>
      </c>
    </row>
    <row r="532" spans="1:3" x14ac:dyDescent="0.3">
      <c r="A532" s="1" t="s">
        <v>505</v>
      </c>
      <c r="B532" t="s">
        <v>33</v>
      </c>
      <c r="C532" s="1">
        <v>11.515783000000001</v>
      </c>
    </row>
    <row r="533" spans="1:3" x14ac:dyDescent="0.3">
      <c r="A533" s="1" t="s">
        <v>505</v>
      </c>
      <c r="B533" t="s">
        <v>34</v>
      </c>
      <c r="C533" s="1">
        <v>11.805876</v>
      </c>
    </row>
    <row r="534" spans="1:3" x14ac:dyDescent="0.3">
      <c r="A534" s="1" t="s">
        <v>505</v>
      </c>
      <c r="B534" t="s">
        <v>35</v>
      </c>
      <c r="C534" s="1">
        <v>11.946527</v>
      </c>
    </row>
    <row r="535" spans="1:3" x14ac:dyDescent="0.3">
      <c r="A535" s="1" t="s">
        <v>505</v>
      </c>
      <c r="B535" t="s">
        <v>36</v>
      </c>
      <c r="C535" s="1">
        <v>11.814666000000001</v>
      </c>
    </row>
    <row r="536" spans="1:3" x14ac:dyDescent="0.3">
      <c r="A536" s="1" t="s">
        <v>505</v>
      </c>
      <c r="B536" t="s">
        <v>37</v>
      </c>
      <c r="C536" s="1">
        <v>11.630061</v>
      </c>
    </row>
    <row r="537" spans="1:3" x14ac:dyDescent="0.3">
      <c r="A537" s="1" t="s">
        <v>505</v>
      </c>
      <c r="B537" t="s">
        <v>38</v>
      </c>
      <c r="C537" s="1">
        <v>11.542154999999999</v>
      </c>
    </row>
    <row r="538" spans="1:3" x14ac:dyDescent="0.3">
      <c r="A538" s="1" t="s">
        <v>505</v>
      </c>
      <c r="B538" t="s">
        <v>39</v>
      </c>
      <c r="C538" s="1">
        <v>11.550947000000001</v>
      </c>
    </row>
    <row r="539" spans="1:3" x14ac:dyDescent="0.3">
      <c r="A539" s="1" t="s">
        <v>505</v>
      </c>
      <c r="B539" t="s">
        <v>40</v>
      </c>
      <c r="C539" s="1">
        <v>11.594900000000001</v>
      </c>
    </row>
    <row r="540" spans="1:3" x14ac:dyDescent="0.3">
      <c r="A540" s="1" t="s">
        <v>505</v>
      </c>
      <c r="B540" t="s">
        <v>41</v>
      </c>
      <c r="C540" s="1">
        <v>11.427875999999999</v>
      </c>
    </row>
    <row r="541" spans="1:3" x14ac:dyDescent="0.3">
      <c r="A541" s="1" t="s">
        <v>505</v>
      </c>
      <c r="B541" t="s">
        <v>42</v>
      </c>
      <c r="C541" s="1">
        <v>11.313598000000001</v>
      </c>
    </row>
    <row r="542" spans="1:3" x14ac:dyDescent="0.3">
      <c r="A542" s="1" t="s">
        <v>505</v>
      </c>
      <c r="B542" t="s">
        <v>43</v>
      </c>
      <c r="C542" s="1">
        <v>11.33118</v>
      </c>
    </row>
    <row r="543" spans="1:3" x14ac:dyDescent="0.3">
      <c r="A543" s="1" t="s">
        <v>505</v>
      </c>
      <c r="B543" t="s">
        <v>44</v>
      </c>
      <c r="C543" s="1">
        <v>11.85862</v>
      </c>
    </row>
    <row r="544" spans="1:3" x14ac:dyDescent="0.3">
      <c r="A544" s="1" t="s">
        <v>505</v>
      </c>
      <c r="B544" t="s">
        <v>45</v>
      </c>
      <c r="C544" s="1">
        <v>11.849829</v>
      </c>
    </row>
    <row r="545" spans="1:3" x14ac:dyDescent="0.3">
      <c r="A545" s="1" t="s">
        <v>505</v>
      </c>
      <c r="B545" t="s">
        <v>46</v>
      </c>
      <c r="C545" s="1">
        <v>11.86741</v>
      </c>
    </row>
    <row r="546" spans="1:3" x14ac:dyDescent="0.3">
      <c r="A546" s="1" t="s">
        <v>505</v>
      </c>
      <c r="B546" t="s">
        <v>47</v>
      </c>
      <c r="C546" s="1">
        <v>11.85862</v>
      </c>
    </row>
    <row r="547" spans="1:3" x14ac:dyDescent="0.3">
      <c r="A547" s="1" t="s">
        <v>505</v>
      </c>
      <c r="B547" t="s">
        <v>48</v>
      </c>
      <c r="C547" s="1">
        <v>11.630061</v>
      </c>
    </row>
    <row r="548" spans="1:3" x14ac:dyDescent="0.3">
      <c r="A548" s="1" t="s">
        <v>505</v>
      </c>
      <c r="B548" t="s">
        <v>49</v>
      </c>
      <c r="C548" s="1">
        <v>11.542154999999999</v>
      </c>
    </row>
    <row r="549" spans="1:3" x14ac:dyDescent="0.3">
      <c r="A549" s="1" t="s">
        <v>505</v>
      </c>
      <c r="B549" t="s">
        <v>50</v>
      </c>
      <c r="C549" s="1">
        <v>11.61248</v>
      </c>
    </row>
    <row r="550" spans="1:3" x14ac:dyDescent="0.3">
      <c r="A550" s="1" t="s">
        <v>505</v>
      </c>
      <c r="B550" t="s">
        <v>51</v>
      </c>
      <c r="C550" s="1">
        <v>11.797086</v>
      </c>
    </row>
    <row r="551" spans="1:3" x14ac:dyDescent="0.3">
      <c r="A551" s="1" t="s">
        <v>505</v>
      </c>
      <c r="B551" t="s">
        <v>52</v>
      </c>
      <c r="C551" s="1">
        <v>11.753132000000001</v>
      </c>
    </row>
    <row r="552" spans="1:3" x14ac:dyDescent="0.3">
      <c r="A552" s="1" t="s">
        <v>505</v>
      </c>
      <c r="B552" t="s">
        <v>53</v>
      </c>
      <c r="C552" s="1">
        <v>11.744341</v>
      </c>
    </row>
    <row r="553" spans="1:3" x14ac:dyDescent="0.3">
      <c r="A553" s="1" t="s">
        <v>505</v>
      </c>
      <c r="B553" t="s">
        <v>54</v>
      </c>
      <c r="C553" s="1">
        <v>11.779503</v>
      </c>
    </row>
    <row r="554" spans="1:3" x14ac:dyDescent="0.3">
      <c r="A554" s="1" t="s">
        <v>505</v>
      </c>
      <c r="B554" t="s">
        <v>55</v>
      </c>
      <c r="C554" s="1">
        <v>11.814666000000001</v>
      </c>
    </row>
    <row r="555" spans="1:3" x14ac:dyDescent="0.3">
      <c r="A555" s="1" t="s">
        <v>505</v>
      </c>
      <c r="B555" t="s">
        <v>56</v>
      </c>
      <c r="C555" s="1">
        <v>11.788294</v>
      </c>
    </row>
    <row r="556" spans="1:3" x14ac:dyDescent="0.3">
      <c r="A556" s="1" t="s">
        <v>505</v>
      </c>
      <c r="B556" t="s">
        <v>57</v>
      </c>
      <c r="C556" s="1">
        <v>11.770713000000001</v>
      </c>
    </row>
    <row r="557" spans="1:3" x14ac:dyDescent="0.3">
      <c r="A557" s="1" t="s">
        <v>505</v>
      </c>
      <c r="B557" t="s">
        <v>58</v>
      </c>
      <c r="C557" s="1">
        <v>11.911365</v>
      </c>
    </row>
    <row r="558" spans="1:3" x14ac:dyDescent="0.3">
      <c r="A558" s="1" t="s">
        <v>505</v>
      </c>
      <c r="B558" t="s">
        <v>59</v>
      </c>
      <c r="C558" s="1">
        <v>12.043224</v>
      </c>
    </row>
    <row r="559" spans="1:3" x14ac:dyDescent="0.3">
      <c r="A559" s="1" t="s">
        <v>505</v>
      </c>
      <c r="B559" t="s">
        <v>60</v>
      </c>
      <c r="C559" s="1">
        <v>12.087178</v>
      </c>
    </row>
    <row r="560" spans="1:3" x14ac:dyDescent="0.3">
      <c r="A560" s="1" t="s">
        <v>505</v>
      </c>
      <c r="B560" t="s">
        <v>61</v>
      </c>
      <c r="C560" s="1">
        <v>12.078386999999999</v>
      </c>
    </row>
    <row r="561" spans="1:3" x14ac:dyDescent="0.3">
      <c r="A561" s="1" t="s">
        <v>505</v>
      </c>
      <c r="B561" t="s">
        <v>62</v>
      </c>
      <c r="C561" s="1">
        <v>12.078386999999999</v>
      </c>
    </row>
    <row r="562" spans="1:3" x14ac:dyDescent="0.3">
      <c r="A562" s="1" t="s">
        <v>505</v>
      </c>
      <c r="B562" t="s">
        <v>63</v>
      </c>
      <c r="C562" s="1">
        <v>12.210248</v>
      </c>
    </row>
    <row r="563" spans="1:3" x14ac:dyDescent="0.3">
      <c r="A563" s="1" t="s">
        <v>505</v>
      </c>
      <c r="B563" t="s">
        <v>64</v>
      </c>
      <c r="C563" s="1">
        <v>12.913500000000001</v>
      </c>
    </row>
    <row r="564" spans="1:3" x14ac:dyDescent="0.3">
      <c r="A564" s="1" t="s">
        <v>505</v>
      </c>
      <c r="B564" t="s">
        <v>65</v>
      </c>
      <c r="C564" s="1">
        <v>12.693732000000001</v>
      </c>
    </row>
    <row r="565" spans="1:3" x14ac:dyDescent="0.3">
      <c r="A565" s="1" t="s">
        <v>505</v>
      </c>
      <c r="B565" t="s">
        <v>66</v>
      </c>
      <c r="C565" s="1">
        <v>12.702524</v>
      </c>
    </row>
    <row r="566" spans="1:3" x14ac:dyDescent="0.3">
      <c r="A566" s="1" t="s">
        <v>505</v>
      </c>
      <c r="B566" t="s">
        <v>67</v>
      </c>
      <c r="C566" s="1">
        <v>12.834384999999999</v>
      </c>
    </row>
    <row r="567" spans="1:3" x14ac:dyDescent="0.3">
      <c r="A567" s="1" t="s">
        <v>505</v>
      </c>
      <c r="B567" t="s">
        <v>68</v>
      </c>
      <c r="C567" s="1">
        <v>12.931082</v>
      </c>
    </row>
    <row r="568" spans="1:3" x14ac:dyDescent="0.3">
      <c r="A568" s="1" t="s">
        <v>505</v>
      </c>
      <c r="B568" t="s">
        <v>69</v>
      </c>
      <c r="C568" s="1">
        <v>12.790430000000001</v>
      </c>
    </row>
    <row r="569" spans="1:3" x14ac:dyDescent="0.3">
      <c r="A569" s="1" t="s">
        <v>505</v>
      </c>
      <c r="B569" t="s">
        <v>70</v>
      </c>
      <c r="C569" s="1">
        <v>12.764059</v>
      </c>
    </row>
    <row r="570" spans="1:3" x14ac:dyDescent="0.3">
      <c r="A570" s="1" t="s">
        <v>505</v>
      </c>
      <c r="B570" t="s">
        <v>71</v>
      </c>
      <c r="C570" s="1">
        <v>12.895918999999999</v>
      </c>
    </row>
    <row r="571" spans="1:3" x14ac:dyDescent="0.3">
      <c r="A571" s="1" t="s">
        <v>505</v>
      </c>
      <c r="B571" t="s">
        <v>72</v>
      </c>
      <c r="C571" s="1">
        <v>12.983826000000001</v>
      </c>
    </row>
    <row r="572" spans="1:3" x14ac:dyDescent="0.3">
      <c r="A572" s="1" t="s">
        <v>505</v>
      </c>
      <c r="B572" t="s">
        <v>73</v>
      </c>
      <c r="C572" s="1">
        <v>13.071732000000001</v>
      </c>
    </row>
    <row r="573" spans="1:3" x14ac:dyDescent="0.3">
      <c r="A573" s="1" t="s">
        <v>505</v>
      </c>
      <c r="B573" t="s">
        <v>74</v>
      </c>
      <c r="C573" s="1">
        <v>13.027779000000001</v>
      </c>
    </row>
    <row r="574" spans="1:3" x14ac:dyDescent="0.3">
      <c r="A574" s="1" t="s">
        <v>505</v>
      </c>
      <c r="B574" t="s">
        <v>75</v>
      </c>
      <c r="C574" s="1">
        <v>13.054152</v>
      </c>
    </row>
    <row r="575" spans="1:3" x14ac:dyDescent="0.3">
      <c r="A575" s="1" t="s">
        <v>505</v>
      </c>
      <c r="B575" t="s">
        <v>76</v>
      </c>
      <c r="C575" s="1">
        <v>13.045361</v>
      </c>
    </row>
    <row r="576" spans="1:3" x14ac:dyDescent="0.3">
      <c r="A576" s="1" t="s">
        <v>505</v>
      </c>
      <c r="B576" t="s">
        <v>77</v>
      </c>
      <c r="C576" s="1">
        <v>12.957452999999999</v>
      </c>
    </row>
    <row r="577" spans="1:3" x14ac:dyDescent="0.3">
      <c r="A577" s="1" t="s">
        <v>505</v>
      </c>
      <c r="B577" t="s">
        <v>78</v>
      </c>
      <c r="C577" s="1">
        <v>13.054152</v>
      </c>
    </row>
    <row r="578" spans="1:3" x14ac:dyDescent="0.3">
      <c r="A578" s="1" t="s">
        <v>505</v>
      </c>
      <c r="B578" t="s">
        <v>79</v>
      </c>
      <c r="C578" s="1">
        <v>13.010198000000001</v>
      </c>
    </row>
    <row r="579" spans="1:3" x14ac:dyDescent="0.3">
      <c r="A579" s="1" t="s">
        <v>505</v>
      </c>
      <c r="B579" t="s">
        <v>80</v>
      </c>
      <c r="C579" s="1">
        <v>13.071732000000001</v>
      </c>
    </row>
    <row r="580" spans="1:3" x14ac:dyDescent="0.3">
      <c r="A580" s="1" t="s">
        <v>505</v>
      </c>
      <c r="B580" t="s">
        <v>81</v>
      </c>
      <c r="C580" s="1">
        <v>12.957452999999999</v>
      </c>
    </row>
    <row r="581" spans="1:3" x14ac:dyDescent="0.3">
      <c r="A581" s="1" t="s">
        <v>505</v>
      </c>
      <c r="B581" t="s">
        <v>82</v>
      </c>
      <c r="C581" s="1">
        <v>12.860756</v>
      </c>
    </row>
    <row r="582" spans="1:3" x14ac:dyDescent="0.3">
      <c r="A582" s="1" t="s">
        <v>505</v>
      </c>
      <c r="B582" t="s">
        <v>83</v>
      </c>
      <c r="C582" s="1">
        <v>12.728896000000001</v>
      </c>
    </row>
    <row r="583" spans="1:3" x14ac:dyDescent="0.3">
      <c r="A583" s="1" t="s">
        <v>505</v>
      </c>
      <c r="B583" t="s">
        <v>84</v>
      </c>
      <c r="C583" s="1">
        <v>12.834384999999999</v>
      </c>
    </row>
    <row r="584" spans="1:3" x14ac:dyDescent="0.3">
      <c r="A584" s="1" t="s">
        <v>505</v>
      </c>
      <c r="B584" t="s">
        <v>85</v>
      </c>
      <c r="C584" s="1">
        <v>12.851966000000001</v>
      </c>
    </row>
    <row r="585" spans="1:3" x14ac:dyDescent="0.3">
      <c r="A585" s="1" t="s">
        <v>505</v>
      </c>
      <c r="B585" t="s">
        <v>86</v>
      </c>
      <c r="C585" s="1">
        <v>12.702524</v>
      </c>
    </row>
    <row r="586" spans="1:3" x14ac:dyDescent="0.3">
      <c r="A586" s="1" t="s">
        <v>505</v>
      </c>
      <c r="B586" t="s">
        <v>87</v>
      </c>
      <c r="C586" s="1">
        <v>12.702524</v>
      </c>
    </row>
    <row r="587" spans="1:3" x14ac:dyDescent="0.3">
      <c r="A587" s="1" t="s">
        <v>505</v>
      </c>
      <c r="B587" t="s">
        <v>88</v>
      </c>
      <c r="C587" s="1">
        <v>12.597035</v>
      </c>
    </row>
    <row r="588" spans="1:3" x14ac:dyDescent="0.3">
      <c r="A588" s="1" t="s">
        <v>505</v>
      </c>
      <c r="B588" t="s">
        <v>89</v>
      </c>
      <c r="C588" s="1">
        <v>12.605826</v>
      </c>
    </row>
    <row r="589" spans="1:3" x14ac:dyDescent="0.3">
      <c r="A589" s="1" t="s">
        <v>505</v>
      </c>
      <c r="B589" t="s">
        <v>90</v>
      </c>
      <c r="C589" s="1">
        <v>12.465175</v>
      </c>
    </row>
    <row r="590" spans="1:3" x14ac:dyDescent="0.3">
      <c r="A590" s="1" t="s">
        <v>505</v>
      </c>
      <c r="B590" t="s">
        <v>91</v>
      </c>
      <c r="C590" s="1">
        <v>12.298152999999999</v>
      </c>
    </row>
    <row r="591" spans="1:3" x14ac:dyDescent="0.3">
      <c r="A591" s="1" t="s">
        <v>505</v>
      </c>
      <c r="B591" t="s">
        <v>92</v>
      </c>
      <c r="C591" s="1">
        <v>12.113549000000001</v>
      </c>
    </row>
    <row r="592" spans="1:3" x14ac:dyDescent="0.3">
      <c r="A592" s="1" t="s">
        <v>505</v>
      </c>
      <c r="B592" t="s">
        <v>93</v>
      </c>
      <c r="C592" s="1">
        <v>12.245409</v>
      </c>
    </row>
    <row r="593" spans="1:3" x14ac:dyDescent="0.3">
      <c r="A593" s="1" t="s">
        <v>505</v>
      </c>
      <c r="B593" t="s">
        <v>94</v>
      </c>
      <c r="C593" s="1">
        <v>12.377269</v>
      </c>
    </row>
    <row r="594" spans="1:3" x14ac:dyDescent="0.3">
      <c r="A594" s="1" t="s">
        <v>505</v>
      </c>
      <c r="B594" t="s">
        <v>95</v>
      </c>
      <c r="C594" s="1">
        <v>12.711314</v>
      </c>
    </row>
    <row r="595" spans="1:3" x14ac:dyDescent="0.3">
      <c r="A595" s="1" t="s">
        <v>505</v>
      </c>
      <c r="B595" t="s">
        <v>96</v>
      </c>
      <c r="C595" s="1">
        <v>12.500339</v>
      </c>
    </row>
    <row r="596" spans="1:3" x14ac:dyDescent="0.3">
      <c r="A596" s="1" t="s">
        <v>505</v>
      </c>
      <c r="B596" t="s">
        <v>97</v>
      </c>
      <c r="C596" s="1">
        <v>11.682807</v>
      </c>
    </row>
    <row r="597" spans="1:3" x14ac:dyDescent="0.3">
      <c r="A597" s="1" t="s">
        <v>505</v>
      </c>
      <c r="B597" t="s">
        <v>98</v>
      </c>
      <c r="C597" s="1">
        <v>11.814666000000001</v>
      </c>
    </row>
    <row r="598" spans="1:3" x14ac:dyDescent="0.3">
      <c r="A598" s="1" t="s">
        <v>505</v>
      </c>
      <c r="B598" t="s">
        <v>99</v>
      </c>
      <c r="C598" s="1">
        <v>11.85862</v>
      </c>
    </row>
    <row r="599" spans="1:3" x14ac:dyDescent="0.3">
      <c r="A599" s="1" t="s">
        <v>505</v>
      </c>
      <c r="B599" t="s">
        <v>100</v>
      </c>
      <c r="C599" s="1">
        <v>11.823456</v>
      </c>
    </row>
    <row r="600" spans="1:3" x14ac:dyDescent="0.3">
      <c r="A600" s="1" t="s">
        <v>505</v>
      </c>
      <c r="B600" t="s">
        <v>101</v>
      </c>
      <c r="C600" s="1">
        <v>11.700388999999999</v>
      </c>
    </row>
    <row r="601" spans="1:3" x14ac:dyDescent="0.3">
      <c r="A601" s="1" t="s">
        <v>505</v>
      </c>
      <c r="B601" t="s">
        <v>102</v>
      </c>
      <c r="C601" s="1">
        <v>11.638852</v>
      </c>
    </row>
    <row r="602" spans="1:3" x14ac:dyDescent="0.3">
      <c r="A602" s="1" t="s">
        <v>505</v>
      </c>
      <c r="B602" t="s">
        <v>103</v>
      </c>
      <c r="C602" s="1">
        <v>11.647643</v>
      </c>
    </row>
    <row r="603" spans="1:3" x14ac:dyDescent="0.3">
      <c r="A603" s="1" t="s">
        <v>505</v>
      </c>
      <c r="B603" t="s">
        <v>104</v>
      </c>
      <c r="C603" s="1">
        <v>11.788294</v>
      </c>
    </row>
    <row r="604" spans="1:3" x14ac:dyDescent="0.3">
      <c r="A604" s="1" t="s">
        <v>505</v>
      </c>
      <c r="B604" t="s">
        <v>105</v>
      </c>
      <c r="C604" s="1">
        <v>11.753132000000001</v>
      </c>
    </row>
    <row r="605" spans="1:3" x14ac:dyDescent="0.3">
      <c r="A605" s="1" t="s">
        <v>505</v>
      </c>
      <c r="B605" t="s">
        <v>106</v>
      </c>
      <c r="C605" s="1">
        <v>11.849829</v>
      </c>
    </row>
    <row r="606" spans="1:3" x14ac:dyDescent="0.3">
      <c r="A606" s="1" t="s">
        <v>505</v>
      </c>
      <c r="B606" t="s">
        <v>107</v>
      </c>
      <c r="C606" s="1">
        <v>11.656434000000001</v>
      </c>
    </row>
    <row r="607" spans="1:3" x14ac:dyDescent="0.3">
      <c r="A607" s="1" t="s">
        <v>505</v>
      </c>
      <c r="B607" t="s">
        <v>108</v>
      </c>
      <c r="C607" s="1">
        <v>11.761922999999999</v>
      </c>
    </row>
    <row r="608" spans="1:3" x14ac:dyDescent="0.3">
      <c r="A608" s="1" t="s">
        <v>505</v>
      </c>
      <c r="B608" t="s">
        <v>109</v>
      </c>
      <c r="C608" s="1">
        <v>11.674015000000001</v>
      </c>
    </row>
    <row r="609" spans="1:3" x14ac:dyDescent="0.3">
      <c r="A609" s="1" t="s">
        <v>505</v>
      </c>
      <c r="B609" t="s">
        <v>110</v>
      </c>
      <c r="C609" s="1">
        <v>11.717969</v>
      </c>
    </row>
    <row r="610" spans="1:3" x14ac:dyDescent="0.3">
      <c r="A610" s="1" t="s">
        <v>505</v>
      </c>
      <c r="B610" t="s">
        <v>111</v>
      </c>
      <c r="C610" s="1">
        <v>11.700388999999999</v>
      </c>
    </row>
    <row r="611" spans="1:3" x14ac:dyDescent="0.3">
      <c r="A611" s="1" t="s">
        <v>505</v>
      </c>
      <c r="B611" t="s">
        <v>112</v>
      </c>
      <c r="C611" s="1">
        <v>11.656434000000001</v>
      </c>
    </row>
    <row r="612" spans="1:3" x14ac:dyDescent="0.3">
      <c r="A612" s="1" t="s">
        <v>505</v>
      </c>
      <c r="B612" t="s">
        <v>113</v>
      </c>
      <c r="C612" s="1">
        <v>11.691597</v>
      </c>
    </row>
    <row r="613" spans="1:3" x14ac:dyDescent="0.3">
      <c r="A613" s="1" t="s">
        <v>505</v>
      </c>
      <c r="B613" t="s">
        <v>114</v>
      </c>
      <c r="C613" s="1">
        <v>11.814666000000001</v>
      </c>
    </row>
    <row r="614" spans="1:3" x14ac:dyDescent="0.3">
      <c r="A614" s="1" t="s">
        <v>505</v>
      </c>
      <c r="B614" t="s">
        <v>115</v>
      </c>
      <c r="C614" s="1">
        <v>11.849829</v>
      </c>
    </row>
    <row r="615" spans="1:3" x14ac:dyDescent="0.3">
      <c r="A615" s="1" t="s">
        <v>505</v>
      </c>
      <c r="B615" t="s">
        <v>116</v>
      </c>
      <c r="C615" s="1">
        <v>11.717969</v>
      </c>
    </row>
    <row r="616" spans="1:3" x14ac:dyDescent="0.3">
      <c r="A616" s="1" t="s">
        <v>505</v>
      </c>
      <c r="B616" t="s">
        <v>117</v>
      </c>
      <c r="C616" s="1">
        <v>11.744341</v>
      </c>
    </row>
    <row r="617" spans="1:3" x14ac:dyDescent="0.3">
      <c r="A617" s="1" t="s">
        <v>505</v>
      </c>
      <c r="B617" t="s">
        <v>118</v>
      </c>
      <c r="C617" s="1">
        <v>11.86741</v>
      </c>
    </row>
    <row r="618" spans="1:3" x14ac:dyDescent="0.3">
      <c r="A618" s="1" t="s">
        <v>505</v>
      </c>
      <c r="B618" t="s">
        <v>119</v>
      </c>
      <c r="C618" s="1">
        <v>12.131130000000001</v>
      </c>
    </row>
    <row r="619" spans="1:3" x14ac:dyDescent="0.3">
      <c r="A619" s="1" t="s">
        <v>505</v>
      </c>
      <c r="B619" t="s">
        <v>120</v>
      </c>
      <c r="C619" s="1">
        <v>12.052014</v>
      </c>
    </row>
    <row r="620" spans="1:3" x14ac:dyDescent="0.3">
      <c r="A620" s="1" t="s">
        <v>505</v>
      </c>
      <c r="B620" t="s">
        <v>121</v>
      </c>
      <c r="C620" s="1">
        <v>12.060805999999999</v>
      </c>
    </row>
    <row r="621" spans="1:3" x14ac:dyDescent="0.3">
      <c r="A621" s="1" t="s">
        <v>505</v>
      </c>
      <c r="B621" t="s">
        <v>122</v>
      </c>
      <c r="C621" s="1">
        <v>12.025641999999999</v>
      </c>
    </row>
    <row r="622" spans="1:3" x14ac:dyDescent="0.3">
      <c r="A622" s="1" t="s">
        <v>505</v>
      </c>
      <c r="B622" t="s">
        <v>123</v>
      </c>
      <c r="C622" s="1">
        <v>12.069595</v>
      </c>
    </row>
    <row r="623" spans="1:3" x14ac:dyDescent="0.3">
      <c r="A623" s="1" t="s">
        <v>505</v>
      </c>
      <c r="B623" t="s">
        <v>124</v>
      </c>
      <c r="C623" s="1">
        <v>11.744341</v>
      </c>
    </row>
    <row r="624" spans="1:3" x14ac:dyDescent="0.3">
      <c r="A624" s="1" t="s">
        <v>505</v>
      </c>
      <c r="B624" t="s">
        <v>125</v>
      </c>
      <c r="C624" s="1">
        <v>11.981688999999999</v>
      </c>
    </row>
    <row r="625" spans="1:3" x14ac:dyDescent="0.3">
      <c r="A625" s="1" t="s">
        <v>505</v>
      </c>
      <c r="B625" t="s">
        <v>126</v>
      </c>
      <c r="C625" s="1">
        <v>12.060805999999999</v>
      </c>
    </row>
    <row r="626" spans="1:3" x14ac:dyDescent="0.3">
      <c r="A626" s="1" t="s">
        <v>505</v>
      </c>
      <c r="B626" t="s">
        <v>127</v>
      </c>
      <c r="C626" s="1">
        <v>11.86741</v>
      </c>
    </row>
    <row r="627" spans="1:3" x14ac:dyDescent="0.3">
      <c r="A627" s="1" t="s">
        <v>505</v>
      </c>
      <c r="B627" t="s">
        <v>128</v>
      </c>
      <c r="C627" s="1">
        <v>11.99048</v>
      </c>
    </row>
    <row r="628" spans="1:3" x14ac:dyDescent="0.3">
      <c r="A628" s="1" t="s">
        <v>505</v>
      </c>
      <c r="B628" t="s">
        <v>129</v>
      </c>
      <c r="C628" s="1">
        <v>12.078386999999999</v>
      </c>
    </row>
    <row r="629" spans="1:3" x14ac:dyDescent="0.3">
      <c r="A629" s="1" t="s">
        <v>505</v>
      </c>
      <c r="B629" t="s">
        <v>130</v>
      </c>
      <c r="C629" s="1">
        <v>12.131130000000001</v>
      </c>
    </row>
    <row r="630" spans="1:3" x14ac:dyDescent="0.3">
      <c r="A630" s="1" t="s">
        <v>505</v>
      </c>
      <c r="B630" t="s">
        <v>131</v>
      </c>
      <c r="C630" s="1">
        <v>12.122339999999999</v>
      </c>
    </row>
    <row r="631" spans="1:3" x14ac:dyDescent="0.3">
      <c r="A631" s="1" t="s">
        <v>505</v>
      </c>
      <c r="B631" t="s">
        <v>132</v>
      </c>
      <c r="C631" s="1">
        <v>12.131130000000001</v>
      </c>
    </row>
    <row r="632" spans="1:3" x14ac:dyDescent="0.3">
      <c r="A632" s="1" t="s">
        <v>505</v>
      </c>
      <c r="B632" t="s">
        <v>133</v>
      </c>
      <c r="C632" s="1">
        <v>12.122339999999999</v>
      </c>
    </row>
    <row r="633" spans="1:3" x14ac:dyDescent="0.3">
      <c r="A633" s="1" t="s">
        <v>505</v>
      </c>
      <c r="B633" t="s">
        <v>134</v>
      </c>
      <c r="C633" s="1">
        <v>12.394850999999999</v>
      </c>
    </row>
    <row r="634" spans="1:3" x14ac:dyDescent="0.3">
      <c r="A634" s="1" t="s">
        <v>505</v>
      </c>
      <c r="B634" t="s">
        <v>135</v>
      </c>
      <c r="C634" s="1">
        <v>11.779503</v>
      </c>
    </row>
    <row r="635" spans="1:3" x14ac:dyDescent="0.3">
      <c r="A635" s="1" t="s">
        <v>505</v>
      </c>
      <c r="B635" t="s">
        <v>136</v>
      </c>
      <c r="C635" s="1">
        <v>11.58611</v>
      </c>
    </row>
    <row r="636" spans="1:3" x14ac:dyDescent="0.3">
      <c r="A636" s="1" t="s">
        <v>505</v>
      </c>
      <c r="B636" t="s">
        <v>137</v>
      </c>
      <c r="C636" s="1">
        <v>11.454248</v>
      </c>
    </row>
    <row r="637" spans="1:3" x14ac:dyDescent="0.3">
      <c r="A637" s="1" t="s">
        <v>505</v>
      </c>
      <c r="B637" t="s">
        <v>138</v>
      </c>
      <c r="C637" s="1">
        <v>11.445458</v>
      </c>
    </row>
    <row r="638" spans="1:3" x14ac:dyDescent="0.3">
      <c r="A638" s="1" t="s">
        <v>505</v>
      </c>
      <c r="B638" t="s">
        <v>139</v>
      </c>
      <c r="C638" s="1">
        <v>11.463039</v>
      </c>
    </row>
    <row r="639" spans="1:3" x14ac:dyDescent="0.3">
      <c r="A639" s="1" t="s">
        <v>505</v>
      </c>
      <c r="B639" t="s">
        <v>140</v>
      </c>
      <c r="C639" s="1">
        <v>11.225690999999999</v>
      </c>
    </row>
    <row r="640" spans="1:3" x14ac:dyDescent="0.3">
      <c r="A640" s="1" t="s">
        <v>505</v>
      </c>
      <c r="B640" t="s">
        <v>141</v>
      </c>
      <c r="C640" s="1">
        <v>11.348761</v>
      </c>
    </row>
    <row r="641" spans="1:3" x14ac:dyDescent="0.3">
      <c r="A641" s="1" t="s">
        <v>505</v>
      </c>
      <c r="B641" t="s">
        <v>142</v>
      </c>
      <c r="C641" s="1">
        <v>11.621271</v>
      </c>
    </row>
    <row r="642" spans="1:3" x14ac:dyDescent="0.3">
      <c r="A642" s="1" t="s">
        <v>505</v>
      </c>
      <c r="B642" t="s">
        <v>143</v>
      </c>
      <c r="C642" s="1">
        <v>11.700388999999999</v>
      </c>
    </row>
    <row r="643" spans="1:3" x14ac:dyDescent="0.3">
      <c r="A643" s="1" t="s">
        <v>505</v>
      </c>
      <c r="B643" t="s">
        <v>144</v>
      </c>
      <c r="C643" s="1">
        <v>11.172948</v>
      </c>
    </row>
    <row r="644" spans="1:3" x14ac:dyDescent="0.3">
      <c r="A644" s="1" t="s">
        <v>505</v>
      </c>
      <c r="B644" t="s">
        <v>145</v>
      </c>
      <c r="C644" s="1">
        <v>10.988341999999999</v>
      </c>
    </row>
    <row r="645" spans="1:3" x14ac:dyDescent="0.3">
      <c r="A645" s="1" t="s">
        <v>505</v>
      </c>
      <c r="B645" t="s">
        <v>146</v>
      </c>
      <c r="C645" s="1">
        <v>10.830109999999999</v>
      </c>
    </row>
    <row r="646" spans="1:3" x14ac:dyDescent="0.3">
      <c r="A646" s="1" t="s">
        <v>505</v>
      </c>
      <c r="B646" t="s">
        <v>147</v>
      </c>
      <c r="C646" s="1">
        <v>10.364204000000001</v>
      </c>
    </row>
    <row r="647" spans="1:3" x14ac:dyDescent="0.3">
      <c r="A647" s="1" t="s">
        <v>505</v>
      </c>
      <c r="B647" t="s">
        <v>148</v>
      </c>
      <c r="C647" s="1">
        <v>10.082903999999999</v>
      </c>
    </row>
    <row r="648" spans="1:3" x14ac:dyDescent="0.3">
      <c r="A648" s="1" t="s">
        <v>505</v>
      </c>
      <c r="B648" t="s">
        <v>149</v>
      </c>
      <c r="C648" s="1">
        <v>9.9774150000000006</v>
      </c>
    </row>
    <row r="649" spans="1:3" x14ac:dyDescent="0.3">
      <c r="A649" s="1" t="s">
        <v>505</v>
      </c>
      <c r="B649" t="s">
        <v>150</v>
      </c>
      <c r="C649" s="1">
        <v>10.285088999999999</v>
      </c>
    </row>
    <row r="650" spans="1:3" x14ac:dyDescent="0.3">
      <c r="A650" s="1" t="s">
        <v>505</v>
      </c>
      <c r="B650" t="s">
        <v>151</v>
      </c>
      <c r="C650" s="1">
        <v>10.276297</v>
      </c>
    </row>
    <row r="651" spans="1:3" x14ac:dyDescent="0.3">
      <c r="A651" s="1" t="s">
        <v>505</v>
      </c>
      <c r="B651" t="s">
        <v>152</v>
      </c>
      <c r="C651" s="1">
        <v>9.8367629999999995</v>
      </c>
    </row>
    <row r="652" spans="1:3" x14ac:dyDescent="0.3">
      <c r="A652" s="1" t="s">
        <v>505</v>
      </c>
      <c r="B652" t="s">
        <v>153</v>
      </c>
      <c r="C652" s="1">
        <v>9.8191819999999996</v>
      </c>
    </row>
    <row r="653" spans="1:3" x14ac:dyDescent="0.3">
      <c r="A653" s="1" t="s">
        <v>505</v>
      </c>
      <c r="B653" t="s">
        <v>154</v>
      </c>
      <c r="C653" s="1">
        <v>9.1335099999999994</v>
      </c>
    </row>
    <row r="654" spans="1:3" x14ac:dyDescent="0.3">
      <c r="A654" s="1" t="s">
        <v>505</v>
      </c>
      <c r="B654" t="s">
        <v>155</v>
      </c>
      <c r="C654" s="1">
        <v>8.8697900000000001</v>
      </c>
    </row>
    <row r="655" spans="1:3" x14ac:dyDescent="0.3">
      <c r="A655" s="1" t="s">
        <v>505</v>
      </c>
      <c r="B655" t="s">
        <v>156</v>
      </c>
      <c r="C655" s="1">
        <v>8.8258369999999999</v>
      </c>
    </row>
    <row r="656" spans="1:3" x14ac:dyDescent="0.3">
      <c r="A656" s="1" t="s">
        <v>505</v>
      </c>
      <c r="B656" t="s">
        <v>157</v>
      </c>
      <c r="C656" s="1">
        <v>7.9863270000000002</v>
      </c>
    </row>
    <row r="657" spans="1:3" x14ac:dyDescent="0.3">
      <c r="A657" s="1" t="s">
        <v>505</v>
      </c>
      <c r="B657" t="s">
        <v>158</v>
      </c>
      <c r="C657" s="1">
        <v>7.8061189999999998</v>
      </c>
    </row>
    <row r="658" spans="1:3" x14ac:dyDescent="0.3">
      <c r="A658" s="1" t="s">
        <v>505</v>
      </c>
      <c r="B658" t="s">
        <v>159</v>
      </c>
      <c r="C658" s="1">
        <v>7.4500970000000004</v>
      </c>
    </row>
    <row r="659" spans="1:3" x14ac:dyDescent="0.3">
      <c r="A659" s="1" t="s">
        <v>505</v>
      </c>
      <c r="B659" t="s">
        <v>160</v>
      </c>
      <c r="C659" s="1">
        <v>7.5204219999999999</v>
      </c>
    </row>
    <row r="660" spans="1:3" x14ac:dyDescent="0.3">
      <c r="A660" s="1" t="s">
        <v>505</v>
      </c>
      <c r="B660" t="s">
        <v>161</v>
      </c>
      <c r="C660" s="1">
        <v>7.1995620000000002</v>
      </c>
    </row>
    <row r="661" spans="1:3" x14ac:dyDescent="0.3">
      <c r="A661" s="1" t="s">
        <v>505</v>
      </c>
      <c r="B661" t="s">
        <v>162</v>
      </c>
      <c r="C661" s="1">
        <v>7.4676780000000003</v>
      </c>
    </row>
    <row r="662" spans="1:3" x14ac:dyDescent="0.3">
      <c r="A662" s="1" t="s">
        <v>505</v>
      </c>
      <c r="B662" t="s">
        <v>163</v>
      </c>
      <c r="C662" s="1">
        <v>7.6522819999999996</v>
      </c>
    </row>
    <row r="663" spans="1:3" x14ac:dyDescent="0.3">
      <c r="A663" s="1" t="s">
        <v>505</v>
      </c>
      <c r="B663" t="s">
        <v>164</v>
      </c>
      <c r="C663" s="1">
        <v>7.1160509999999997</v>
      </c>
    </row>
    <row r="664" spans="1:3" x14ac:dyDescent="0.3">
      <c r="A664" s="1" t="s">
        <v>505</v>
      </c>
      <c r="B664" t="s">
        <v>165</v>
      </c>
      <c r="C664" s="1">
        <v>7.3973519999999997</v>
      </c>
    </row>
    <row r="665" spans="1:3" x14ac:dyDescent="0.3">
      <c r="A665" s="1" t="s">
        <v>505</v>
      </c>
      <c r="B665" t="s">
        <v>166</v>
      </c>
      <c r="C665" s="1">
        <v>7.5555849999999998</v>
      </c>
    </row>
    <row r="666" spans="1:3" x14ac:dyDescent="0.3">
      <c r="A666" s="1" t="s">
        <v>505</v>
      </c>
      <c r="B666" t="s">
        <v>167</v>
      </c>
      <c r="C666" s="1">
        <v>7.9145089999999998</v>
      </c>
    </row>
    <row r="667" spans="1:3" x14ac:dyDescent="0.3">
      <c r="A667" s="1" t="s">
        <v>505</v>
      </c>
      <c r="B667" t="s">
        <v>168</v>
      </c>
      <c r="C667" s="1">
        <v>7.8645319999999996</v>
      </c>
    </row>
    <row r="668" spans="1:3" x14ac:dyDescent="0.3">
      <c r="A668" s="1" t="s">
        <v>505</v>
      </c>
      <c r="B668" t="s">
        <v>169</v>
      </c>
      <c r="C668" s="1">
        <v>7.7554920000000003</v>
      </c>
    </row>
    <row r="669" spans="1:3" x14ac:dyDescent="0.3">
      <c r="A669" s="1" t="s">
        <v>505</v>
      </c>
      <c r="B669" t="s">
        <v>170</v>
      </c>
      <c r="C669" s="1">
        <v>8.0235489999999992</v>
      </c>
    </row>
    <row r="670" spans="1:3" x14ac:dyDescent="0.3">
      <c r="A670" s="1" t="s">
        <v>505</v>
      </c>
      <c r="B670" t="s">
        <v>171</v>
      </c>
      <c r="C670" s="1">
        <v>7.8736189999999997</v>
      </c>
    </row>
    <row r="671" spans="1:3" x14ac:dyDescent="0.3">
      <c r="A671" s="1" t="s">
        <v>505</v>
      </c>
      <c r="B671" t="s">
        <v>172</v>
      </c>
      <c r="C671" s="1">
        <v>7.964486</v>
      </c>
    </row>
    <row r="672" spans="1:3" x14ac:dyDescent="0.3">
      <c r="A672" s="1" t="s">
        <v>505</v>
      </c>
      <c r="B672" t="s">
        <v>173</v>
      </c>
      <c r="C672" s="1">
        <v>8.1780240000000006</v>
      </c>
    </row>
    <row r="673" spans="1:3" x14ac:dyDescent="0.3">
      <c r="A673" s="1" t="s">
        <v>505</v>
      </c>
      <c r="B673" t="s">
        <v>174</v>
      </c>
      <c r="C673" s="1">
        <v>8.5142319999999998</v>
      </c>
    </row>
    <row r="674" spans="1:3" x14ac:dyDescent="0.3">
      <c r="A674" s="1" t="s">
        <v>505</v>
      </c>
      <c r="B674" t="s">
        <v>175</v>
      </c>
      <c r="C674" s="1">
        <v>8.7368550000000003</v>
      </c>
    </row>
    <row r="675" spans="1:3" x14ac:dyDescent="0.3">
      <c r="A675" s="1" t="s">
        <v>505</v>
      </c>
      <c r="B675" t="s">
        <v>176</v>
      </c>
      <c r="C675" s="1">
        <v>8.8095479999999995</v>
      </c>
    </row>
    <row r="676" spans="1:3" x14ac:dyDescent="0.3">
      <c r="A676" s="1" t="s">
        <v>505</v>
      </c>
      <c r="B676" t="s">
        <v>177</v>
      </c>
      <c r="C676" s="1">
        <v>9.1775590000000005</v>
      </c>
    </row>
    <row r="677" spans="1:3" x14ac:dyDescent="0.3">
      <c r="A677" s="1" t="s">
        <v>505</v>
      </c>
      <c r="B677" t="s">
        <v>178</v>
      </c>
      <c r="C677" s="1">
        <v>8.9231320000000007</v>
      </c>
    </row>
    <row r="678" spans="1:3" x14ac:dyDescent="0.3">
      <c r="A678" s="1" t="s">
        <v>505</v>
      </c>
      <c r="B678" t="s">
        <v>179</v>
      </c>
      <c r="C678" s="1">
        <v>8.5414899999999996</v>
      </c>
    </row>
    <row r="679" spans="1:3" x14ac:dyDescent="0.3">
      <c r="A679" s="1" t="s">
        <v>505</v>
      </c>
      <c r="B679" t="s">
        <v>180</v>
      </c>
      <c r="C679" s="1">
        <v>8.3961039999999993</v>
      </c>
    </row>
    <row r="680" spans="1:3" x14ac:dyDescent="0.3">
      <c r="A680" s="1" t="s">
        <v>505</v>
      </c>
      <c r="B680" t="s">
        <v>181</v>
      </c>
      <c r="C680" s="1">
        <v>8.6050989999999992</v>
      </c>
    </row>
    <row r="681" spans="1:3" x14ac:dyDescent="0.3">
      <c r="A681" s="1" t="s">
        <v>505</v>
      </c>
      <c r="B681" t="s">
        <v>182</v>
      </c>
      <c r="C681" s="1">
        <v>8.7186810000000001</v>
      </c>
    </row>
    <row r="682" spans="1:3" x14ac:dyDescent="0.3">
      <c r="A682" s="1" t="s">
        <v>505</v>
      </c>
      <c r="B682" t="s">
        <v>183</v>
      </c>
      <c r="C682" s="1">
        <v>8.4687979999999996</v>
      </c>
    </row>
    <row r="683" spans="1:3" x14ac:dyDescent="0.3">
      <c r="A683" s="1" t="s">
        <v>505</v>
      </c>
      <c r="B683" t="s">
        <v>184</v>
      </c>
      <c r="C683" s="1">
        <v>8.5732940000000006</v>
      </c>
    </row>
    <row r="684" spans="1:3" x14ac:dyDescent="0.3">
      <c r="A684" s="1" t="s">
        <v>505</v>
      </c>
      <c r="B684" t="s">
        <v>185</v>
      </c>
      <c r="C684" s="1">
        <v>8.7323109999999993</v>
      </c>
    </row>
    <row r="685" spans="1:3" x14ac:dyDescent="0.3">
      <c r="A685" s="1" t="s">
        <v>505</v>
      </c>
      <c r="B685" t="s">
        <v>186</v>
      </c>
      <c r="C685" s="1">
        <v>8.6687049999999992</v>
      </c>
    </row>
    <row r="686" spans="1:3" x14ac:dyDescent="0.3">
      <c r="A686" s="1" t="s">
        <v>505</v>
      </c>
      <c r="B686" t="s">
        <v>187</v>
      </c>
      <c r="C686" s="1">
        <v>8.8640690000000006</v>
      </c>
    </row>
    <row r="687" spans="1:3" x14ac:dyDescent="0.3">
      <c r="A687" s="1" t="s">
        <v>505</v>
      </c>
      <c r="B687" t="s">
        <v>188</v>
      </c>
      <c r="C687" s="1">
        <v>9.8045410000000004</v>
      </c>
    </row>
    <row r="688" spans="1:3" x14ac:dyDescent="0.3">
      <c r="A688" s="1" t="s">
        <v>505</v>
      </c>
      <c r="B688" t="s">
        <v>189</v>
      </c>
      <c r="C688" s="1">
        <v>10.358829</v>
      </c>
    </row>
    <row r="689" spans="1:3" x14ac:dyDescent="0.3">
      <c r="A689" s="1" t="s">
        <v>505</v>
      </c>
      <c r="B689" t="s">
        <v>190</v>
      </c>
      <c r="C689" s="1">
        <v>9.9862739999999999</v>
      </c>
    </row>
    <row r="690" spans="1:3" x14ac:dyDescent="0.3">
      <c r="A690" s="1" t="s">
        <v>505</v>
      </c>
      <c r="B690" t="s">
        <v>191</v>
      </c>
      <c r="C690" s="1">
        <v>10.040794</v>
      </c>
    </row>
    <row r="691" spans="1:3" x14ac:dyDescent="0.3">
      <c r="A691" s="1" t="s">
        <v>505</v>
      </c>
      <c r="B691" t="s">
        <v>192</v>
      </c>
      <c r="C691" s="1">
        <v>10.168008</v>
      </c>
    </row>
    <row r="692" spans="1:3" x14ac:dyDescent="0.3">
      <c r="A692" s="1" t="s">
        <v>505</v>
      </c>
      <c r="B692" t="s">
        <v>193</v>
      </c>
      <c r="C692" s="1">
        <v>10.046849</v>
      </c>
    </row>
    <row r="693" spans="1:3" x14ac:dyDescent="0.3">
      <c r="A693" s="1" t="s">
        <v>505</v>
      </c>
      <c r="B693" t="s">
        <v>194</v>
      </c>
      <c r="C693" s="1">
        <v>10.261208</v>
      </c>
    </row>
    <row r="694" spans="1:3" x14ac:dyDescent="0.3">
      <c r="A694" s="1" t="s">
        <v>505</v>
      </c>
      <c r="B694" t="s">
        <v>195</v>
      </c>
      <c r="C694" s="1">
        <v>10.279847</v>
      </c>
    </row>
    <row r="695" spans="1:3" x14ac:dyDescent="0.3">
      <c r="A695" s="1" t="s">
        <v>505</v>
      </c>
      <c r="B695" t="s">
        <v>196</v>
      </c>
      <c r="C695" s="1">
        <v>10.373046</v>
      </c>
    </row>
    <row r="696" spans="1:3" x14ac:dyDescent="0.3">
      <c r="A696" s="1" t="s">
        <v>505</v>
      </c>
      <c r="B696" t="s">
        <v>197</v>
      </c>
      <c r="C696" s="1">
        <v>10.382365999999999</v>
      </c>
    </row>
    <row r="697" spans="1:3" x14ac:dyDescent="0.3">
      <c r="A697" s="1" t="s">
        <v>505</v>
      </c>
      <c r="B697" t="s">
        <v>198</v>
      </c>
      <c r="C697" s="1">
        <v>9.8977310000000003</v>
      </c>
    </row>
    <row r="698" spans="1:3" x14ac:dyDescent="0.3">
      <c r="A698" s="1" t="s">
        <v>505</v>
      </c>
      <c r="B698" t="s">
        <v>199</v>
      </c>
      <c r="C698" s="1">
        <v>9.7486119999999996</v>
      </c>
    </row>
    <row r="699" spans="1:3" x14ac:dyDescent="0.3">
      <c r="A699" s="1" t="s">
        <v>505</v>
      </c>
      <c r="B699" t="s">
        <v>200</v>
      </c>
      <c r="C699" s="1">
        <v>9.7113329999999998</v>
      </c>
    </row>
    <row r="700" spans="1:3" x14ac:dyDescent="0.3">
      <c r="A700" s="1" t="s">
        <v>505</v>
      </c>
      <c r="B700" t="s">
        <v>201</v>
      </c>
      <c r="C700" s="1">
        <v>10.186647000000001</v>
      </c>
    </row>
    <row r="701" spans="1:3" x14ac:dyDescent="0.3">
      <c r="A701" s="1" t="s">
        <v>505</v>
      </c>
      <c r="B701" t="s">
        <v>202</v>
      </c>
      <c r="C701" s="1">
        <v>10.354405</v>
      </c>
    </row>
    <row r="702" spans="1:3" x14ac:dyDescent="0.3">
      <c r="A702" s="1" t="s">
        <v>505</v>
      </c>
      <c r="B702" t="s">
        <v>203</v>
      </c>
      <c r="C702" s="1">
        <v>10.373046</v>
      </c>
    </row>
    <row r="703" spans="1:3" x14ac:dyDescent="0.3">
      <c r="A703" s="1" t="s">
        <v>505</v>
      </c>
      <c r="B703" t="s">
        <v>204</v>
      </c>
      <c r="C703" s="1">
        <v>10.484885</v>
      </c>
    </row>
    <row r="704" spans="1:3" x14ac:dyDescent="0.3">
      <c r="A704" s="1" t="s">
        <v>505</v>
      </c>
      <c r="B704" t="s">
        <v>205</v>
      </c>
      <c r="C704" s="1">
        <v>10.363726</v>
      </c>
    </row>
    <row r="705" spans="1:3" x14ac:dyDescent="0.3">
      <c r="A705" s="1" t="s">
        <v>505</v>
      </c>
      <c r="B705" t="s">
        <v>206</v>
      </c>
      <c r="C705" s="1">
        <v>10.438285</v>
      </c>
    </row>
    <row r="706" spans="1:3" x14ac:dyDescent="0.3">
      <c r="A706" s="1" t="s">
        <v>505</v>
      </c>
      <c r="B706" t="s">
        <v>207</v>
      </c>
      <c r="C706" s="1">
        <v>10.90428</v>
      </c>
    </row>
    <row r="707" spans="1:3" x14ac:dyDescent="0.3">
      <c r="A707" s="1" t="s">
        <v>505</v>
      </c>
      <c r="B707" t="s">
        <v>208</v>
      </c>
      <c r="C707" s="1">
        <v>10.95088</v>
      </c>
    </row>
    <row r="708" spans="1:3" x14ac:dyDescent="0.3">
      <c r="A708" s="1" t="s">
        <v>505</v>
      </c>
      <c r="B708" t="s">
        <v>209</v>
      </c>
      <c r="C708" s="1">
        <v>10.717881999999999</v>
      </c>
    </row>
    <row r="709" spans="1:3" x14ac:dyDescent="0.3">
      <c r="A709" s="1" t="s">
        <v>505</v>
      </c>
      <c r="B709" t="s">
        <v>210</v>
      </c>
      <c r="C709" s="1">
        <v>10.671283000000001</v>
      </c>
    </row>
    <row r="710" spans="1:3" x14ac:dyDescent="0.3">
      <c r="A710" s="1" t="s">
        <v>505</v>
      </c>
      <c r="B710" t="s">
        <v>211</v>
      </c>
      <c r="C710" s="1">
        <v>11.044079999999999</v>
      </c>
    </row>
    <row r="711" spans="1:3" x14ac:dyDescent="0.3">
      <c r="A711" s="1" t="s">
        <v>505</v>
      </c>
      <c r="B711" t="s">
        <v>212</v>
      </c>
      <c r="C711" s="1">
        <v>11.165236999999999</v>
      </c>
    </row>
    <row r="712" spans="1:3" x14ac:dyDescent="0.3">
      <c r="A712" s="1" t="s">
        <v>505</v>
      </c>
      <c r="B712" t="s">
        <v>213</v>
      </c>
      <c r="C712" s="1">
        <v>11.221157</v>
      </c>
    </row>
    <row r="713" spans="1:3" x14ac:dyDescent="0.3">
      <c r="A713" s="1" t="s">
        <v>505</v>
      </c>
      <c r="B713" t="s">
        <v>214</v>
      </c>
      <c r="C713" s="1">
        <v>11.360955000000001</v>
      </c>
    </row>
    <row r="714" spans="1:3" x14ac:dyDescent="0.3">
      <c r="A714" s="1" t="s">
        <v>505</v>
      </c>
      <c r="B714" t="s">
        <v>215</v>
      </c>
      <c r="C714" s="1">
        <v>11.398235</v>
      </c>
    </row>
    <row r="715" spans="1:3" x14ac:dyDescent="0.3">
      <c r="A715" s="1" t="s">
        <v>505</v>
      </c>
      <c r="B715" t="s">
        <v>216</v>
      </c>
      <c r="C715" s="1">
        <v>11.221157</v>
      </c>
    </row>
    <row r="716" spans="1:3" x14ac:dyDescent="0.3">
      <c r="A716" s="1" t="s">
        <v>505</v>
      </c>
      <c r="B716" t="s">
        <v>217</v>
      </c>
      <c r="C716" s="1">
        <v>11.174557999999999</v>
      </c>
    </row>
    <row r="717" spans="1:3" x14ac:dyDescent="0.3">
      <c r="A717" s="1" t="s">
        <v>505</v>
      </c>
      <c r="B717" t="s">
        <v>218</v>
      </c>
      <c r="C717" s="1">
        <v>10.894959</v>
      </c>
    </row>
    <row r="718" spans="1:3" x14ac:dyDescent="0.3">
      <c r="A718" s="1" t="s">
        <v>505</v>
      </c>
      <c r="B718" t="s">
        <v>219</v>
      </c>
      <c r="C718" s="1">
        <v>10.894959</v>
      </c>
    </row>
    <row r="719" spans="1:3" x14ac:dyDescent="0.3">
      <c r="A719" s="1" t="s">
        <v>505</v>
      </c>
      <c r="B719" t="s">
        <v>220</v>
      </c>
      <c r="C719" s="1">
        <v>10.699242999999999</v>
      </c>
    </row>
    <row r="720" spans="1:3" x14ac:dyDescent="0.3">
      <c r="A720" s="1" t="s">
        <v>505</v>
      </c>
      <c r="B720" t="s">
        <v>221</v>
      </c>
      <c r="C720" s="1">
        <v>11.118638000000001</v>
      </c>
    </row>
    <row r="721" spans="1:3" x14ac:dyDescent="0.3">
      <c r="A721" s="1" t="s">
        <v>505</v>
      </c>
      <c r="B721" t="s">
        <v>222</v>
      </c>
      <c r="C721" s="1">
        <v>10.90428</v>
      </c>
    </row>
    <row r="722" spans="1:3" x14ac:dyDescent="0.3">
      <c r="A722" s="1" t="s">
        <v>505</v>
      </c>
      <c r="B722" t="s">
        <v>223</v>
      </c>
      <c r="C722" s="1">
        <v>10.764481999999999</v>
      </c>
    </row>
    <row r="723" spans="1:3" x14ac:dyDescent="0.3">
      <c r="A723" s="1" t="s">
        <v>505</v>
      </c>
      <c r="B723" t="s">
        <v>224</v>
      </c>
      <c r="C723" s="1">
        <v>10.764481999999999</v>
      </c>
    </row>
    <row r="724" spans="1:3" x14ac:dyDescent="0.3">
      <c r="A724" s="1" t="s">
        <v>505</v>
      </c>
      <c r="B724" t="s">
        <v>225</v>
      </c>
      <c r="C724" s="1">
        <v>10.764481999999999</v>
      </c>
    </row>
    <row r="725" spans="1:3" x14ac:dyDescent="0.3">
      <c r="A725" s="1" t="s">
        <v>505</v>
      </c>
      <c r="B725" t="s">
        <v>226</v>
      </c>
      <c r="C725" s="1">
        <v>10.456925</v>
      </c>
    </row>
    <row r="726" spans="1:3" x14ac:dyDescent="0.3">
      <c r="A726" s="1" t="s">
        <v>505</v>
      </c>
      <c r="B726" t="s">
        <v>227</v>
      </c>
      <c r="C726" s="1">
        <v>10.550122999999999</v>
      </c>
    </row>
    <row r="727" spans="1:3" x14ac:dyDescent="0.3">
      <c r="A727" s="1" t="s">
        <v>505</v>
      </c>
      <c r="B727" t="s">
        <v>228</v>
      </c>
      <c r="C727" s="1">
        <v>10.661963</v>
      </c>
    </row>
    <row r="728" spans="1:3" x14ac:dyDescent="0.3">
      <c r="A728" s="1" t="s">
        <v>505</v>
      </c>
      <c r="B728" t="s">
        <v>229</v>
      </c>
      <c r="C728" s="1">
        <v>10.661963</v>
      </c>
    </row>
    <row r="729" spans="1:3" x14ac:dyDescent="0.3">
      <c r="A729" s="1" t="s">
        <v>505</v>
      </c>
      <c r="B729" t="s">
        <v>230</v>
      </c>
      <c r="C729" s="1">
        <v>10.680603</v>
      </c>
    </row>
    <row r="730" spans="1:3" x14ac:dyDescent="0.3">
      <c r="A730" s="1" t="s">
        <v>505</v>
      </c>
      <c r="B730" t="s">
        <v>231</v>
      </c>
      <c r="C730" s="1">
        <v>10.829720999999999</v>
      </c>
    </row>
    <row r="731" spans="1:3" x14ac:dyDescent="0.3">
      <c r="A731" s="1" t="s">
        <v>505</v>
      </c>
      <c r="B731" t="s">
        <v>232</v>
      </c>
      <c r="C731" s="1">
        <v>10.88564</v>
      </c>
    </row>
    <row r="732" spans="1:3" x14ac:dyDescent="0.3">
      <c r="A732" s="1" t="s">
        <v>505</v>
      </c>
      <c r="B732" t="s">
        <v>233</v>
      </c>
      <c r="C732" s="1">
        <v>10.876321000000001</v>
      </c>
    </row>
    <row r="733" spans="1:3" x14ac:dyDescent="0.3">
      <c r="A733" s="1" t="s">
        <v>505</v>
      </c>
      <c r="B733" t="s">
        <v>234</v>
      </c>
      <c r="C733" s="1">
        <v>11.053399000000001</v>
      </c>
    </row>
    <row r="734" spans="1:3" x14ac:dyDescent="0.3">
      <c r="A734" s="1" t="s">
        <v>505</v>
      </c>
      <c r="B734" t="s">
        <v>235</v>
      </c>
      <c r="C734" s="1">
        <v>10.969519999999999</v>
      </c>
    </row>
    <row r="735" spans="1:3" x14ac:dyDescent="0.3">
      <c r="A735" s="1" t="s">
        <v>505</v>
      </c>
      <c r="B735" t="s">
        <v>236</v>
      </c>
      <c r="C735" s="1">
        <v>10.93224</v>
      </c>
    </row>
    <row r="736" spans="1:3" x14ac:dyDescent="0.3">
      <c r="A736" s="1" t="s">
        <v>505</v>
      </c>
      <c r="B736" t="s">
        <v>237</v>
      </c>
      <c r="C736" s="1">
        <v>10.93224</v>
      </c>
    </row>
    <row r="737" spans="1:3" x14ac:dyDescent="0.3">
      <c r="A737" s="1" t="s">
        <v>505</v>
      </c>
      <c r="B737" t="s">
        <v>238</v>
      </c>
      <c r="C737" s="1">
        <v>11.016119</v>
      </c>
    </row>
    <row r="738" spans="1:3" x14ac:dyDescent="0.3">
      <c r="A738" s="1" t="s">
        <v>505</v>
      </c>
      <c r="B738" t="s">
        <v>239</v>
      </c>
      <c r="C738" s="1">
        <v>11.174557999999999</v>
      </c>
    </row>
    <row r="739" spans="1:3" x14ac:dyDescent="0.3">
      <c r="A739" s="1" t="s">
        <v>505</v>
      </c>
      <c r="B739" t="s">
        <v>240</v>
      </c>
      <c r="C739" s="1">
        <v>11.127957</v>
      </c>
    </row>
    <row r="740" spans="1:3" x14ac:dyDescent="0.3">
      <c r="A740" s="1" t="s">
        <v>505</v>
      </c>
      <c r="B740" t="s">
        <v>241</v>
      </c>
      <c r="C740" s="1">
        <v>11.277077</v>
      </c>
    </row>
    <row r="741" spans="1:3" x14ac:dyDescent="0.3">
      <c r="A741" s="1" t="s">
        <v>505</v>
      </c>
      <c r="B741" t="s">
        <v>242</v>
      </c>
      <c r="C741" s="1">
        <v>11.351635999999999</v>
      </c>
    </row>
    <row r="742" spans="1:3" x14ac:dyDescent="0.3">
      <c r="A742" s="1" t="s">
        <v>505</v>
      </c>
      <c r="B742" t="s">
        <v>243</v>
      </c>
      <c r="C742" s="1">
        <v>11.174557999999999</v>
      </c>
    </row>
    <row r="743" spans="1:3" x14ac:dyDescent="0.3">
      <c r="A743" s="1" t="s">
        <v>505</v>
      </c>
      <c r="B743" t="s">
        <v>244</v>
      </c>
      <c r="C743" s="1">
        <v>11.118638000000001</v>
      </c>
    </row>
    <row r="744" spans="1:3" x14ac:dyDescent="0.3">
      <c r="A744" s="1" t="s">
        <v>505</v>
      </c>
      <c r="B744" t="s">
        <v>245</v>
      </c>
      <c r="C744" s="1">
        <v>11.090676999999999</v>
      </c>
    </row>
    <row r="745" spans="1:3" x14ac:dyDescent="0.3">
      <c r="A745" s="1" t="s">
        <v>505</v>
      </c>
      <c r="B745" t="s">
        <v>246</v>
      </c>
      <c r="C745" s="1">
        <v>10.941560000000001</v>
      </c>
    </row>
    <row r="746" spans="1:3" x14ac:dyDescent="0.3">
      <c r="A746" s="1" t="s">
        <v>505</v>
      </c>
      <c r="B746" t="s">
        <v>247</v>
      </c>
      <c r="C746" s="1">
        <v>11.081358</v>
      </c>
    </row>
    <row r="747" spans="1:3" x14ac:dyDescent="0.3">
      <c r="A747" s="1" t="s">
        <v>505</v>
      </c>
      <c r="B747" t="s">
        <v>248</v>
      </c>
      <c r="C747" s="1">
        <v>11.118638000000001</v>
      </c>
    </row>
    <row r="748" spans="1:3" x14ac:dyDescent="0.3">
      <c r="A748" s="1" t="s">
        <v>505</v>
      </c>
      <c r="B748" t="s">
        <v>249</v>
      </c>
      <c r="C748" s="1">
        <v>11.025439</v>
      </c>
    </row>
    <row r="749" spans="1:3" x14ac:dyDescent="0.3">
      <c r="A749" s="1" t="s">
        <v>505</v>
      </c>
      <c r="B749" t="s">
        <v>250</v>
      </c>
      <c r="C749" s="1">
        <v>10.876321000000001</v>
      </c>
    </row>
    <row r="750" spans="1:3" x14ac:dyDescent="0.3">
      <c r="A750" s="1" t="s">
        <v>505</v>
      </c>
      <c r="B750" t="s">
        <v>251</v>
      </c>
      <c r="C750" s="1">
        <v>10.829720999999999</v>
      </c>
    </row>
    <row r="751" spans="1:3" x14ac:dyDescent="0.3">
      <c r="A751" s="1" t="s">
        <v>505</v>
      </c>
      <c r="B751" t="s">
        <v>252</v>
      </c>
      <c r="C751" s="1">
        <v>10.550122999999999</v>
      </c>
    </row>
    <row r="752" spans="1:3" x14ac:dyDescent="0.3">
      <c r="A752" s="1" t="s">
        <v>505</v>
      </c>
      <c r="B752" t="s">
        <v>253</v>
      </c>
      <c r="C752" s="1">
        <v>10.522164</v>
      </c>
    </row>
    <row r="753" spans="1:3" x14ac:dyDescent="0.3">
      <c r="A753" s="1" t="s">
        <v>505</v>
      </c>
      <c r="B753" t="s">
        <v>254</v>
      </c>
      <c r="C753" s="1">
        <v>10.634003</v>
      </c>
    </row>
    <row r="754" spans="1:3" x14ac:dyDescent="0.3">
      <c r="A754" s="1" t="s">
        <v>505</v>
      </c>
      <c r="B754" t="s">
        <v>255</v>
      </c>
      <c r="C754" s="1">
        <v>10.736523</v>
      </c>
    </row>
    <row r="755" spans="1:3" x14ac:dyDescent="0.3">
      <c r="A755" s="1" t="s">
        <v>505</v>
      </c>
      <c r="B755" t="s">
        <v>256</v>
      </c>
      <c r="C755" s="1">
        <v>10.699242999999999</v>
      </c>
    </row>
    <row r="756" spans="1:3" x14ac:dyDescent="0.3">
      <c r="A756" s="1" t="s">
        <v>505</v>
      </c>
      <c r="B756" t="s">
        <v>257</v>
      </c>
      <c r="C756" s="1">
        <v>10.671283000000001</v>
      </c>
    </row>
    <row r="757" spans="1:3" x14ac:dyDescent="0.3">
      <c r="A757" s="1" t="s">
        <v>505</v>
      </c>
      <c r="B757" t="s">
        <v>258</v>
      </c>
      <c r="C757" s="1">
        <v>10.708562000000001</v>
      </c>
    </row>
    <row r="758" spans="1:3" x14ac:dyDescent="0.3">
      <c r="A758" s="1" t="s">
        <v>505</v>
      </c>
      <c r="B758" t="s">
        <v>259</v>
      </c>
      <c r="C758" s="1">
        <v>10.736523</v>
      </c>
    </row>
    <row r="759" spans="1:3" x14ac:dyDescent="0.3">
      <c r="A759" s="1" t="s">
        <v>505</v>
      </c>
      <c r="B759" t="s">
        <v>260</v>
      </c>
      <c r="C759" s="1">
        <v>10.801762</v>
      </c>
    </row>
    <row r="760" spans="1:3" x14ac:dyDescent="0.3">
      <c r="A760" s="1" t="s">
        <v>505</v>
      </c>
      <c r="B760" t="s">
        <v>261</v>
      </c>
      <c r="C760" s="1">
        <v>11.118638000000001</v>
      </c>
    </row>
    <row r="761" spans="1:3" x14ac:dyDescent="0.3">
      <c r="A761" s="1" t="s">
        <v>505</v>
      </c>
      <c r="B761" t="s">
        <v>262</v>
      </c>
      <c r="C761" s="1">
        <v>11.044079999999999</v>
      </c>
    </row>
    <row r="762" spans="1:3" x14ac:dyDescent="0.3">
      <c r="A762" s="1" t="s">
        <v>505</v>
      </c>
      <c r="B762" t="s">
        <v>263</v>
      </c>
      <c r="C762" s="1">
        <v>11.016119</v>
      </c>
    </row>
    <row r="763" spans="1:3" x14ac:dyDescent="0.3">
      <c r="A763" s="1" t="s">
        <v>505</v>
      </c>
      <c r="B763" t="s">
        <v>264</v>
      </c>
      <c r="C763" s="1">
        <v>11.062718</v>
      </c>
    </row>
    <row r="764" spans="1:3" x14ac:dyDescent="0.3">
      <c r="A764" s="1" t="s">
        <v>505</v>
      </c>
      <c r="B764" t="s">
        <v>265</v>
      </c>
      <c r="C764" s="1">
        <v>10.90428</v>
      </c>
    </row>
    <row r="765" spans="1:3" x14ac:dyDescent="0.3">
      <c r="A765" s="1" t="s">
        <v>505</v>
      </c>
      <c r="B765" t="s">
        <v>266</v>
      </c>
      <c r="C765" s="1">
        <v>10.811082000000001</v>
      </c>
    </row>
    <row r="766" spans="1:3" x14ac:dyDescent="0.3">
      <c r="A766" s="1" t="s">
        <v>505</v>
      </c>
      <c r="B766" t="s">
        <v>267</v>
      </c>
      <c r="C766" s="1">
        <v>10.661963</v>
      </c>
    </row>
    <row r="767" spans="1:3" x14ac:dyDescent="0.3">
      <c r="A767" s="1" t="s">
        <v>505</v>
      </c>
      <c r="B767" t="s">
        <v>268</v>
      </c>
      <c r="C767" s="1">
        <v>10.736523</v>
      </c>
    </row>
    <row r="768" spans="1:3" x14ac:dyDescent="0.3">
      <c r="A768" s="1" t="s">
        <v>505</v>
      </c>
      <c r="B768" t="s">
        <v>269</v>
      </c>
      <c r="C768" s="1">
        <v>11.016119</v>
      </c>
    </row>
    <row r="769" spans="1:3" x14ac:dyDescent="0.3">
      <c r="A769" s="1" t="s">
        <v>505</v>
      </c>
      <c r="B769" t="s">
        <v>270</v>
      </c>
      <c r="C769" s="1">
        <v>10.941560000000001</v>
      </c>
    </row>
    <row r="770" spans="1:3" x14ac:dyDescent="0.3">
      <c r="A770" s="1" t="s">
        <v>505</v>
      </c>
      <c r="B770" t="s">
        <v>271</v>
      </c>
      <c r="C770" s="1">
        <v>10.848362</v>
      </c>
    </row>
    <row r="771" spans="1:3" x14ac:dyDescent="0.3">
      <c r="A771" s="1" t="s">
        <v>505</v>
      </c>
      <c r="B771" t="s">
        <v>272</v>
      </c>
      <c r="C771" s="1">
        <v>10.9602</v>
      </c>
    </row>
    <row r="772" spans="1:3" x14ac:dyDescent="0.3">
      <c r="A772" s="1" t="s">
        <v>505</v>
      </c>
      <c r="B772" t="s">
        <v>273</v>
      </c>
      <c r="C772" s="1">
        <v>10.839041999999999</v>
      </c>
    </row>
    <row r="773" spans="1:3" x14ac:dyDescent="0.3">
      <c r="A773" s="1" t="s">
        <v>505</v>
      </c>
      <c r="B773" t="s">
        <v>274</v>
      </c>
      <c r="C773" s="1">
        <v>10.792441</v>
      </c>
    </row>
    <row r="774" spans="1:3" x14ac:dyDescent="0.3">
      <c r="A774" s="1" t="s">
        <v>505</v>
      </c>
      <c r="B774" t="s">
        <v>275</v>
      </c>
      <c r="C774" s="1">
        <v>10.820401</v>
      </c>
    </row>
    <row r="775" spans="1:3" x14ac:dyDescent="0.3">
      <c r="A775" s="1" t="s">
        <v>505</v>
      </c>
      <c r="B775" t="s">
        <v>276</v>
      </c>
      <c r="C775" s="1">
        <v>10.801762</v>
      </c>
    </row>
    <row r="776" spans="1:3" x14ac:dyDescent="0.3">
      <c r="A776" s="1" t="s">
        <v>505</v>
      </c>
      <c r="B776" t="s">
        <v>277</v>
      </c>
      <c r="C776" s="1">
        <v>10.624682999999999</v>
      </c>
    </row>
    <row r="777" spans="1:3" x14ac:dyDescent="0.3">
      <c r="A777" s="1" t="s">
        <v>505</v>
      </c>
      <c r="B777" t="s">
        <v>278</v>
      </c>
      <c r="C777" s="1">
        <v>10.298487</v>
      </c>
    </row>
    <row r="778" spans="1:3" x14ac:dyDescent="0.3">
      <c r="A778" s="1" t="s">
        <v>505</v>
      </c>
      <c r="B778" t="s">
        <v>279</v>
      </c>
      <c r="C778" s="1">
        <v>10.466245000000001</v>
      </c>
    </row>
    <row r="779" spans="1:3" x14ac:dyDescent="0.3">
      <c r="A779" s="1" t="s">
        <v>505</v>
      </c>
      <c r="B779" t="s">
        <v>280</v>
      </c>
      <c r="C779" s="1">
        <v>10.317126</v>
      </c>
    </row>
    <row r="780" spans="1:3" x14ac:dyDescent="0.3">
      <c r="A780" s="1" t="s">
        <v>505</v>
      </c>
      <c r="B780" t="s">
        <v>281</v>
      </c>
      <c r="C780" s="1">
        <v>10.596724</v>
      </c>
    </row>
    <row r="781" spans="1:3" x14ac:dyDescent="0.3">
      <c r="A781" s="1" t="s">
        <v>505</v>
      </c>
      <c r="B781" t="s">
        <v>282</v>
      </c>
      <c r="C781" s="1">
        <v>10.671283000000001</v>
      </c>
    </row>
    <row r="782" spans="1:3" x14ac:dyDescent="0.3">
      <c r="A782" s="1" t="s">
        <v>505</v>
      </c>
      <c r="B782" t="s">
        <v>283</v>
      </c>
      <c r="C782" s="1">
        <v>10.848362</v>
      </c>
    </row>
    <row r="783" spans="1:3" x14ac:dyDescent="0.3">
      <c r="A783" s="1" t="s">
        <v>505</v>
      </c>
      <c r="B783" t="s">
        <v>284</v>
      </c>
      <c r="C783" s="1">
        <v>10.85768</v>
      </c>
    </row>
    <row r="784" spans="1:3" x14ac:dyDescent="0.3">
      <c r="A784" s="1" t="s">
        <v>505</v>
      </c>
      <c r="B784" t="s">
        <v>285</v>
      </c>
      <c r="C784" s="1">
        <v>10.93224</v>
      </c>
    </row>
    <row r="785" spans="1:3" x14ac:dyDescent="0.3">
      <c r="A785" s="1" t="s">
        <v>505</v>
      </c>
      <c r="B785" t="s">
        <v>286</v>
      </c>
      <c r="C785" s="1">
        <v>10.90428</v>
      </c>
    </row>
    <row r="786" spans="1:3" x14ac:dyDescent="0.3">
      <c r="A786" s="1" t="s">
        <v>505</v>
      </c>
      <c r="B786" t="s">
        <v>287</v>
      </c>
      <c r="C786" s="1">
        <v>10.764481999999999</v>
      </c>
    </row>
    <row r="787" spans="1:3" x14ac:dyDescent="0.3">
      <c r="A787" s="1" t="s">
        <v>505</v>
      </c>
      <c r="B787" t="s">
        <v>288</v>
      </c>
      <c r="C787" s="1">
        <v>10.587403</v>
      </c>
    </row>
    <row r="788" spans="1:3" x14ac:dyDescent="0.3">
      <c r="A788" s="1" t="s">
        <v>505</v>
      </c>
      <c r="B788" t="s">
        <v>289</v>
      </c>
      <c r="C788" s="1">
        <v>10.074809</v>
      </c>
    </row>
    <row r="789" spans="1:3" x14ac:dyDescent="0.3">
      <c r="A789" s="1" t="s">
        <v>505</v>
      </c>
      <c r="B789" t="s">
        <v>290</v>
      </c>
      <c r="C789" s="1">
        <v>10.084128</v>
      </c>
    </row>
    <row r="790" spans="1:3" x14ac:dyDescent="0.3">
      <c r="A790" s="1" t="s">
        <v>505</v>
      </c>
      <c r="B790" t="s">
        <v>291</v>
      </c>
      <c r="C790" s="1">
        <v>10.121408000000001</v>
      </c>
    </row>
    <row r="791" spans="1:3" x14ac:dyDescent="0.3">
      <c r="A791" s="1" t="s">
        <v>505</v>
      </c>
      <c r="B791" t="s">
        <v>292</v>
      </c>
      <c r="C791" s="1">
        <v>10.018889</v>
      </c>
    </row>
    <row r="792" spans="1:3" x14ac:dyDescent="0.3">
      <c r="A792" s="1" t="s">
        <v>505</v>
      </c>
      <c r="B792" t="s">
        <v>293</v>
      </c>
      <c r="C792" s="1">
        <v>10.205287</v>
      </c>
    </row>
    <row r="793" spans="1:3" x14ac:dyDescent="0.3">
      <c r="A793" s="1" t="s">
        <v>505</v>
      </c>
      <c r="B793" t="s">
        <v>294</v>
      </c>
      <c r="C793" s="1">
        <v>10.335767000000001</v>
      </c>
    </row>
    <row r="794" spans="1:3" x14ac:dyDescent="0.3">
      <c r="A794" s="1" t="s">
        <v>505</v>
      </c>
      <c r="B794" t="s">
        <v>295</v>
      </c>
      <c r="C794" s="1">
        <v>10.223927</v>
      </c>
    </row>
    <row r="795" spans="1:3" x14ac:dyDescent="0.3">
      <c r="A795" s="1" t="s">
        <v>505</v>
      </c>
      <c r="B795" t="s">
        <v>296</v>
      </c>
      <c r="C795" s="1">
        <v>10.130729000000001</v>
      </c>
    </row>
    <row r="796" spans="1:3" x14ac:dyDescent="0.3">
      <c r="A796" s="1" t="s">
        <v>505</v>
      </c>
      <c r="B796" t="s">
        <v>297</v>
      </c>
      <c r="C796" s="1">
        <v>10.130729000000001</v>
      </c>
    </row>
    <row r="797" spans="1:3" x14ac:dyDescent="0.3">
      <c r="A797" s="1" t="s">
        <v>505</v>
      </c>
      <c r="B797" t="s">
        <v>298</v>
      </c>
      <c r="C797" s="1">
        <v>10.05617</v>
      </c>
    </row>
    <row r="798" spans="1:3" x14ac:dyDescent="0.3">
      <c r="A798" s="1" t="s">
        <v>505</v>
      </c>
      <c r="B798" t="s">
        <v>299</v>
      </c>
      <c r="C798" s="1">
        <v>10.326447</v>
      </c>
    </row>
    <row r="799" spans="1:3" x14ac:dyDescent="0.3">
      <c r="A799" s="1" t="s">
        <v>505</v>
      </c>
      <c r="B799" t="s">
        <v>300</v>
      </c>
      <c r="C799" s="1">
        <v>10.326447</v>
      </c>
    </row>
    <row r="800" spans="1:3" x14ac:dyDescent="0.3">
      <c r="A800" s="1" t="s">
        <v>505</v>
      </c>
      <c r="B800" t="s">
        <v>301</v>
      </c>
      <c r="C800" s="1">
        <v>10.158689000000001</v>
      </c>
    </row>
    <row r="801" spans="1:3" x14ac:dyDescent="0.3">
      <c r="A801" s="1" t="s">
        <v>505</v>
      </c>
      <c r="B801" t="s">
        <v>302</v>
      </c>
      <c r="C801" s="1">
        <v>10.168009</v>
      </c>
    </row>
    <row r="802" spans="1:3" x14ac:dyDescent="0.3">
      <c r="A802" s="1" t="s">
        <v>505</v>
      </c>
      <c r="B802" t="s">
        <v>303</v>
      </c>
      <c r="C802" s="1">
        <v>10.829720999999999</v>
      </c>
    </row>
    <row r="803" spans="1:3" x14ac:dyDescent="0.3">
      <c r="A803" s="1" t="s">
        <v>505</v>
      </c>
      <c r="B803" t="s">
        <v>304</v>
      </c>
      <c r="C803" s="1">
        <v>11.165236999999999</v>
      </c>
    </row>
    <row r="804" spans="1:3" x14ac:dyDescent="0.3">
      <c r="A804" s="1" t="s">
        <v>505</v>
      </c>
      <c r="B804" t="s">
        <v>305</v>
      </c>
      <c r="C804" s="1">
        <v>11.016119</v>
      </c>
    </row>
    <row r="805" spans="1:3" x14ac:dyDescent="0.3">
      <c r="A805" s="1" t="s">
        <v>505</v>
      </c>
      <c r="B805" t="s">
        <v>306</v>
      </c>
      <c r="C805" s="1">
        <v>11.053399000000001</v>
      </c>
    </row>
    <row r="806" spans="1:3" x14ac:dyDescent="0.3">
      <c r="A806" s="1" t="s">
        <v>505</v>
      </c>
      <c r="B806" t="s">
        <v>307</v>
      </c>
      <c r="C806" s="1">
        <v>10.88564</v>
      </c>
    </row>
    <row r="807" spans="1:3" x14ac:dyDescent="0.3">
      <c r="A807" s="1" t="s">
        <v>505</v>
      </c>
      <c r="B807" t="s">
        <v>308</v>
      </c>
      <c r="C807" s="1">
        <v>11.146597999999999</v>
      </c>
    </row>
    <row r="808" spans="1:3" x14ac:dyDescent="0.3">
      <c r="A808" s="1" t="s">
        <v>505</v>
      </c>
      <c r="B808" t="s">
        <v>309</v>
      </c>
      <c r="C808" s="1">
        <v>11.258436</v>
      </c>
    </row>
    <row r="809" spans="1:3" x14ac:dyDescent="0.3">
      <c r="A809" s="1" t="s">
        <v>505</v>
      </c>
      <c r="B809" t="s">
        <v>310</v>
      </c>
      <c r="C809" s="1">
        <v>11.044079999999999</v>
      </c>
    </row>
    <row r="810" spans="1:3" x14ac:dyDescent="0.3">
      <c r="A810" s="1" t="s">
        <v>505</v>
      </c>
      <c r="B810" t="s">
        <v>311</v>
      </c>
      <c r="C810" s="1">
        <v>10.941560000000001</v>
      </c>
    </row>
    <row r="811" spans="1:3" x14ac:dyDescent="0.3">
      <c r="A811" s="1" t="s">
        <v>505</v>
      </c>
      <c r="B811" t="s">
        <v>312</v>
      </c>
      <c r="C811" s="1">
        <v>10.820401</v>
      </c>
    </row>
    <row r="812" spans="1:3" x14ac:dyDescent="0.3">
      <c r="A812" s="1" t="s">
        <v>505</v>
      </c>
      <c r="B812" t="s">
        <v>313</v>
      </c>
      <c r="C812" s="1">
        <v>10.978839000000001</v>
      </c>
    </row>
    <row r="813" spans="1:3" x14ac:dyDescent="0.3">
      <c r="A813" s="1" t="s">
        <v>505</v>
      </c>
      <c r="B813" t="s">
        <v>314</v>
      </c>
      <c r="C813" s="1">
        <v>10.941560000000001</v>
      </c>
    </row>
    <row r="814" spans="1:3" x14ac:dyDescent="0.3">
      <c r="A814" s="1" t="s">
        <v>505</v>
      </c>
      <c r="B814" t="s">
        <v>315</v>
      </c>
      <c r="C814" s="1">
        <v>10.989299000000001</v>
      </c>
    </row>
    <row r="815" spans="1:3" x14ac:dyDescent="0.3">
      <c r="A815" s="1" t="s">
        <v>505</v>
      </c>
      <c r="B815" t="s">
        <v>316</v>
      </c>
      <c r="C815" s="1">
        <v>10.323874</v>
      </c>
    </row>
    <row r="816" spans="1:3" x14ac:dyDescent="0.3">
      <c r="A816" s="1" t="s">
        <v>505</v>
      </c>
      <c r="B816" t="s">
        <v>317</v>
      </c>
      <c r="C816" s="1">
        <v>10.431516</v>
      </c>
    </row>
    <row r="817" spans="1:3" x14ac:dyDescent="0.3">
      <c r="A817" s="1" t="s">
        <v>505</v>
      </c>
      <c r="B817" t="s">
        <v>318</v>
      </c>
      <c r="C817" s="1">
        <v>10.382586</v>
      </c>
    </row>
    <row r="818" spans="1:3" x14ac:dyDescent="0.3">
      <c r="A818" s="1" t="s">
        <v>505</v>
      </c>
      <c r="B818" t="s">
        <v>319</v>
      </c>
      <c r="C818" s="1">
        <v>10.35323</v>
      </c>
    </row>
    <row r="819" spans="1:3" x14ac:dyDescent="0.3">
      <c r="A819" s="1" t="s">
        <v>505</v>
      </c>
      <c r="B819" t="s">
        <v>320</v>
      </c>
      <c r="C819" s="1">
        <v>10.451086999999999</v>
      </c>
    </row>
    <row r="820" spans="1:3" x14ac:dyDescent="0.3">
      <c r="A820" s="1" t="s">
        <v>505</v>
      </c>
      <c r="B820" t="s">
        <v>321</v>
      </c>
      <c r="C820" s="1">
        <v>10.480444</v>
      </c>
    </row>
    <row r="821" spans="1:3" x14ac:dyDescent="0.3">
      <c r="A821" s="1" t="s">
        <v>505</v>
      </c>
      <c r="B821" t="s">
        <v>322</v>
      </c>
      <c r="C821" s="1">
        <v>10.519587</v>
      </c>
    </row>
    <row r="822" spans="1:3" x14ac:dyDescent="0.3">
      <c r="A822" s="1" t="s">
        <v>505</v>
      </c>
      <c r="B822" t="s">
        <v>323</v>
      </c>
      <c r="C822" s="1">
        <v>10.529372</v>
      </c>
    </row>
    <row r="823" spans="1:3" x14ac:dyDescent="0.3">
      <c r="A823" s="1" t="s">
        <v>505</v>
      </c>
      <c r="B823" t="s">
        <v>324</v>
      </c>
      <c r="C823" s="1">
        <v>10.999084</v>
      </c>
    </row>
    <row r="824" spans="1:3" x14ac:dyDescent="0.3">
      <c r="A824" s="1" t="s">
        <v>505</v>
      </c>
      <c r="B824" t="s">
        <v>325</v>
      </c>
      <c r="C824" s="1">
        <v>11.048012</v>
      </c>
    </row>
    <row r="825" spans="1:3" x14ac:dyDescent="0.3">
      <c r="A825" s="1" t="s">
        <v>505</v>
      </c>
      <c r="B825" t="s">
        <v>326</v>
      </c>
      <c r="C825" s="1">
        <v>10.930584</v>
      </c>
    </row>
    <row r="826" spans="1:3" x14ac:dyDescent="0.3">
      <c r="A826" s="1" t="s">
        <v>505</v>
      </c>
      <c r="B826" t="s">
        <v>327</v>
      </c>
      <c r="C826" s="1">
        <v>10.744657</v>
      </c>
    </row>
    <row r="827" spans="1:3" x14ac:dyDescent="0.3">
      <c r="A827" s="1" t="s">
        <v>505</v>
      </c>
      <c r="B827" t="s">
        <v>328</v>
      </c>
      <c r="C827" s="1">
        <v>10.94037</v>
      </c>
    </row>
    <row r="828" spans="1:3" x14ac:dyDescent="0.3">
      <c r="A828" s="1" t="s">
        <v>505</v>
      </c>
      <c r="B828" t="s">
        <v>329</v>
      </c>
      <c r="C828" s="1">
        <v>11.116510999999999</v>
      </c>
    </row>
    <row r="829" spans="1:3" x14ac:dyDescent="0.3">
      <c r="A829" s="1" t="s">
        <v>505</v>
      </c>
      <c r="B829" t="s">
        <v>330</v>
      </c>
      <c r="C829" s="1">
        <v>11.253511</v>
      </c>
    </row>
    <row r="830" spans="1:3" x14ac:dyDescent="0.3">
      <c r="A830" s="1" t="s">
        <v>505</v>
      </c>
      <c r="B830" t="s">
        <v>331</v>
      </c>
      <c r="C830" s="1">
        <v>11.312225</v>
      </c>
    </row>
    <row r="831" spans="1:3" x14ac:dyDescent="0.3">
      <c r="A831" s="1" t="s">
        <v>505</v>
      </c>
      <c r="B831" t="s">
        <v>332</v>
      </c>
      <c r="C831" s="1">
        <v>11.233938999999999</v>
      </c>
    </row>
    <row r="832" spans="1:3" x14ac:dyDescent="0.3">
      <c r="A832" s="1" t="s">
        <v>505</v>
      </c>
      <c r="B832" t="s">
        <v>333</v>
      </c>
      <c r="C832" s="1">
        <v>11.449223999999999</v>
      </c>
    </row>
    <row r="833" spans="1:3" x14ac:dyDescent="0.3">
      <c r="A833" s="1" t="s">
        <v>505</v>
      </c>
      <c r="B833" t="s">
        <v>334</v>
      </c>
      <c r="C833" s="1">
        <v>11.987435</v>
      </c>
    </row>
    <row r="834" spans="1:3" x14ac:dyDescent="0.3">
      <c r="A834" s="1" t="s">
        <v>505</v>
      </c>
      <c r="B834" t="s">
        <v>335</v>
      </c>
      <c r="C834" s="1">
        <v>11.967864000000001</v>
      </c>
    </row>
    <row r="835" spans="1:3" x14ac:dyDescent="0.3">
      <c r="A835" s="1" t="s">
        <v>505</v>
      </c>
      <c r="B835" t="s">
        <v>336</v>
      </c>
      <c r="C835" s="1">
        <v>11.987435</v>
      </c>
    </row>
    <row r="836" spans="1:3" x14ac:dyDescent="0.3">
      <c r="A836" s="1" t="s">
        <v>505</v>
      </c>
      <c r="B836" t="s">
        <v>337</v>
      </c>
      <c r="C836" s="1">
        <v>12.026578000000001</v>
      </c>
    </row>
    <row r="837" spans="1:3" x14ac:dyDescent="0.3">
      <c r="A837" s="1" t="s">
        <v>505</v>
      </c>
      <c r="B837" t="s">
        <v>338</v>
      </c>
      <c r="C837" s="1">
        <v>12.104863</v>
      </c>
    </row>
    <row r="838" spans="1:3" x14ac:dyDescent="0.3">
      <c r="A838" s="1" t="s">
        <v>505</v>
      </c>
      <c r="B838" t="s">
        <v>339</v>
      </c>
      <c r="C838" s="1">
        <v>11.791722</v>
      </c>
    </row>
    <row r="839" spans="1:3" x14ac:dyDescent="0.3">
      <c r="A839" s="1" t="s">
        <v>505</v>
      </c>
      <c r="B839" t="s">
        <v>340</v>
      </c>
      <c r="C839" s="1">
        <v>12.016792000000001</v>
      </c>
    </row>
    <row r="840" spans="1:3" x14ac:dyDescent="0.3">
      <c r="A840" s="1" t="s">
        <v>505</v>
      </c>
      <c r="B840" t="s">
        <v>341</v>
      </c>
      <c r="C840" s="1">
        <v>12.036364000000001</v>
      </c>
    </row>
    <row r="841" spans="1:3" x14ac:dyDescent="0.3">
      <c r="A841" s="1" t="s">
        <v>505</v>
      </c>
      <c r="B841" t="s">
        <v>342</v>
      </c>
      <c r="C841" s="1">
        <v>11.997221</v>
      </c>
    </row>
    <row r="842" spans="1:3" x14ac:dyDescent="0.3">
      <c r="A842" s="1" t="s">
        <v>505</v>
      </c>
      <c r="B842" t="s">
        <v>343</v>
      </c>
      <c r="C842" s="1">
        <v>12.163577999999999</v>
      </c>
    </row>
    <row r="843" spans="1:3" x14ac:dyDescent="0.3">
      <c r="A843" s="1" t="s">
        <v>505</v>
      </c>
      <c r="B843" t="s">
        <v>344</v>
      </c>
      <c r="C843" s="1">
        <v>12.349505000000001</v>
      </c>
    </row>
    <row r="844" spans="1:3" x14ac:dyDescent="0.3">
      <c r="A844" s="1" t="s">
        <v>505</v>
      </c>
      <c r="B844" t="s">
        <v>345</v>
      </c>
      <c r="C844" s="1">
        <v>12.427790999999999</v>
      </c>
    </row>
    <row r="845" spans="1:3" x14ac:dyDescent="0.3">
      <c r="A845" s="1" t="s">
        <v>505</v>
      </c>
      <c r="B845" t="s">
        <v>346</v>
      </c>
      <c r="C845" s="1">
        <v>12.49629</v>
      </c>
    </row>
    <row r="846" spans="1:3" x14ac:dyDescent="0.3">
      <c r="A846" s="1" t="s">
        <v>505</v>
      </c>
      <c r="B846" t="s">
        <v>347</v>
      </c>
      <c r="C846" s="1">
        <v>12.398434</v>
      </c>
    </row>
    <row r="847" spans="1:3" x14ac:dyDescent="0.3">
      <c r="A847" s="1" t="s">
        <v>505</v>
      </c>
      <c r="B847" t="s">
        <v>348</v>
      </c>
      <c r="C847" s="1">
        <v>12.124435</v>
      </c>
    </row>
    <row r="848" spans="1:3" x14ac:dyDescent="0.3">
      <c r="A848" s="1" t="s">
        <v>505</v>
      </c>
      <c r="B848" t="s">
        <v>349</v>
      </c>
      <c r="C848" s="1">
        <v>11.977650000000001</v>
      </c>
    </row>
    <row r="849" spans="1:3" x14ac:dyDescent="0.3">
      <c r="A849" s="1" t="s">
        <v>505</v>
      </c>
      <c r="B849" t="s">
        <v>350</v>
      </c>
      <c r="C849" s="1">
        <v>11.967864000000001</v>
      </c>
    </row>
    <row r="850" spans="1:3" x14ac:dyDescent="0.3">
      <c r="A850" s="1" t="s">
        <v>505</v>
      </c>
      <c r="B850" t="s">
        <v>351</v>
      </c>
      <c r="C850" s="1">
        <v>12.183147999999999</v>
      </c>
    </row>
    <row r="851" spans="1:3" x14ac:dyDescent="0.3">
      <c r="A851" s="1" t="s">
        <v>505</v>
      </c>
      <c r="B851" t="s">
        <v>352</v>
      </c>
      <c r="C851" s="1">
        <v>12.124435</v>
      </c>
    </row>
    <row r="852" spans="1:3" x14ac:dyDescent="0.3">
      <c r="A852" s="1" t="s">
        <v>505</v>
      </c>
      <c r="B852" t="s">
        <v>353</v>
      </c>
      <c r="C852" s="1">
        <v>12.300576</v>
      </c>
    </row>
    <row r="853" spans="1:3" x14ac:dyDescent="0.3">
      <c r="A853" s="1" t="s">
        <v>505</v>
      </c>
      <c r="B853" t="s">
        <v>354</v>
      </c>
      <c r="C853" s="1">
        <v>12.163577999999999</v>
      </c>
    </row>
    <row r="854" spans="1:3" x14ac:dyDescent="0.3">
      <c r="A854" s="1" t="s">
        <v>505</v>
      </c>
      <c r="B854" t="s">
        <v>355</v>
      </c>
      <c r="C854" s="1">
        <v>12.241863</v>
      </c>
    </row>
    <row r="855" spans="1:3" x14ac:dyDescent="0.3">
      <c r="A855" s="1" t="s">
        <v>505</v>
      </c>
      <c r="B855" t="s">
        <v>356</v>
      </c>
      <c r="C855" s="1">
        <v>12.447362</v>
      </c>
    </row>
    <row r="856" spans="1:3" x14ac:dyDescent="0.3">
      <c r="A856" s="1" t="s">
        <v>505</v>
      </c>
      <c r="B856" t="s">
        <v>357</v>
      </c>
      <c r="C856" s="1">
        <v>12.633289</v>
      </c>
    </row>
    <row r="857" spans="1:3" x14ac:dyDescent="0.3">
      <c r="A857" s="1" t="s">
        <v>505</v>
      </c>
      <c r="B857" t="s">
        <v>358</v>
      </c>
      <c r="C857" s="1">
        <v>12.819217</v>
      </c>
    </row>
    <row r="858" spans="1:3" x14ac:dyDescent="0.3">
      <c r="A858" s="1" t="s">
        <v>505</v>
      </c>
      <c r="B858" t="s">
        <v>359</v>
      </c>
      <c r="C858" s="1">
        <v>12.662646000000001</v>
      </c>
    </row>
    <row r="859" spans="1:3" x14ac:dyDescent="0.3">
      <c r="A859" s="1" t="s">
        <v>505</v>
      </c>
      <c r="B859" t="s">
        <v>360</v>
      </c>
      <c r="C859" s="1">
        <v>12.692003</v>
      </c>
    </row>
    <row r="860" spans="1:3" x14ac:dyDescent="0.3">
      <c r="A860" s="1" t="s">
        <v>505</v>
      </c>
      <c r="B860" t="s">
        <v>361</v>
      </c>
      <c r="C860" s="1">
        <v>12.535432999999999</v>
      </c>
    </row>
    <row r="861" spans="1:3" x14ac:dyDescent="0.3">
      <c r="A861" s="1" t="s">
        <v>505</v>
      </c>
      <c r="B861" t="s">
        <v>362</v>
      </c>
      <c r="C861" s="1">
        <v>12.858359</v>
      </c>
    </row>
    <row r="862" spans="1:3" x14ac:dyDescent="0.3">
      <c r="A862" s="1" t="s">
        <v>505</v>
      </c>
      <c r="B862" t="s">
        <v>363</v>
      </c>
      <c r="C862" s="1">
        <v>12.829001999999999</v>
      </c>
    </row>
    <row r="863" spans="1:3" x14ac:dyDescent="0.3">
      <c r="A863" s="1" t="s">
        <v>505</v>
      </c>
      <c r="B863" t="s">
        <v>364</v>
      </c>
      <c r="C863" s="1">
        <v>12.770288000000001</v>
      </c>
    </row>
    <row r="864" spans="1:3" x14ac:dyDescent="0.3">
      <c r="A864" s="1" t="s">
        <v>505</v>
      </c>
      <c r="B864" t="s">
        <v>365</v>
      </c>
      <c r="C864" s="1">
        <v>14.061996000000001</v>
      </c>
    </row>
    <row r="865" spans="1:3" x14ac:dyDescent="0.3">
      <c r="A865" s="1" t="s">
        <v>505</v>
      </c>
      <c r="B865" t="s">
        <v>366</v>
      </c>
      <c r="C865" s="1">
        <v>13.513999</v>
      </c>
    </row>
    <row r="866" spans="1:3" x14ac:dyDescent="0.3">
      <c r="A866" s="1" t="s">
        <v>505</v>
      </c>
      <c r="B866" t="s">
        <v>367</v>
      </c>
      <c r="C866" s="1">
        <v>13.641211999999999</v>
      </c>
    </row>
    <row r="867" spans="1:3" x14ac:dyDescent="0.3">
      <c r="A867" s="1" t="s">
        <v>505</v>
      </c>
      <c r="B867" t="s">
        <v>368</v>
      </c>
      <c r="C867" s="1">
        <v>13.660784</v>
      </c>
    </row>
    <row r="868" spans="1:3" x14ac:dyDescent="0.3">
      <c r="A868" s="1" t="s">
        <v>505</v>
      </c>
      <c r="B868" t="s">
        <v>369</v>
      </c>
      <c r="C868" s="1">
        <v>13.82714</v>
      </c>
    </row>
    <row r="869" spans="1:3" x14ac:dyDescent="0.3">
      <c r="A869" s="1" t="s">
        <v>505</v>
      </c>
      <c r="B869" t="s">
        <v>370</v>
      </c>
      <c r="C869" s="1">
        <v>13.75864</v>
      </c>
    </row>
    <row r="870" spans="1:3" x14ac:dyDescent="0.3">
      <c r="A870" s="1" t="s">
        <v>505</v>
      </c>
      <c r="B870" t="s">
        <v>371</v>
      </c>
      <c r="C870" s="1">
        <v>13.895638999999999</v>
      </c>
    </row>
    <row r="871" spans="1:3" x14ac:dyDescent="0.3">
      <c r="A871" s="1" t="s">
        <v>505</v>
      </c>
      <c r="B871" t="s">
        <v>372</v>
      </c>
      <c r="C871" s="1">
        <v>14.081568000000001</v>
      </c>
    </row>
    <row r="872" spans="1:3" x14ac:dyDescent="0.3">
      <c r="A872" s="1" t="s">
        <v>505</v>
      </c>
      <c r="B872" t="s">
        <v>373</v>
      </c>
      <c r="C872" s="1">
        <v>13.885854</v>
      </c>
    </row>
    <row r="873" spans="1:3" x14ac:dyDescent="0.3">
      <c r="A873" s="1" t="s">
        <v>505</v>
      </c>
      <c r="B873" t="s">
        <v>374</v>
      </c>
      <c r="C873" s="1">
        <v>13.96414</v>
      </c>
    </row>
    <row r="874" spans="1:3" x14ac:dyDescent="0.3">
      <c r="A874" s="1" t="s">
        <v>505</v>
      </c>
      <c r="B874" t="s">
        <v>375</v>
      </c>
      <c r="C874" s="1">
        <v>13.778212</v>
      </c>
    </row>
    <row r="875" spans="1:3" x14ac:dyDescent="0.3">
      <c r="A875" s="1" t="s">
        <v>505</v>
      </c>
      <c r="B875" t="s">
        <v>376</v>
      </c>
      <c r="C875" s="1">
        <v>13.807569000000001</v>
      </c>
    </row>
    <row r="876" spans="1:3" x14ac:dyDescent="0.3">
      <c r="A876" s="1" t="s">
        <v>505</v>
      </c>
      <c r="B876" t="s">
        <v>377</v>
      </c>
      <c r="C876" s="1">
        <v>13.543355999999999</v>
      </c>
    </row>
    <row r="877" spans="1:3" x14ac:dyDescent="0.3">
      <c r="A877" s="1" t="s">
        <v>505</v>
      </c>
      <c r="B877" t="s">
        <v>378</v>
      </c>
      <c r="C877" s="1">
        <v>13.670569</v>
      </c>
    </row>
    <row r="878" spans="1:3" x14ac:dyDescent="0.3">
      <c r="A878" s="1" t="s">
        <v>505</v>
      </c>
      <c r="B878" t="s">
        <v>379</v>
      </c>
      <c r="C878" s="1">
        <v>13.729283000000001</v>
      </c>
    </row>
    <row r="879" spans="1:3" x14ac:dyDescent="0.3">
      <c r="A879" s="1" t="s">
        <v>505</v>
      </c>
      <c r="B879" t="s">
        <v>380</v>
      </c>
      <c r="C879" s="1">
        <v>13.885854</v>
      </c>
    </row>
    <row r="880" spans="1:3" x14ac:dyDescent="0.3">
      <c r="A880" s="1" t="s">
        <v>505</v>
      </c>
      <c r="B880" t="s">
        <v>381</v>
      </c>
      <c r="C880" s="1">
        <v>14.189209</v>
      </c>
    </row>
    <row r="881" spans="1:3" x14ac:dyDescent="0.3">
      <c r="A881" s="1" t="s">
        <v>505</v>
      </c>
      <c r="B881" t="s">
        <v>382</v>
      </c>
      <c r="C881" s="1">
        <v>13.885854</v>
      </c>
    </row>
    <row r="882" spans="1:3" x14ac:dyDescent="0.3">
      <c r="A882" s="1" t="s">
        <v>505</v>
      </c>
      <c r="B882" t="s">
        <v>383</v>
      </c>
      <c r="C882" s="1">
        <v>13.670569</v>
      </c>
    </row>
    <row r="883" spans="1:3" x14ac:dyDescent="0.3">
      <c r="A883" s="1" t="s">
        <v>505</v>
      </c>
      <c r="B883" t="s">
        <v>384</v>
      </c>
      <c r="C883" s="1">
        <v>13.787997000000001</v>
      </c>
    </row>
    <row r="884" spans="1:3" x14ac:dyDescent="0.3">
      <c r="A884" s="1" t="s">
        <v>505</v>
      </c>
      <c r="B884" t="s">
        <v>385</v>
      </c>
      <c r="C884" s="1">
        <v>13.75864</v>
      </c>
    </row>
    <row r="885" spans="1:3" x14ac:dyDescent="0.3">
      <c r="A885" s="1" t="s">
        <v>505</v>
      </c>
      <c r="B885" t="s">
        <v>386</v>
      </c>
      <c r="C885" s="1">
        <v>13.817354</v>
      </c>
    </row>
    <row r="886" spans="1:3" x14ac:dyDescent="0.3">
      <c r="A886" s="1" t="s">
        <v>505</v>
      </c>
      <c r="B886" t="s">
        <v>387</v>
      </c>
      <c r="C886" s="1">
        <v>13.797783000000001</v>
      </c>
    </row>
    <row r="887" spans="1:3" x14ac:dyDescent="0.3">
      <c r="A887" s="1" t="s">
        <v>505</v>
      </c>
      <c r="B887" t="s">
        <v>388</v>
      </c>
      <c r="C887" s="1">
        <v>13.602069999999999</v>
      </c>
    </row>
    <row r="888" spans="1:3" x14ac:dyDescent="0.3">
      <c r="A888" s="1" t="s">
        <v>505</v>
      </c>
      <c r="B888" t="s">
        <v>389</v>
      </c>
      <c r="C888" s="1">
        <v>13.719498</v>
      </c>
    </row>
    <row r="889" spans="1:3" x14ac:dyDescent="0.3">
      <c r="A889" s="1" t="s">
        <v>505</v>
      </c>
      <c r="B889" t="s">
        <v>390</v>
      </c>
      <c r="C889" s="1">
        <v>13.592283999999999</v>
      </c>
    </row>
    <row r="890" spans="1:3" x14ac:dyDescent="0.3">
      <c r="A890" s="1" t="s">
        <v>505</v>
      </c>
      <c r="B890" t="s">
        <v>391</v>
      </c>
      <c r="C890" s="1">
        <v>13.465071</v>
      </c>
    </row>
    <row r="891" spans="1:3" x14ac:dyDescent="0.3">
      <c r="A891" s="1" t="s">
        <v>505</v>
      </c>
      <c r="B891" t="s">
        <v>392</v>
      </c>
      <c r="C891" s="1">
        <v>13.406357</v>
      </c>
    </row>
    <row r="892" spans="1:3" x14ac:dyDescent="0.3">
      <c r="A892" s="1" t="s">
        <v>505</v>
      </c>
      <c r="B892" t="s">
        <v>393</v>
      </c>
      <c r="C892" s="1">
        <v>13.377000000000001</v>
      </c>
    </row>
    <row r="893" spans="1:3" x14ac:dyDescent="0.3">
      <c r="A893" s="1" t="s">
        <v>505</v>
      </c>
      <c r="B893" t="s">
        <v>394</v>
      </c>
      <c r="C893" s="1">
        <v>13.318284999999999</v>
      </c>
    </row>
    <row r="894" spans="1:3" x14ac:dyDescent="0.3">
      <c r="A894" s="1" t="s">
        <v>505</v>
      </c>
      <c r="B894" t="s">
        <v>395</v>
      </c>
      <c r="C894" s="1">
        <v>13.220428999999999</v>
      </c>
    </row>
    <row r="895" spans="1:3" x14ac:dyDescent="0.3">
      <c r="A895" s="1" t="s">
        <v>505</v>
      </c>
      <c r="B895" t="s">
        <v>396</v>
      </c>
      <c r="C895" s="1">
        <v>13.465071</v>
      </c>
    </row>
    <row r="896" spans="1:3" x14ac:dyDescent="0.3">
      <c r="A896" s="1" t="s">
        <v>505</v>
      </c>
      <c r="B896" t="s">
        <v>397</v>
      </c>
      <c r="C896" s="1">
        <v>13.386786000000001</v>
      </c>
    </row>
    <row r="897" spans="1:3" x14ac:dyDescent="0.3">
      <c r="A897" s="1" t="s">
        <v>505</v>
      </c>
      <c r="B897" t="s">
        <v>398</v>
      </c>
      <c r="C897" s="1">
        <v>13.083429000000001</v>
      </c>
    </row>
    <row r="898" spans="1:3" x14ac:dyDescent="0.3">
      <c r="A898" s="1" t="s">
        <v>505</v>
      </c>
      <c r="B898" t="s">
        <v>399</v>
      </c>
      <c r="C898" s="1">
        <v>13.386786000000001</v>
      </c>
    </row>
    <row r="899" spans="1:3" x14ac:dyDescent="0.3">
      <c r="A899" s="1" t="s">
        <v>505</v>
      </c>
      <c r="B899" t="s">
        <v>400</v>
      </c>
      <c r="C899" s="1">
        <v>13.435713</v>
      </c>
    </row>
    <row r="900" spans="1:3" x14ac:dyDescent="0.3">
      <c r="A900" s="1" t="s">
        <v>505</v>
      </c>
      <c r="B900" t="s">
        <v>401</v>
      </c>
      <c r="C900" s="1">
        <v>13.504213</v>
      </c>
    </row>
    <row r="901" spans="1:3" x14ac:dyDescent="0.3">
      <c r="A901" s="1" t="s">
        <v>505</v>
      </c>
      <c r="B901" t="s">
        <v>402</v>
      </c>
      <c r="C901" s="1">
        <v>13.122572</v>
      </c>
    </row>
    <row r="902" spans="1:3" x14ac:dyDescent="0.3">
      <c r="A902" s="1" t="s">
        <v>505</v>
      </c>
      <c r="B902" t="s">
        <v>403</v>
      </c>
      <c r="C902" s="1">
        <v>13.034501000000001</v>
      </c>
    </row>
    <row r="903" spans="1:3" x14ac:dyDescent="0.3">
      <c r="A903" s="1" t="s">
        <v>505</v>
      </c>
      <c r="B903" t="s">
        <v>404</v>
      </c>
      <c r="C903" s="1">
        <v>13.142144</v>
      </c>
    </row>
    <row r="904" spans="1:3" x14ac:dyDescent="0.3">
      <c r="A904" s="1" t="s">
        <v>505</v>
      </c>
      <c r="B904" t="s">
        <v>405</v>
      </c>
      <c r="C904" s="1">
        <v>13.142144</v>
      </c>
    </row>
    <row r="905" spans="1:3" x14ac:dyDescent="0.3">
      <c r="A905" s="1" t="s">
        <v>505</v>
      </c>
      <c r="B905" t="s">
        <v>406</v>
      </c>
      <c r="C905" s="1">
        <v>13.161714999999999</v>
      </c>
    </row>
    <row r="906" spans="1:3" x14ac:dyDescent="0.3">
      <c r="A906" s="1" t="s">
        <v>505</v>
      </c>
      <c r="B906" t="s">
        <v>407</v>
      </c>
      <c r="C906" s="1">
        <v>13.572713</v>
      </c>
    </row>
    <row r="907" spans="1:3" x14ac:dyDescent="0.3">
      <c r="A907" s="1" t="s">
        <v>505</v>
      </c>
      <c r="B907" t="s">
        <v>408</v>
      </c>
      <c r="C907" s="1">
        <v>13.337857</v>
      </c>
    </row>
    <row r="908" spans="1:3" x14ac:dyDescent="0.3">
      <c r="A908" s="1" t="s">
        <v>505</v>
      </c>
      <c r="B908" t="s">
        <v>409</v>
      </c>
      <c r="C908" s="1">
        <v>13.24</v>
      </c>
    </row>
    <row r="909" spans="1:3" x14ac:dyDescent="0.3">
      <c r="A909" s="1" t="s">
        <v>505</v>
      </c>
      <c r="B909" t="s">
        <v>410</v>
      </c>
      <c r="C909" s="1">
        <v>13.01493</v>
      </c>
    </row>
    <row r="910" spans="1:3" x14ac:dyDescent="0.3">
      <c r="A910" s="1" t="s">
        <v>505</v>
      </c>
      <c r="B910" t="s">
        <v>411</v>
      </c>
      <c r="C910" s="1">
        <v>12.956216</v>
      </c>
    </row>
    <row r="911" spans="1:3" x14ac:dyDescent="0.3">
      <c r="A911" s="1" t="s">
        <v>505</v>
      </c>
      <c r="B911" t="s">
        <v>412</v>
      </c>
      <c r="C911" s="1">
        <v>13.093215000000001</v>
      </c>
    </row>
    <row r="912" spans="1:3" x14ac:dyDescent="0.3">
      <c r="A912" s="1" t="s">
        <v>505</v>
      </c>
      <c r="B912" t="s">
        <v>413</v>
      </c>
      <c r="C912" s="1">
        <v>13.230214999999999</v>
      </c>
    </row>
    <row r="913" spans="1:3" x14ac:dyDescent="0.3">
      <c r="A913" s="1" t="s">
        <v>505</v>
      </c>
      <c r="B913" t="s">
        <v>414</v>
      </c>
      <c r="C913" s="1">
        <v>13.24</v>
      </c>
    </row>
    <row r="914" spans="1:3" x14ac:dyDescent="0.3">
      <c r="A914" s="1" t="s">
        <v>505</v>
      </c>
      <c r="B914" t="s">
        <v>415</v>
      </c>
      <c r="C914" s="1">
        <v>13.151929000000001</v>
      </c>
    </row>
    <row r="915" spans="1:3" x14ac:dyDescent="0.3">
      <c r="A915" s="1" t="s">
        <v>505</v>
      </c>
      <c r="B915" t="s">
        <v>416</v>
      </c>
      <c r="C915" s="1">
        <v>13.24</v>
      </c>
    </row>
    <row r="916" spans="1:3" x14ac:dyDescent="0.3">
      <c r="A916" s="1" t="s">
        <v>505</v>
      </c>
      <c r="B916" t="s">
        <v>417</v>
      </c>
      <c r="C916" s="1">
        <v>13.35</v>
      </c>
    </row>
    <row r="917" spans="1:3" x14ac:dyDescent="0.3">
      <c r="A917" s="1" t="s">
        <v>505</v>
      </c>
      <c r="B917" t="s">
        <v>418</v>
      </c>
      <c r="C917" s="1">
        <v>13.32</v>
      </c>
    </row>
    <row r="918" spans="1:3" x14ac:dyDescent="0.3">
      <c r="A918" s="1" t="s">
        <v>505</v>
      </c>
      <c r="B918" t="s">
        <v>419</v>
      </c>
      <c r="C918" s="1">
        <v>13.35</v>
      </c>
    </row>
    <row r="919" spans="1:3" x14ac:dyDescent="0.3">
      <c r="A919" s="1" t="s">
        <v>505</v>
      </c>
      <c r="B919" t="s">
        <v>420</v>
      </c>
      <c r="C919" s="1">
        <v>13.3</v>
      </c>
    </row>
    <row r="920" spans="1:3" x14ac:dyDescent="0.3">
      <c r="A920" s="1" t="s">
        <v>505</v>
      </c>
      <c r="B920" t="s">
        <v>421</v>
      </c>
      <c r="C920" s="1">
        <v>13.09</v>
      </c>
    </row>
    <row r="921" spans="1:3" x14ac:dyDescent="0.3">
      <c r="A921" s="1" t="s">
        <v>505</v>
      </c>
      <c r="B921" t="s">
        <v>422</v>
      </c>
      <c r="C921" s="1">
        <v>13.18</v>
      </c>
    </row>
    <row r="922" spans="1:3" x14ac:dyDescent="0.3">
      <c r="A922" s="1" t="s">
        <v>505</v>
      </c>
      <c r="B922" t="s">
        <v>423</v>
      </c>
      <c r="C922" s="1">
        <v>13.42</v>
      </c>
    </row>
    <row r="923" spans="1:3" x14ac:dyDescent="0.3">
      <c r="A923" s="1" t="s">
        <v>505</v>
      </c>
      <c r="B923" t="s">
        <v>424</v>
      </c>
      <c r="C923" s="1">
        <v>13.46</v>
      </c>
    </row>
    <row r="924" spans="1:3" x14ac:dyDescent="0.3">
      <c r="A924" s="1" t="s">
        <v>505</v>
      </c>
      <c r="B924" t="s">
        <v>425</v>
      </c>
      <c r="C924" s="1">
        <v>13.42</v>
      </c>
    </row>
    <row r="925" spans="1:3" x14ac:dyDescent="0.3">
      <c r="A925" s="1" t="s">
        <v>505</v>
      </c>
      <c r="B925" t="s">
        <v>426</v>
      </c>
      <c r="C925" s="1">
        <v>13.6</v>
      </c>
    </row>
    <row r="926" spans="1:3" x14ac:dyDescent="0.3">
      <c r="A926" s="1" t="s">
        <v>505</v>
      </c>
      <c r="B926" t="s">
        <v>427</v>
      </c>
      <c r="C926" s="1">
        <v>13.59</v>
      </c>
    </row>
    <row r="927" spans="1:3" x14ac:dyDescent="0.3">
      <c r="A927" s="1" t="s">
        <v>505</v>
      </c>
      <c r="B927" t="s">
        <v>428</v>
      </c>
      <c r="C927" s="1">
        <v>13.67</v>
      </c>
    </row>
    <row r="928" spans="1:3" x14ac:dyDescent="0.3">
      <c r="A928" s="1" t="s">
        <v>505</v>
      </c>
      <c r="B928" t="s">
        <v>429</v>
      </c>
      <c r="C928" s="1">
        <v>13.64</v>
      </c>
    </row>
    <row r="929" spans="1:3" x14ac:dyDescent="0.3">
      <c r="A929" s="1" t="s">
        <v>505</v>
      </c>
      <c r="B929" t="s">
        <v>430</v>
      </c>
      <c r="C929" s="1">
        <v>13.93</v>
      </c>
    </row>
    <row r="930" spans="1:3" x14ac:dyDescent="0.3">
      <c r="A930" s="1" t="s">
        <v>505</v>
      </c>
      <c r="B930" t="s">
        <v>431</v>
      </c>
      <c r="C930" s="1">
        <v>14.22</v>
      </c>
    </row>
    <row r="931" spans="1:3" x14ac:dyDescent="0.3">
      <c r="A931" s="1" t="s">
        <v>505</v>
      </c>
      <c r="B931" t="s">
        <v>432</v>
      </c>
      <c r="C931" s="1">
        <v>14.36</v>
      </c>
    </row>
    <row r="932" spans="1:3" x14ac:dyDescent="0.3">
      <c r="A932" s="1" t="s">
        <v>505</v>
      </c>
      <c r="B932" t="s">
        <v>433</v>
      </c>
      <c r="C932" s="1">
        <v>14.03</v>
      </c>
    </row>
    <row r="933" spans="1:3" x14ac:dyDescent="0.3">
      <c r="A933" s="1" t="s">
        <v>505</v>
      </c>
      <c r="B933" t="s">
        <v>434</v>
      </c>
      <c r="C933" s="1">
        <v>14.23</v>
      </c>
    </row>
    <row r="934" spans="1:3" x14ac:dyDescent="0.3">
      <c r="A934" s="1" t="s">
        <v>505</v>
      </c>
      <c r="B934" t="s">
        <v>435</v>
      </c>
      <c r="C934" s="1">
        <v>14.22</v>
      </c>
    </row>
    <row r="935" spans="1:3" x14ac:dyDescent="0.3">
      <c r="A935" s="1" t="s">
        <v>505</v>
      </c>
      <c r="B935" t="s">
        <v>436</v>
      </c>
      <c r="C935" s="1">
        <v>14.32</v>
      </c>
    </row>
    <row r="936" spans="1:3" x14ac:dyDescent="0.3">
      <c r="A936" s="1" t="s">
        <v>505</v>
      </c>
      <c r="B936" t="s">
        <v>437</v>
      </c>
      <c r="C936" s="1">
        <v>14.64</v>
      </c>
    </row>
    <row r="937" spans="1:3" x14ac:dyDescent="0.3">
      <c r="A937" s="1" t="s">
        <v>505</v>
      </c>
      <c r="B937" t="s">
        <v>438</v>
      </c>
      <c r="C937" s="1">
        <v>13.32</v>
      </c>
    </row>
    <row r="938" spans="1:3" x14ac:dyDescent="0.3">
      <c r="A938" s="1" t="s">
        <v>505</v>
      </c>
      <c r="B938" t="s">
        <v>439</v>
      </c>
      <c r="C938" s="1">
        <v>13.71</v>
      </c>
    </row>
    <row r="939" spans="1:3" x14ac:dyDescent="0.3">
      <c r="A939" s="1" t="s">
        <v>505</v>
      </c>
      <c r="B939" t="s">
        <v>440</v>
      </c>
      <c r="C939" s="1">
        <v>13.34</v>
      </c>
    </row>
    <row r="940" spans="1:3" x14ac:dyDescent="0.3">
      <c r="A940" s="1" t="s">
        <v>505</v>
      </c>
      <c r="B940" t="s">
        <v>441</v>
      </c>
      <c r="C940" s="1">
        <v>13.59</v>
      </c>
    </row>
    <row r="941" spans="1:3" x14ac:dyDescent="0.3">
      <c r="A941" s="1" t="s">
        <v>505</v>
      </c>
      <c r="B941" t="s">
        <v>442</v>
      </c>
      <c r="C941" s="1">
        <v>13.49</v>
      </c>
    </row>
    <row r="942" spans="1:3" x14ac:dyDescent="0.3">
      <c r="A942" s="1" t="s">
        <v>505</v>
      </c>
      <c r="B942" t="s">
        <v>443</v>
      </c>
      <c r="C942" s="1">
        <v>13.44</v>
      </c>
    </row>
    <row r="943" spans="1:3" x14ac:dyDescent="0.3">
      <c r="A943" s="1" t="s">
        <v>505</v>
      </c>
      <c r="B943" t="s">
        <v>444</v>
      </c>
      <c r="C943" s="1">
        <v>13.84</v>
      </c>
    </row>
    <row r="944" spans="1:3" x14ac:dyDescent="0.3">
      <c r="A944" s="1" t="s">
        <v>505</v>
      </c>
      <c r="B944" t="s">
        <v>445</v>
      </c>
      <c r="C944" s="1">
        <v>13.86</v>
      </c>
    </row>
    <row r="945" spans="1:3" x14ac:dyDescent="0.3">
      <c r="A945" s="1" t="s">
        <v>505</v>
      </c>
      <c r="B945" t="s">
        <v>446</v>
      </c>
      <c r="C945" s="1">
        <v>13.75</v>
      </c>
    </row>
    <row r="946" spans="1:3" x14ac:dyDescent="0.3">
      <c r="A946" s="1" t="s">
        <v>505</v>
      </c>
      <c r="B946" t="s">
        <v>447</v>
      </c>
      <c r="C946" s="1">
        <v>13.95</v>
      </c>
    </row>
    <row r="947" spans="1:3" x14ac:dyDescent="0.3">
      <c r="A947" s="1" t="s">
        <v>505</v>
      </c>
      <c r="B947" t="s">
        <v>448</v>
      </c>
      <c r="C947" s="1">
        <v>13.63</v>
      </c>
    </row>
    <row r="948" spans="1:3" x14ac:dyDescent="0.3">
      <c r="A948" s="1" t="s">
        <v>505</v>
      </c>
      <c r="B948" t="s">
        <v>449</v>
      </c>
      <c r="C948" s="1">
        <v>13.55</v>
      </c>
    </row>
    <row r="949" spans="1:3" x14ac:dyDescent="0.3">
      <c r="A949" s="1" t="s">
        <v>505</v>
      </c>
      <c r="B949" t="s">
        <v>450</v>
      </c>
      <c r="C949" s="1">
        <v>13.49</v>
      </c>
    </row>
    <row r="950" spans="1:3" x14ac:dyDescent="0.3">
      <c r="A950" s="1" t="s">
        <v>505</v>
      </c>
      <c r="B950" t="s">
        <v>451</v>
      </c>
      <c r="C950" s="1">
        <v>13.55</v>
      </c>
    </row>
    <row r="951" spans="1:3" x14ac:dyDescent="0.3">
      <c r="A951" s="1" t="s">
        <v>505</v>
      </c>
      <c r="B951" t="s">
        <v>452</v>
      </c>
      <c r="C951" s="1">
        <v>13.64</v>
      </c>
    </row>
    <row r="952" spans="1:3" x14ac:dyDescent="0.3">
      <c r="A952" s="1" t="s">
        <v>505</v>
      </c>
      <c r="B952" t="s">
        <v>453</v>
      </c>
      <c r="C952" s="1">
        <v>13.4</v>
      </c>
    </row>
    <row r="953" spans="1:3" x14ac:dyDescent="0.3">
      <c r="A953" s="1" t="s">
        <v>505</v>
      </c>
      <c r="B953" t="s">
        <v>454</v>
      </c>
      <c r="C953" s="1">
        <v>13.54</v>
      </c>
    </row>
    <row r="954" spans="1:3" x14ac:dyDescent="0.3">
      <c r="A954" s="1" t="s">
        <v>505</v>
      </c>
      <c r="B954" t="s">
        <v>455</v>
      </c>
      <c r="C954" s="1">
        <v>13.57</v>
      </c>
    </row>
    <row r="955" spans="1:3" x14ac:dyDescent="0.3">
      <c r="A955" s="1" t="s">
        <v>505</v>
      </c>
      <c r="B955" t="s">
        <v>456</v>
      </c>
      <c r="C955" s="1">
        <v>13.48</v>
      </c>
    </row>
    <row r="956" spans="1:3" x14ac:dyDescent="0.3">
      <c r="A956" s="1" t="s">
        <v>505</v>
      </c>
      <c r="B956" t="s">
        <v>457</v>
      </c>
      <c r="C956" s="1">
        <v>13.55</v>
      </c>
    </row>
    <row r="957" spans="1:3" x14ac:dyDescent="0.3">
      <c r="A957" s="1" t="s">
        <v>505</v>
      </c>
      <c r="B957" t="s">
        <v>458</v>
      </c>
      <c r="C957" s="1">
        <v>13.44</v>
      </c>
    </row>
    <row r="958" spans="1:3" x14ac:dyDescent="0.3">
      <c r="A958" s="1" t="s">
        <v>505</v>
      </c>
      <c r="B958" t="s">
        <v>459</v>
      </c>
      <c r="C958" s="1">
        <v>13.54</v>
      </c>
    </row>
    <row r="959" spans="1:3" x14ac:dyDescent="0.3">
      <c r="A959" s="1" t="s">
        <v>505</v>
      </c>
      <c r="B959" t="s">
        <v>460</v>
      </c>
      <c r="C959" s="1">
        <v>13.47</v>
      </c>
    </row>
    <row r="960" spans="1:3" x14ac:dyDescent="0.3">
      <c r="A960" s="1" t="s">
        <v>505</v>
      </c>
      <c r="B960" t="s">
        <v>461</v>
      </c>
      <c r="C960" s="1">
        <v>13.31</v>
      </c>
    </row>
    <row r="961" spans="1:3" x14ac:dyDescent="0.3">
      <c r="A961" s="1" t="s">
        <v>505</v>
      </c>
      <c r="B961" t="s">
        <v>462</v>
      </c>
      <c r="C961" s="1">
        <v>13.49</v>
      </c>
    </row>
    <row r="962" spans="1:3" x14ac:dyDescent="0.3">
      <c r="A962" s="1" t="s">
        <v>505</v>
      </c>
      <c r="B962" t="s">
        <v>463</v>
      </c>
      <c r="C962" s="1">
        <v>13.46</v>
      </c>
    </row>
    <row r="963" spans="1:3" x14ac:dyDescent="0.3">
      <c r="A963" s="1" t="s">
        <v>505</v>
      </c>
      <c r="B963" t="s">
        <v>464</v>
      </c>
      <c r="C963" s="1">
        <v>13.6</v>
      </c>
    </row>
    <row r="964" spans="1:3" x14ac:dyDescent="0.3">
      <c r="A964" s="1" t="s">
        <v>505</v>
      </c>
      <c r="B964" t="s">
        <v>465</v>
      </c>
      <c r="C964" s="1">
        <v>13.61</v>
      </c>
    </row>
    <row r="965" spans="1:3" x14ac:dyDescent="0.3">
      <c r="A965" s="1" t="s">
        <v>505</v>
      </c>
      <c r="B965" t="s">
        <v>466</v>
      </c>
      <c r="C965" s="1">
        <v>13.64</v>
      </c>
    </row>
    <row r="966" spans="1:3" x14ac:dyDescent="0.3">
      <c r="A966" s="1" t="s">
        <v>505</v>
      </c>
      <c r="B966" t="s">
        <v>467</v>
      </c>
      <c r="C966" s="1">
        <v>13.56</v>
      </c>
    </row>
    <row r="967" spans="1:3" x14ac:dyDescent="0.3">
      <c r="A967" s="1" t="s">
        <v>505</v>
      </c>
      <c r="B967" t="s">
        <v>468</v>
      </c>
      <c r="C967" s="1">
        <v>13.57</v>
      </c>
    </row>
    <row r="968" spans="1:3" x14ac:dyDescent="0.3">
      <c r="A968" s="1" t="s">
        <v>505</v>
      </c>
      <c r="B968" t="s">
        <v>469</v>
      </c>
      <c r="C968" s="1">
        <v>13.4</v>
      </c>
    </row>
    <row r="969" spans="1:3" x14ac:dyDescent="0.3">
      <c r="A969" s="1" t="s">
        <v>505</v>
      </c>
      <c r="B969" t="s">
        <v>470</v>
      </c>
      <c r="C969" s="1">
        <v>13.5</v>
      </c>
    </row>
    <row r="970" spans="1:3" x14ac:dyDescent="0.3">
      <c r="A970" s="1" t="s">
        <v>505</v>
      </c>
      <c r="B970" t="s">
        <v>471</v>
      </c>
      <c r="C970" s="1">
        <v>13.34</v>
      </c>
    </row>
    <row r="971" spans="1:3" x14ac:dyDescent="0.3">
      <c r="A971" s="1" t="s">
        <v>505</v>
      </c>
      <c r="B971" t="s">
        <v>472</v>
      </c>
      <c r="C971" s="1">
        <v>13.4</v>
      </c>
    </row>
    <row r="972" spans="1:3" x14ac:dyDescent="0.3">
      <c r="A972" s="1" t="s">
        <v>505</v>
      </c>
      <c r="B972" t="s">
        <v>473</v>
      </c>
      <c r="C972" s="1">
        <v>13.5</v>
      </c>
    </row>
    <row r="973" spans="1:3" x14ac:dyDescent="0.3">
      <c r="A973" s="1" t="s">
        <v>505</v>
      </c>
      <c r="B973" t="s">
        <v>474</v>
      </c>
      <c r="C973" s="1">
        <v>13.25</v>
      </c>
    </row>
    <row r="974" spans="1:3" x14ac:dyDescent="0.3">
      <c r="A974" s="1" t="s">
        <v>505</v>
      </c>
      <c r="B974" t="s">
        <v>475</v>
      </c>
      <c r="C974" s="1">
        <v>13.19</v>
      </c>
    </row>
    <row r="975" spans="1:3" x14ac:dyDescent="0.3">
      <c r="A975" s="1" t="s">
        <v>505</v>
      </c>
      <c r="B975" t="s">
        <v>476</v>
      </c>
      <c r="C975" s="1">
        <v>13.23</v>
      </c>
    </row>
    <row r="976" spans="1:3" x14ac:dyDescent="0.3">
      <c r="A976" s="1" t="s">
        <v>505</v>
      </c>
      <c r="B976" t="s">
        <v>477</v>
      </c>
      <c r="C976" s="1">
        <v>13.18</v>
      </c>
    </row>
    <row r="977" spans="1:3" x14ac:dyDescent="0.3">
      <c r="A977" s="1" t="s">
        <v>505</v>
      </c>
      <c r="B977" t="s">
        <v>478</v>
      </c>
      <c r="C977" s="1">
        <v>13.17</v>
      </c>
    </row>
    <row r="978" spans="1:3" x14ac:dyDescent="0.3">
      <c r="A978" s="1" t="s">
        <v>505</v>
      </c>
      <c r="B978" t="s">
        <v>479</v>
      </c>
      <c r="C978" s="1">
        <v>13.1</v>
      </c>
    </row>
    <row r="979" spans="1:3" x14ac:dyDescent="0.3">
      <c r="A979" s="1" t="s">
        <v>505</v>
      </c>
      <c r="B979" t="s">
        <v>480</v>
      </c>
      <c r="C979" s="1">
        <v>13.07</v>
      </c>
    </row>
    <row r="980" spans="1:3" x14ac:dyDescent="0.3">
      <c r="A980" s="1" t="s">
        <v>505</v>
      </c>
      <c r="B980" t="s">
        <v>481</v>
      </c>
      <c r="C980" s="1">
        <v>13.26</v>
      </c>
    </row>
    <row r="981" spans="1:3" x14ac:dyDescent="0.3">
      <c r="A981" s="1" t="s">
        <v>505</v>
      </c>
      <c r="B981" t="s">
        <v>482</v>
      </c>
      <c r="C981" s="1">
        <v>13.28</v>
      </c>
    </row>
    <row r="982" spans="1:3" x14ac:dyDescent="0.3">
      <c r="A982" s="1" t="s">
        <v>505</v>
      </c>
      <c r="B982" t="s">
        <v>483</v>
      </c>
      <c r="C982" s="1">
        <v>13.27</v>
      </c>
    </row>
    <row r="983" spans="1:3" x14ac:dyDescent="0.3">
      <c r="A983" s="1" t="s">
        <v>505</v>
      </c>
      <c r="B983" t="s">
        <v>484</v>
      </c>
      <c r="C983" s="1">
        <v>13.41</v>
      </c>
    </row>
    <row r="984" spans="1:3" x14ac:dyDescent="0.3">
      <c r="A984" s="1" t="s">
        <v>505</v>
      </c>
      <c r="B984" t="s">
        <v>485</v>
      </c>
      <c r="C984" s="1">
        <v>13.59</v>
      </c>
    </row>
    <row r="985" spans="1:3" x14ac:dyDescent="0.3">
      <c r="A985" s="1" t="s">
        <v>505</v>
      </c>
      <c r="B985" t="s">
        <v>486</v>
      </c>
      <c r="C985" s="1">
        <v>13.38</v>
      </c>
    </row>
    <row r="986" spans="1:3" x14ac:dyDescent="0.3">
      <c r="A986" s="1" t="s">
        <v>505</v>
      </c>
      <c r="B986" t="s">
        <v>487</v>
      </c>
      <c r="C986" s="1">
        <v>13.57</v>
      </c>
    </row>
    <row r="987" spans="1:3" x14ac:dyDescent="0.3">
      <c r="A987" s="1" t="s">
        <v>505</v>
      </c>
      <c r="B987" t="s">
        <v>488</v>
      </c>
      <c r="C987" s="1">
        <v>13.35</v>
      </c>
    </row>
    <row r="988" spans="1:3" x14ac:dyDescent="0.3">
      <c r="A988" s="1" t="s">
        <v>505</v>
      </c>
      <c r="B988" t="s">
        <v>489</v>
      </c>
      <c r="C988" s="1">
        <v>13.57</v>
      </c>
    </row>
    <row r="989" spans="1:3" x14ac:dyDescent="0.3">
      <c r="A989" s="1" t="s">
        <v>505</v>
      </c>
      <c r="B989" t="s">
        <v>490</v>
      </c>
      <c r="C989" s="1">
        <v>13.6</v>
      </c>
    </row>
    <row r="990" spans="1:3" x14ac:dyDescent="0.3">
      <c r="A990" s="1" t="s">
        <v>505</v>
      </c>
      <c r="B990" t="s">
        <v>491</v>
      </c>
      <c r="C990" s="1">
        <v>13.55</v>
      </c>
    </row>
    <row r="991" spans="1:3" x14ac:dyDescent="0.3">
      <c r="A991" s="1" t="s">
        <v>505</v>
      </c>
      <c r="B991" t="s">
        <v>492</v>
      </c>
      <c r="C991" s="1">
        <v>13.46</v>
      </c>
    </row>
    <row r="992" spans="1:3" x14ac:dyDescent="0.3">
      <c r="A992" s="1" t="s">
        <v>505</v>
      </c>
      <c r="B992" t="s">
        <v>493</v>
      </c>
      <c r="C992" s="1">
        <v>13.45</v>
      </c>
    </row>
    <row r="993" spans="1:3" x14ac:dyDescent="0.3">
      <c r="A993" s="1" t="s">
        <v>505</v>
      </c>
      <c r="B993" t="s">
        <v>494</v>
      </c>
      <c r="C993" s="1">
        <v>14.14</v>
      </c>
    </row>
    <row r="994" spans="1:3" x14ac:dyDescent="0.3">
      <c r="A994" s="1" t="s">
        <v>505</v>
      </c>
      <c r="B994" t="s">
        <v>495</v>
      </c>
      <c r="C994" s="1">
        <v>13.71</v>
      </c>
    </row>
    <row r="995" spans="1:3" x14ac:dyDescent="0.3">
      <c r="A995" s="1" t="s">
        <v>505</v>
      </c>
      <c r="B995" t="s">
        <v>496</v>
      </c>
      <c r="C995" s="1">
        <v>13.79</v>
      </c>
    </row>
    <row r="996" spans="1:3" x14ac:dyDescent="0.3">
      <c r="A996" s="1" t="s">
        <v>505</v>
      </c>
      <c r="B996" t="s">
        <v>497</v>
      </c>
      <c r="C996" s="1">
        <v>13.74</v>
      </c>
    </row>
    <row r="997" spans="1:3" x14ac:dyDescent="0.3">
      <c r="A997" s="1" t="s">
        <v>505</v>
      </c>
      <c r="B997" t="s">
        <v>498</v>
      </c>
      <c r="C997" s="1">
        <v>13.77</v>
      </c>
    </row>
    <row r="998" spans="1:3" x14ac:dyDescent="0.3">
      <c r="A998" s="1" t="s">
        <v>505</v>
      </c>
      <c r="B998" t="s">
        <v>499</v>
      </c>
      <c r="C998" s="1">
        <v>14.19</v>
      </c>
    </row>
    <row r="999" spans="1:3" x14ac:dyDescent="0.3">
      <c r="A999" s="1" t="s">
        <v>505</v>
      </c>
      <c r="B999" t="s">
        <v>500</v>
      </c>
      <c r="C999" s="1">
        <v>14.2</v>
      </c>
    </row>
    <row r="1000" spans="1:3" x14ac:dyDescent="0.3">
      <c r="A1000" s="1" t="s">
        <v>505</v>
      </c>
      <c r="B1000" t="s">
        <v>501</v>
      </c>
      <c r="C1000" s="1">
        <v>14.2</v>
      </c>
    </row>
    <row r="1001" spans="1:3" x14ac:dyDescent="0.3">
      <c r="A1001" s="1" t="s">
        <v>505</v>
      </c>
      <c r="B1001" t="s">
        <v>502</v>
      </c>
      <c r="C1001" s="1">
        <v>14.21</v>
      </c>
    </row>
    <row r="1002" spans="1:3" x14ac:dyDescent="0.3">
      <c r="A1002" s="1" t="s">
        <v>505</v>
      </c>
      <c r="B1002" t="s">
        <v>503</v>
      </c>
      <c r="C1002" s="1">
        <v>14.31</v>
      </c>
    </row>
    <row r="1003" spans="1:3" x14ac:dyDescent="0.3">
      <c r="A1003" s="1" t="s">
        <v>505</v>
      </c>
      <c r="B1003" t="s">
        <v>504</v>
      </c>
      <c r="C1003" s="1">
        <v>14.2</v>
      </c>
    </row>
    <row r="1004" spans="1:3" x14ac:dyDescent="0.3">
      <c r="A1004" s="1" t="s">
        <v>506</v>
      </c>
      <c r="B1004" t="s">
        <v>4</v>
      </c>
      <c r="C1004" s="1">
        <v>12.140502</v>
      </c>
    </row>
    <row r="1005" spans="1:3" x14ac:dyDescent="0.3">
      <c r="A1005" s="1" t="s">
        <v>506</v>
      </c>
      <c r="B1005" t="s">
        <v>5</v>
      </c>
      <c r="C1005" s="1">
        <v>12.140502</v>
      </c>
    </row>
    <row r="1006" spans="1:3" x14ac:dyDescent="0.3">
      <c r="A1006" s="1" t="s">
        <v>506</v>
      </c>
      <c r="B1006" t="s">
        <v>6</v>
      </c>
      <c r="C1006" s="1">
        <v>12.216977999999999</v>
      </c>
    </row>
    <row r="1007" spans="1:3" x14ac:dyDescent="0.3">
      <c r="A1007" s="1" t="s">
        <v>506</v>
      </c>
      <c r="B1007" t="s">
        <v>7</v>
      </c>
      <c r="C1007" s="1">
        <v>12.255216000000001</v>
      </c>
    </row>
    <row r="1008" spans="1:3" x14ac:dyDescent="0.3">
      <c r="A1008" s="1" t="s">
        <v>506</v>
      </c>
      <c r="B1008" t="s">
        <v>8</v>
      </c>
      <c r="C1008" s="1">
        <v>12.159621</v>
      </c>
    </row>
    <row r="1009" spans="1:3" x14ac:dyDescent="0.3">
      <c r="A1009" s="1" t="s">
        <v>506</v>
      </c>
      <c r="B1009" t="s">
        <v>9</v>
      </c>
      <c r="C1009" s="1">
        <v>12.121384000000001</v>
      </c>
    </row>
    <row r="1010" spans="1:3" x14ac:dyDescent="0.3">
      <c r="A1010" s="1" t="s">
        <v>506</v>
      </c>
      <c r="B1010" t="s">
        <v>10</v>
      </c>
      <c r="C1010" s="1">
        <v>12.331690999999999</v>
      </c>
    </row>
    <row r="1011" spans="1:3" x14ac:dyDescent="0.3">
      <c r="A1011" s="1" t="s">
        <v>506</v>
      </c>
      <c r="B1011" t="s">
        <v>11</v>
      </c>
      <c r="C1011" s="1">
        <v>12.465522999999999</v>
      </c>
    </row>
    <row r="1012" spans="1:3" x14ac:dyDescent="0.3">
      <c r="A1012" s="1" t="s">
        <v>506</v>
      </c>
      <c r="B1012" t="s">
        <v>12</v>
      </c>
      <c r="C1012" s="1">
        <v>12.446405</v>
      </c>
    </row>
    <row r="1013" spans="1:3" x14ac:dyDescent="0.3">
      <c r="A1013" s="1" t="s">
        <v>506</v>
      </c>
      <c r="B1013" t="s">
        <v>13</v>
      </c>
      <c r="C1013" s="1">
        <v>12.484643</v>
      </c>
    </row>
    <row r="1014" spans="1:3" x14ac:dyDescent="0.3">
      <c r="A1014" s="1" t="s">
        <v>506</v>
      </c>
      <c r="B1014" t="s">
        <v>14</v>
      </c>
      <c r="C1014" s="1">
        <v>13.096447</v>
      </c>
    </row>
    <row r="1015" spans="1:3" x14ac:dyDescent="0.3">
      <c r="A1015" s="1" t="s">
        <v>506</v>
      </c>
      <c r="B1015" t="s">
        <v>15</v>
      </c>
      <c r="C1015" s="1">
        <v>13.153803999999999</v>
      </c>
    </row>
    <row r="1016" spans="1:3" x14ac:dyDescent="0.3">
      <c r="A1016" s="1" t="s">
        <v>506</v>
      </c>
      <c r="B1016" t="s">
        <v>16</v>
      </c>
      <c r="C1016" s="1">
        <v>13.192041</v>
      </c>
    </row>
    <row r="1017" spans="1:3" x14ac:dyDescent="0.3">
      <c r="A1017" s="1" t="s">
        <v>506</v>
      </c>
      <c r="B1017" t="s">
        <v>17</v>
      </c>
      <c r="C1017" s="1">
        <v>13.268516999999999</v>
      </c>
    </row>
    <row r="1018" spans="1:3" x14ac:dyDescent="0.3">
      <c r="A1018" s="1" t="s">
        <v>506</v>
      </c>
      <c r="B1018" t="s">
        <v>18</v>
      </c>
      <c r="C1018" s="1">
        <v>13.192041</v>
      </c>
    </row>
    <row r="1019" spans="1:3" x14ac:dyDescent="0.3">
      <c r="A1019" s="1" t="s">
        <v>506</v>
      </c>
      <c r="B1019" t="s">
        <v>19</v>
      </c>
      <c r="C1019" s="1">
        <v>13.249397999999999</v>
      </c>
    </row>
    <row r="1020" spans="1:3" x14ac:dyDescent="0.3">
      <c r="A1020" s="1" t="s">
        <v>506</v>
      </c>
      <c r="B1020" t="s">
        <v>20</v>
      </c>
      <c r="C1020" s="1">
        <v>12.618475</v>
      </c>
    </row>
    <row r="1021" spans="1:3" x14ac:dyDescent="0.3">
      <c r="A1021" s="1" t="s">
        <v>506</v>
      </c>
      <c r="B1021" t="s">
        <v>21</v>
      </c>
      <c r="C1021" s="1">
        <v>12.427284999999999</v>
      </c>
    </row>
    <row r="1022" spans="1:3" x14ac:dyDescent="0.3">
      <c r="A1022" s="1" t="s">
        <v>506</v>
      </c>
      <c r="B1022" t="s">
        <v>22</v>
      </c>
      <c r="C1022" s="1">
        <v>12.618475</v>
      </c>
    </row>
    <row r="1023" spans="1:3" x14ac:dyDescent="0.3">
      <c r="A1023" s="1" t="s">
        <v>506</v>
      </c>
      <c r="B1023" t="s">
        <v>23</v>
      </c>
      <c r="C1023" s="1">
        <v>12.541999000000001</v>
      </c>
    </row>
    <row r="1024" spans="1:3" x14ac:dyDescent="0.3">
      <c r="A1024" s="1" t="s">
        <v>506</v>
      </c>
      <c r="B1024" t="s">
        <v>24</v>
      </c>
      <c r="C1024" s="1">
        <v>12.847901</v>
      </c>
    </row>
    <row r="1025" spans="1:3" x14ac:dyDescent="0.3">
      <c r="A1025" s="1" t="s">
        <v>506</v>
      </c>
      <c r="B1025" t="s">
        <v>25</v>
      </c>
      <c r="C1025" s="1">
        <v>13.134684999999999</v>
      </c>
    </row>
    <row r="1026" spans="1:3" x14ac:dyDescent="0.3">
      <c r="A1026" s="1" t="s">
        <v>506</v>
      </c>
      <c r="B1026" t="s">
        <v>26</v>
      </c>
      <c r="C1026" s="1">
        <v>13.287635999999999</v>
      </c>
    </row>
    <row r="1027" spans="1:3" x14ac:dyDescent="0.3">
      <c r="A1027" s="1" t="s">
        <v>506</v>
      </c>
      <c r="B1027" t="s">
        <v>27</v>
      </c>
      <c r="C1027" s="1">
        <v>13.268516999999999</v>
      </c>
    </row>
    <row r="1028" spans="1:3" x14ac:dyDescent="0.3">
      <c r="A1028" s="1" t="s">
        <v>506</v>
      </c>
      <c r="B1028" t="s">
        <v>28</v>
      </c>
      <c r="C1028" s="1">
        <v>13.478826</v>
      </c>
    </row>
    <row r="1029" spans="1:3" x14ac:dyDescent="0.3">
      <c r="A1029" s="1" t="s">
        <v>506</v>
      </c>
      <c r="B1029" t="s">
        <v>29</v>
      </c>
      <c r="C1029" s="1">
        <v>13.211161000000001</v>
      </c>
    </row>
    <row r="1030" spans="1:3" x14ac:dyDescent="0.3">
      <c r="A1030" s="1" t="s">
        <v>506</v>
      </c>
      <c r="B1030" t="s">
        <v>30</v>
      </c>
      <c r="C1030" s="1">
        <v>13.134684999999999</v>
      </c>
    </row>
    <row r="1031" spans="1:3" x14ac:dyDescent="0.3">
      <c r="A1031" s="1" t="s">
        <v>506</v>
      </c>
      <c r="B1031" t="s">
        <v>31</v>
      </c>
      <c r="C1031" s="1">
        <v>13.23028</v>
      </c>
    </row>
    <row r="1032" spans="1:3" x14ac:dyDescent="0.3">
      <c r="A1032" s="1" t="s">
        <v>506</v>
      </c>
      <c r="B1032" t="s">
        <v>32</v>
      </c>
      <c r="C1032" s="1">
        <v>12.886139</v>
      </c>
    </row>
    <row r="1033" spans="1:3" x14ac:dyDescent="0.3">
      <c r="A1033" s="1" t="s">
        <v>506</v>
      </c>
      <c r="B1033" t="s">
        <v>33</v>
      </c>
      <c r="C1033" s="1">
        <v>12.771425000000001</v>
      </c>
    </row>
    <row r="1034" spans="1:3" x14ac:dyDescent="0.3">
      <c r="A1034" s="1" t="s">
        <v>506</v>
      </c>
      <c r="B1034" t="s">
        <v>34</v>
      </c>
      <c r="C1034" s="1">
        <v>12.86702</v>
      </c>
    </row>
    <row r="1035" spans="1:3" x14ac:dyDescent="0.3">
      <c r="A1035" s="1" t="s">
        <v>506</v>
      </c>
      <c r="B1035" t="s">
        <v>35</v>
      </c>
      <c r="C1035" s="1">
        <v>12.733188</v>
      </c>
    </row>
    <row r="1036" spans="1:3" x14ac:dyDescent="0.3">
      <c r="A1036" s="1" t="s">
        <v>506</v>
      </c>
      <c r="B1036" t="s">
        <v>36</v>
      </c>
      <c r="C1036" s="1">
        <v>12.924377</v>
      </c>
    </row>
    <row r="1037" spans="1:3" x14ac:dyDescent="0.3">
      <c r="A1037" s="1" t="s">
        <v>506</v>
      </c>
      <c r="B1037" t="s">
        <v>37</v>
      </c>
      <c r="C1037" s="1">
        <v>13.115565999999999</v>
      </c>
    </row>
    <row r="1038" spans="1:3" x14ac:dyDescent="0.3">
      <c r="A1038" s="1" t="s">
        <v>506</v>
      </c>
      <c r="B1038" t="s">
        <v>38</v>
      </c>
      <c r="C1038" s="1">
        <v>13.364110999999999</v>
      </c>
    </row>
    <row r="1039" spans="1:3" x14ac:dyDescent="0.3">
      <c r="A1039" s="1" t="s">
        <v>506</v>
      </c>
      <c r="B1039" t="s">
        <v>39</v>
      </c>
      <c r="C1039" s="1">
        <v>13.325873</v>
      </c>
    </row>
    <row r="1040" spans="1:3" x14ac:dyDescent="0.3">
      <c r="A1040" s="1" t="s">
        <v>506</v>
      </c>
      <c r="B1040" t="s">
        <v>40</v>
      </c>
      <c r="C1040" s="1">
        <v>13.402348999999999</v>
      </c>
    </row>
    <row r="1041" spans="1:3" x14ac:dyDescent="0.3">
      <c r="A1041" s="1" t="s">
        <v>506</v>
      </c>
      <c r="B1041" t="s">
        <v>41</v>
      </c>
      <c r="C1041" s="1">
        <v>13.478826</v>
      </c>
    </row>
    <row r="1042" spans="1:3" x14ac:dyDescent="0.3">
      <c r="A1042" s="1" t="s">
        <v>506</v>
      </c>
      <c r="B1042" t="s">
        <v>42</v>
      </c>
      <c r="C1042" s="1">
        <v>13.631777</v>
      </c>
    </row>
    <row r="1043" spans="1:3" x14ac:dyDescent="0.3">
      <c r="A1043" s="1" t="s">
        <v>506</v>
      </c>
      <c r="B1043" t="s">
        <v>43</v>
      </c>
      <c r="C1043" s="1">
        <v>13.555301</v>
      </c>
    </row>
    <row r="1044" spans="1:3" x14ac:dyDescent="0.3">
      <c r="A1044" s="1" t="s">
        <v>506</v>
      </c>
      <c r="B1044" t="s">
        <v>44</v>
      </c>
      <c r="C1044" s="1">
        <v>13.861203</v>
      </c>
    </row>
    <row r="1045" spans="1:3" x14ac:dyDescent="0.3">
      <c r="A1045" s="1" t="s">
        <v>506</v>
      </c>
      <c r="B1045" t="s">
        <v>45</v>
      </c>
      <c r="C1045" s="1">
        <v>14.262700000000001</v>
      </c>
    </row>
    <row r="1046" spans="1:3" x14ac:dyDescent="0.3">
      <c r="A1046" s="1" t="s">
        <v>506</v>
      </c>
      <c r="B1046" t="s">
        <v>46</v>
      </c>
      <c r="C1046" s="1">
        <v>14.358295</v>
      </c>
    </row>
    <row r="1047" spans="1:3" x14ac:dyDescent="0.3">
      <c r="A1047" s="1" t="s">
        <v>506</v>
      </c>
      <c r="B1047" t="s">
        <v>47</v>
      </c>
      <c r="C1047" s="1">
        <v>14.358295</v>
      </c>
    </row>
    <row r="1048" spans="1:3" x14ac:dyDescent="0.3">
      <c r="A1048" s="1" t="s">
        <v>506</v>
      </c>
      <c r="B1048" t="s">
        <v>48</v>
      </c>
      <c r="C1048" s="1">
        <v>14.109749000000001</v>
      </c>
    </row>
    <row r="1049" spans="1:3" x14ac:dyDescent="0.3">
      <c r="A1049" s="1" t="s">
        <v>506</v>
      </c>
      <c r="B1049" t="s">
        <v>49</v>
      </c>
      <c r="C1049" s="1">
        <v>14.205342</v>
      </c>
    </row>
    <row r="1050" spans="1:3" x14ac:dyDescent="0.3">
      <c r="A1050" s="1" t="s">
        <v>506</v>
      </c>
      <c r="B1050" t="s">
        <v>50</v>
      </c>
      <c r="C1050" s="1">
        <v>14.320057</v>
      </c>
    </row>
    <row r="1051" spans="1:3" x14ac:dyDescent="0.3">
      <c r="A1051" s="1" t="s">
        <v>506</v>
      </c>
      <c r="B1051" t="s">
        <v>51</v>
      </c>
      <c r="C1051" s="1">
        <v>14.415651</v>
      </c>
    </row>
    <row r="1052" spans="1:3" x14ac:dyDescent="0.3">
      <c r="A1052" s="1" t="s">
        <v>506</v>
      </c>
      <c r="B1052" t="s">
        <v>52</v>
      </c>
      <c r="C1052" s="1">
        <v>14.128867</v>
      </c>
    </row>
    <row r="1053" spans="1:3" x14ac:dyDescent="0.3">
      <c r="A1053" s="1" t="s">
        <v>506</v>
      </c>
      <c r="B1053" t="s">
        <v>53</v>
      </c>
      <c r="C1053" s="1">
        <v>14.396533</v>
      </c>
    </row>
    <row r="1054" spans="1:3" x14ac:dyDescent="0.3">
      <c r="A1054" s="1" t="s">
        <v>506</v>
      </c>
      <c r="B1054" t="s">
        <v>54</v>
      </c>
      <c r="C1054" s="1">
        <v>14.453889</v>
      </c>
    </row>
    <row r="1055" spans="1:3" x14ac:dyDescent="0.3">
      <c r="A1055" s="1" t="s">
        <v>506</v>
      </c>
      <c r="B1055" t="s">
        <v>55</v>
      </c>
      <c r="C1055" s="1">
        <v>14.587721999999999</v>
      </c>
    </row>
    <row r="1056" spans="1:3" x14ac:dyDescent="0.3">
      <c r="A1056" s="1" t="s">
        <v>506</v>
      </c>
      <c r="B1056" t="s">
        <v>56</v>
      </c>
      <c r="C1056" s="1">
        <v>14.721553999999999</v>
      </c>
    </row>
    <row r="1057" spans="1:3" x14ac:dyDescent="0.3">
      <c r="A1057" s="1" t="s">
        <v>506</v>
      </c>
      <c r="B1057" t="s">
        <v>57</v>
      </c>
      <c r="C1057" s="1">
        <v>14.60684</v>
      </c>
    </row>
    <row r="1058" spans="1:3" x14ac:dyDescent="0.3">
      <c r="A1058" s="1" t="s">
        <v>506</v>
      </c>
      <c r="B1058" t="s">
        <v>58</v>
      </c>
      <c r="C1058" s="1">
        <v>14.511246999999999</v>
      </c>
    </row>
    <row r="1059" spans="1:3" x14ac:dyDescent="0.3">
      <c r="A1059" s="1" t="s">
        <v>506</v>
      </c>
      <c r="B1059" t="s">
        <v>59</v>
      </c>
      <c r="C1059" s="1">
        <v>14.721553999999999</v>
      </c>
    </row>
    <row r="1060" spans="1:3" x14ac:dyDescent="0.3">
      <c r="A1060" s="1" t="s">
        <v>506</v>
      </c>
      <c r="B1060" t="s">
        <v>60</v>
      </c>
      <c r="C1060" s="1">
        <v>14.60684</v>
      </c>
    </row>
    <row r="1061" spans="1:3" x14ac:dyDescent="0.3">
      <c r="A1061" s="1" t="s">
        <v>506</v>
      </c>
      <c r="B1061" t="s">
        <v>61</v>
      </c>
      <c r="C1061" s="1">
        <v>14.453889</v>
      </c>
    </row>
    <row r="1062" spans="1:3" x14ac:dyDescent="0.3">
      <c r="A1062" s="1" t="s">
        <v>506</v>
      </c>
      <c r="B1062" t="s">
        <v>62</v>
      </c>
      <c r="C1062" s="1">
        <v>14.549484</v>
      </c>
    </row>
    <row r="1063" spans="1:3" x14ac:dyDescent="0.3">
      <c r="A1063" s="1" t="s">
        <v>506</v>
      </c>
      <c r="B1063" t="s">
        <v>63</v>
      </c>
      <c r="C1063" s="1">
        <v>14.300938</v>
      </c>
    </row>
    <row r="1064" spans="1:3" x14ac:dyDescent="0.3">
      <c r="A1064" s="1" t="s">
        <v>506</v>
      </c>
      <c r="B1064" t="s">
        <v>64</v>
      </c>
      <c r="C1064" s="1">
        <v>14.396533</v>
      </c>
    </row>
    <row r="1065" spans="1:3" x14ac:dyDescent="0.3">
      <c r="A1065" s="1" t="s">
        <v>506</v>
      </c>
      <c r="B1065" t="s">
        <v>65</v>
      </c>
      <c r="C1065" s="1">
        <v>14.358295</v>
      </c>
    </row>
    <row r="1066" spans="1:3" x14ac:dyDescent="0.3">
      <c r="A1066" s="1" t="s">
        <v>506</v>
      </c>
      <c r="B1066" t="s">
        <v>66</v>
      </c>
      <c r="C1066" s="1">
        <v>14.243581000000001</v>
      </c>
    </row>
    <row r="1067" spans="1:3" x14ac:dyDescent="0.3">
      <c r="A1067" s="1" t="s">
        <v>506</v>
      </c>
      <c r="B1067" t="s">
        <v>67</v>
      </c>
      <c r="C1067" s="1">
        <v>14.281819</v>
      </c>
    </row>
    <row r="1068" spans="1:3" x14ac:dyDescent="0.3">
      <c r="A1068" s="1" t="s">
        <v>506</v>
      </c>
      <c r="B1068" t="s">
        <v>68</v>
      </c>
      <c r="C1068" s="1">
        <v>14.377414</v>
      </c>
    </row>
    <row r="1069" spans="1:3" x14ac:dyDescent="0.3">
      <c r="A1069" s="1" t="s">
        <v>506</v>
      </c>
      <c r="B1069" t="s">
        <v>69</v>
      </c>
      <c r="C1069" s="1">
        <v>14.434771</v>
      </c>
    </row>
    <row r="1070" spans="1:3" x14ac:dyDescent="0.3">
      <c r="A1070" s="1" t="s">
        <v>506</v>
      </c>
      <c r="B1070" t="s">
        <v>70</v>
      </c>
      <c r="C1070" s="1">
        <v>15.199526000000001</v>
      </c>
    </row>
    <row r="1071" spans="1:3" x14ac:dyDescent="0.3">
      <c r="A1071" s="1" t="s">
        <v>506</v>
      </c>
      <c r="B1071" t="s">
        <v>71</v>
      </c>
      <c r="C1071" s="1">
        <v>15.295121</v>
      </c>
    </row>
    <row r="1072" spans="1:3" x14ac:dyDescent="0.3">
      <c r="A1072" s="1" t="s">
        <v>506</v>
      </c>
      <c r="B1072" t="s">
        <v>72</v>
      </c>
      <c r="C1072" s="1">
        <v>15.295121</v>
      </c>
    </row>
    <row r="1073" spans="1:3" x14ac:dyDescent="0.3">
      <c r="A1073" s="1" t="s">
        <v>506</v>
      </c>
      <c r="B1073" t="s">
        <v>73</v>
      </c>
      <c r="C1073" s="1">
        <v>15.027456000000001</v>
      </c>
    </row>
    <row r="1074" spans="1:3" x14ac:dyDescent="0.3">
      <c r="A1074" s="1" t="s">
        <v>506</v>
      </c>
      <c r="B1074" t="s">
        <v>74</v>
      </c>
      <c r="C1074" s="1">
        <v>15.103930999999999</v>
      </c>
    </row>
    <row r="1075" spans="1:3" x14ac:dyDescent="0.3">
      <c r="A1075" s="1" t="s">
        <v>506</v>
      </c>
      <c r="B1075" t="s">
        <v>75</v>
      </c>
      <c r="C1075" s="1">
        <v>15.142169000000001</v>
      </c>
    </row>
    <row r="1076" spans="1:3" x14ac:dyDescent="0.3">
      <c r="A1076" s="1" t="s">
        <v>506</v>
      </c>
      <c r="B1076" t="s">
        <v>76</v>
      </c>
      <c r="C1076" s="1">
        <v>15.103930999999999</v>
      </c>
    </row>
    <row r="1077" spans="1:3" x14ac:dyDescent="0.3">
      <c r="A1077" s="1" t="s">
        <v>506</v>
      </c>
      <c r="B1077" t="s">
        <v>77</v>
      </c>
      <c r="C1077" s="1">
        <v>15.008336999999999</v>
      </c>
    </row>
    <row r="1078" spans="1:3" x14ac:dyDescent="0.3">
      <c r="A1078" s="1" t="s">
        <v>506</v>
      </c>
      <c r="B1078" t="s">
        <v>78</v>
      </c>
      <c r="C1078" s="1">
        <v>15.027456000000001</v>
      </c>
    </row>
    <row r="1079" spans="1:3" x14ac:dyDescent="0.3">
      <c r="A1079" s="1" t="s">
        <v>506</v>
      </c>
      <c r="B1079" t="s">
        <v>79</v>
      </c>
      <c r="C1079" s="1">
        <v>15.027456000000001</v>
      </c>
    </row>
    <row r="1080" spans="1:3" x14ac:dyDescent="0.3">
      <c r="A1080" s="1" t="s">
        <v>506</v>
      </c>
      <c r="B1080" t="s">
        <v>80</v>
      </c>
      <c r="C1080" s="1">
        <v>15.237762999999999</v>
      </c>
    </row>
    <row r="1081" spans="1:3" x14ac:dyDescent="0.3">
      <c r="A1081" s="1" t="s">
        <v>506</v>
      </c>
      <c r="B1081" t="s">
        <v>81</v>
      </c>
      <c r="C1081" s="1">
        <v>15.123051</v>
      </c>
    </row>
    <row r="1082" spans="1:3" x14ac:dyDescent="0.3">
      <c r="A1082" s="1" t="s">
        <v>506</v>
      </c>
      <c r="B1082" t="s">
        <v>82</v>
      </c>
      <c r="C1082" s="1">
        <v>15.046576</v>
      </c>
    </row>
    <row r="1083" spans="1:3" x14ac:dyDescent="0.3">
      <c r="A1083" s="1" t="s">
        <v>506</v>
      </c>
      <c r="B1083" t="s">
        <v>83</v>
      </c>
      <c r="C1083" s="1">
        <v>14.262700000000001</v>
      </c>
    </row>
    <row r="1084" spans="1:3" x14ac:dyDescent="0.3">
      <c r="A1084" s="1" t="s">
        <v>506</v>
      </c>
      <c r="B1084" t="s">
        <v>84</v>
      </c>
      <c r="C1084" s="1">
        <v>14.090630000000001</v>
      </c>
    </row>
    <row r="1085" spans="1:3" x14ac:dyDescent="0.3">
      <c r="A1085" s="1" t="s">
        <v>506</v>
      </c>
      <c r="B1085" t="s">
        <v>85</v>
      </c>
      <c r="C1085" s="1">
        <v>14.071510999999999</v>
      </c>
    </row>
    <row r="1086" spans="1:3" x14ac:dyDescent="0.3">
      <c r="A1086" s="1" t="s">
        <v>506</v>
      </c>
      <c r="B1086" t="s">
        <v>86</v>
      </c>
      <c r="C1086" s="1">
        <v>14.224463</v>
      </c>
    </row>
    <row r="1087" spans="1:3" x14ac:dyDescent="0.3">
      <c r="A1087" s="1" t="s">
        <v>506</v>
      </c>
      <c r="B1087" t="s">
        <v>87</v>
      </c>
      <c r="C1087" s="1">
        <v>14.377414</v>
      </c>
    </row>
    <row r="1088" spans="1:3" x14ac:dyDescent="0.3">
      <c r="A1088" s="1" t="s">
        <v>506</v>
      </c>
      <c r="B1088" t="s">
        <v>88</v>
      </c>
      <c r="C1088" s="1">
        <v>14.243581000000001</v>
      </c>
    </row>
    <row r="1089" spans="1:3" x14ac:dyDescent="0.3">
      <c r="A1089" s="1" t="s">
        <v>506</v>
      </c>
      <c r="B1089" t="s">
        <v>89</v>
      </c>
      <c r="C1089" s="1">
        <v>14.320057</v>
      </c>
    </row>
    <row r="1090" spans="1:3" x14ac:dyDescent="0.3">
      <c r="A1090" s="1" t="s">
        <v>506</v>
      </c>
      <c r="B1090" t="s">
        <v>90</v>
      </c>
      <c r="C1090" s="1">
        <v>14.320057</v>
      </c>
    </row>
    <row r="1091" spans="1:3" x14ac:dyDescent="0.3">
      <c r="A1091" s="1" t="s">
        <v>506</v>
      </c>
      <c r="B1091" t="s">
        <v>91</v>
      </c>
      <c r="C1091" s="1">
        <v>14.167104999999999</v>
      </c>
    </row>
    <row r="1092" spans="1:3" x14ac:dyDescent="0.3">
      <c r="A1092" s="1" t="s">
        <v>506</v>
      </c>
      <c r="B1092" t="s">
        <v>92</v>
      </c>
      <c r="C1092" s="1">
        <v>14.243581000000001</v>
      </c>
    </row>
    <row r="1093" spans="1:3" x14ac:dyDescent="0.3">
      <c r="A1093" s="1" t="s">
        <v>506</v>
      </c>
      <c r="B1093" t="s">
        <v>93</v>
      </c>
      <c r="C1093" s="1">
        <v>14.167104999999999</v>
      </c>
    </row>
    <row r="1094" spans="1:3" x14ac:dyDescent="0.3">
      <c r="A1094" s="1" t="s">
        <v>506</v>
      </c>
      <c r="B1094" t="s">
        <v>94</v>
      </c>
      <c r="C1094" s="1">
        <v>14.262700000000001</v>
      </c>
    </row>
    <row r="1095" spans="1:3" x14ac:dyDescent="0.3">
      <c r="A1095" s="1" t="s">
        <v>506</v>
      </c>
      <c r="B1095" t="s">
        <v>95</v>
      </c>
      <c r="C1095" s="1">
        <v>14.473008</v>
      </c>
    </row>
    <row r="1096" spans="1:3" x14ac:dyDescent="0.3">
      <c r="A1096" s="1" t="s">
        <v>506</v>
      </c>
      <c r="B1096" t="s">
        <v>96</v>
      </c>
      <c r="C1096" s="1">
        <v>15.008336999999999</v>
      </c>
    </row>
    <row r="1097" spans="1:3" x14ac:dyDescent="0.3">
      <c r="A1097" s="1" t="s">
        <v>506</v>
      </c>
      <c r="B1097" t="s">
        <v>97</v>
      </c>
      <c r="C1097" s="1">
        <v>14.912744</v>
      </c>
    </row>
    <row r="1098" spans="1:3" x14ac:dyDescent="0.3">
      <c r="A1098" s="1" t="s">
        <v>506</v>
      </c>
      <c r="B1098" t="s">
        <v>98</v>
      </c>
      <c r="C1098" s="1">
        <v>15.218645</v>
      </c>
    </row>
    <row r="1099" spans="1:3" x14ac:dyDescent="0.3">
      <c r="A1099" s="1" t="s">
        <v>506</v>
      </c>
      <c r="B1099" t="s">
        <v>99</v>
      </c>
      <c r="C1099" s="1">
        <v>15.276001000000001</v>
      </c>
    </row>
    <row r="1100" spans="1:3" x14ac:dyDescent="0.3">
      <c r="A1100" s="1" t="s">
        <v>506</v>
      </c>
      <c r="B1100" t="s">
        <v>100</v>
      </c>
      <c r="C1100" s="1">
        <v>15.409834999999999</v>
      </c>
    </row>
    <row r="1101" spans="1:3" x14ac:dyDescent="0.3">
      <c r="A1101" s="1" t="s">
        <v>506</v>
      </c>
      <c r="B1101" t="s">
        <v>101</v>
      </c>
      <c r="C1101" s="1">
        <v>15.486311000000001</v>
      </c>
    </row>
    <row r="1102" spans="1:3" x14ac:dyDescent="0.3">
      <c r="A1102" s="1" t="s">
        <v>506</v>
      </c>
      <c r="B1102" t="s">
        <v>102</v>
      </c>
      <c r="C1102" s="1">
        <v>15.486311000000001</v>
      </c>
    </row>
    <row r="1103" spans="1:3" x14ac:dyDescent="0.3">
      <c r="A1103" s="1" t="s">
        <v>506</v>
      </c>
      <c r="B1103" t="s">
        <v>103</v>
      </c>
      <c r="C1103" s="1">
        <v>15.524547999999999</v>
      </c>
    </row>
    <row r="1104" spans="1:3" x14ac:dyDescent="0.3">
      <c r="A1104" s="1" t="s">
        <v>506</v>
      </c>
      <c r="B1104" t="s">
        <v>104</v>
      </c>
      <c r="C1104" s="1">
        <v>15.505426999999999</v>
      </c>
    </row>
    <row r="1105" spans="1:3" x14ac:dyDescent="0.3">
      <c r="A1105" s="1" t="s">
        <v>506</v>
      </c>
      <c r="B1105" t="s">
        <v>105</v>
      </c>
      <c r="C1105" s="1">
        <v>15.467191</v>
      </c>
    </row>
    <row r="1106" spans="1:3" x14ac:dyDescent="0.3">
      <c r="A1106" s="1" t="s">
        <v>506</v>
      </c>
      <c r="B1106" t="s">
        <v>106</v>
      </c>
      <c r="C1106" s="1">
        <v>15.658379</v>
      </c>
    </row>
    <row r="1107" spans="1:3" x14ac:dyDescent="0.3">
      <c r="A1107" s="1" t="s">
        <v>506</v>
      </c>
      <c r="B1107" t="s">
        <v>107</v>
      </c>
      <c r="C1107" s="1">
        <v>15.486311000000001</v>
      </c>
    </row>
    <row r="1108" spans="1:3" x14ac:dyDescent="0.3">
      <c r="A1108" s="1" t="s">
        <v>506</v>
      </c>
      <c r="B1108" t="s">
        <v>108</v>
      </c>
      <c r="C1108" s="1">
        <v>15.811332999999999</v>
      </c>
    </row>
    <row r="1109" spans="1:3" x14ac:dyDescent="0.3">
      <c r="A1109" s="1" t="s">
        <v>506</v>
      </c>
      <c r="B1109" t="s">
        <v>109</v>
      </c>
      <c r="C1109" s="1">
        <v>16.059875000000002</v>
      </c>
    </row>
    <row r="1110" spans="1:3" x14ac:dyDescent="0.3">
      <c r="A1110" s="1" t="s">
        <v>506</v>
      </c>
      <c r="B1110" t="s">
        <v>110</v>
      </c>
      <c r="C1110" s="1">
        <v>16.078997000000001</v>
      </c>
    </row>
    <row r="1111" spans="1:3" x14ac:dyDescent="0.3">
      <c r="A1111" s="1" t="s">
        <v>506</v>
      </c>
      <c r="B1111" t="s">
        <v>111</v>
      </c>
      <c r="C1111" s="1">
        <v>15.830449</v>
      </c>
    </row>
    <row r="1112" spans="1:3" x14ac:dyDescent="0.3">
      <c r="A1112" s="1" t="s">
        <v>506</v>
      </c>
      <c r="B1112" t="s">
        <v>112</v>
      </c>
      <c r="C1112" s="1">
        <v>15.964283</v>
      </c>
    </row>
    <row r="1113" spans="1:3" x14ac:dyDescent="0.3">
      <c r="A1113" s="1" t="s">
        <v>506</v>
      </c>
      <c r="B1113" t="s">
        <v>113</v>
      </c>
      <c r="C1113" s="1">
        <v>16.117232999999999</v>
      </c>
    </row>
    <row r="1114" spans="1:3" x14ac:dyDescent="0.3">
      <c r="A1114" s="1" t="s">
        <v>506</v>
      </c>
      <c r="B1114" t="s">
        <v>114</v>
      </c>
      <c r="C1114" s="1">
        <v>16.308422</v>
      </c>
    </row>
    <row r="1115" spans="1:3" x14ac:dyDescent="0.3">
      <c r="A1115" s="1" t="s">
        <v>506</v>
      </c>
      <c r="B1115" t="s">
        <v>115</v>
      </c>
      <c r="C1115" s="1">
        <v>16.346661000000001</v>
      </c>
    </row>
    <row r="1116" spans="1:3" x14ac:dyDescent="0.3">
      <c r="A1116" s="1" t="s">
        <v>506</v>
      </c>
      <c r="B1116" t="s">
        <v>116</v>
      </c>
      <c r="C1116" s="1">
        <v>16.327541</v>
      </c>
    </row>
    <row r="1117" spans="1:3" x14ac:dyDescent="0.3">
      <c r="A1117" s="1" t="s">
        <v>506</v>
      </c>
      <c r="B1117" t="s">
        <v>117</v>
      </c>
      <c r="C1117" s="1">
        <v>16.461372000000001</v>
      </c>
    </row>
    <row r="1118" spans="1:3" x14ac:dyDescent="0.3">
      <c r="A1118" s="1" t="s">
        <v>506</v>
      </c>
      <c r="B1118" t="s">
        <v>118</v>
      </c>
      <c r="C1118" s="1">
        <v>16.155472</v>
      </c>
    </row>
    <row r="1119" spans="1:3" x14ac:dyDescent="0.3">
      <c r="A1119" s="1" t="s">
        <v>506</v>
      </c>
      <c r="B1119" t="s">
        <v>119</v>
      </c>
      <c r="C1119" s="1">
        <v>16.078997000000001</v>
      </c>
    </row>
    <row r="1120" spans="1:3" x14ac:dyDescent="0.3">
      <c r="A1120" s="1" t="s">
        <v>506</v>
      </c>
      <c r="B1120" t="s">
        <v>120</v>
      </c>
      <c r="C1120" s="1">
        <v>15.9834</v>
      </c>
    </row>
    <row r="1121" spans="1:3" x14ac:dyDescent="0.3">
      <c r="A1121" s="1" t="s">
        <v>506</v>
      </c>
      <c r="B1121" t="s">
        <v>121</v>
      </c>
      <c r="C1121" s="1">
        <v>15.945164</v>
      </c>
    </row>
    <row r="1122" spans="1:3" x14ac:dyDescent="0.3">
      <c r="A1122" s="1" t="s">
        <v>506</v>
      </c>
      <c r="B1122" t="s">
        <v>122</v>
      </c>
      <c r="C1122" s="1">
        <v>15.945164</v>
      </c>
    </row>
    <row r="1123" spans="1:3" x14ac:dyDescent="0.3">
      <c r="A1123" s="1" t="s">
        <v>506</v>
      </c>
      <c r="B1123" t="s">
        <v>123</v>
      </c>
      <c r="C1123" s="1">
        <v>16.078997000000001</v>
      </c>
    </row>
    <row r="1124" spans="1:3" x14ac:dyDescent="0.3">
      <c r="A1124" s="1" t="s">
        <v>506</v>
      </c>
      <c r="B1124" t="s">
        <v>124</v>
      </c>
      <c r="C1124" s="1">
        <v>15.849568</v>
      </c>
    </row>
    <row r="1125" spans="1:3" x14ac:dyDescent="0.3">
      <c r="A1125" s="1" t="s">
        <v>506</v>
      </c>
      <c r="B1125" t="s">
        <v>125</v>
      </c>
      <c r="C1125" s="1">
        <v>15.887808</v>
      </c>
    </row>
    <row r="1126" spans="1:3" x14ac:dyDescent="0.3">
      <c r="A1126" s="1" t="s">
        <v>506</v>
      </c>
      <c r="B1126" t="s">
        <v>126</v>
      </c>
      <c r="C1126" s="1">
        <v>15.696618000000001</v>
      </c>
    </row>
    <row r="1127" spans="1:3" x14ac:dyDescent="0.3">
      <c r="A1127" s="1" t="s">
        <v>506</v>
      </c>
      <c r="B1127" t="s">
        <v>127</v>
      </c>
      <c r="C1127" s="1">
        <v>15.830449</v>
      </c>
    </row>
    <row r="1128" spans="1:3" x14ac:dyDescent="0.3">
      <c r="A1128" s="1" t="s">
        <v>506</v>
      </c>
      <c r="B1128" t="s">
        <v>128</v>
      </c>
      <c r="C1128" s="1">
        <v>15.849568</v>
      </c>
    </row>
    <row r="1129" spans="1:3" x14ac:dyDescent="0.3">
      <c r="A1129" s="1" t="s">
        <v>506</v>
      </c>
      <c r="B1129" t="s">
        <v>129</v>
      </c>
      <c r="C1129" s="1">
        <v>16.059875000000002</v>
      </c>
    </row>
    <row r="1130" spans="1:3" x14ac:dyDescent="0.3">
      <c r="A1130" s="1" t="s">
        <v>506</v>
      </c>
      <c r="B1130" t="s">
        <v>130</v>
      </c>
      <c r="C1130" s="1">
        <v>16.404018000000001</v>
      </c>
    </row>
    <row r="1131" spans="1:3" x14ac:dyDescent="0.3">
      <c r="A1131" s="1" t="s">
        <v>506</v>
      </c>
      <c r="B1131" t="s">
        <v>131</v>
      </c>
      <c r="C1131" s="1">
        <v>16.327541</v>
      </c>
    </row>
    <row r="1132" spans="1:3" x14ac:dyDescent="0.3">
      <c r="A1132" s="1" t="s">
        <v>506</v>
      </c>
      <c r="B1132" t="s">
        <v>132</v>
      </c>
      <c r="C1132" s="1">
        <v>16.423136</v>
      </c>
    </row>
    <row r="1133" spans="1:3" x14ac:dyDescent="0.3">
      <c r="A1133" s="1" t="s">
        <v>506</v>
      </c>
      <c r="B1133" t="s">
        <v>133</v>
      </c>
      <c r="C1133" s="1">
        <v>16.614325000000001</v>
      </c>
    </row>
    <row r="1134" spans="1:3" x14ac:dyDescent="0.3">
      <c r="A1134" s="1" t="s">
        <v>506</v>
      </c>
      <c r="B1134" t="s">
        <v>134</v>
      </c>
      <c r="C1134" s="1">
        <v>16.729037999999999</v>
      </c>
    </row>
    <row r="1135" spans="1:3" x14ac:dyDescent="0.3">
      <c r="A1135" s="1" t="s">
        <v>506</v>
      </c>
      <c r="B1135" t="s">
        <v>135</v>
      </c>
      <c r="C1135" s="1">
        <v>16.690799999999999</v>
      </c>
    </row>
    <row r="1136" spans="1:3" x14ac:dyDescent="0.3">
      <c r="A1136" s="1" t="s">
        <v>506</v>
      </c>
      <c r="B1136" t="s">
        <v>136</v>
      </c>
      <c r="C1136" s="1">
        <v>16.499611000000002</v>
      </c>
    </row>
    <row r="1137" spans="1:3" x14ac:dyDescent="0.3">
      <c r="A1137" s="1" t="s">
        <v>506</v>
      </c>
      <c r="B1137" t="s">
        <v>137</v>
      </c>
      <c r="C1137" s="1">
        <v>16.786394000000001</v>
      </c>
    </row>
    <row r="1138" spans="1:3" x14ac:dyDescent="0.3">
      <c r="A1138" s="1" t="s">
        <v>506</v>
      </c>
      <c r="B1138" t="s">
        <v>138</v>
      </c>
      <c r="C1138" s="1">
        <v>17.187891</v>
      </c>
    </row>
    <row r="1139" spans="1:3" x14ac:dyDescent="0.3">
      <c r="A1139" s="1" t="s">
        <v>506</v>
      </c>
      <c r="B1139" t="s">
        <v>139</v>
      </c>
      <c r="C1139" s="1">
        <v>17.05406</v>
      </c>
    </row>
    <row r="1140" spans="1:3" x14ac:dyDescent="0.3">
      <c r="A1140" s="1" t="s">
        <v>506</v>
      </c>
      <c r="B1140" t="s">
        <v>140</v>
      </c>
      <c r="C1140" s="1">
        <v>17.207011999999999</v>
      </c>
    </row>
    <row r="1141" spans="1:3" x14ac:dyDescent="0.3">
      <c r="A1141" s="1" t="s">
        <v>506</v>
      </c>
      <c r="B1141" t="s">
        <v>141</v>
      </c>
      <c r="C1141" s="1">
        <v>17.589388</v>
      </c>
    </row>
    <row r="1142" spans="1:3" x14ac:dyDescent="0.3">
      <c r="A1142" s="1" t="s">
        <v>506</v>
      </c>
      <c r="B1142" t="s">
        <v>142</v>
      </c>
      <c r="C1142" s="1">
        <v>17.665865</v>
      </c>
    </row>
    <row r="1143" spans="1:3" x14ac:dyDescent="0.3">
      <c r="A1143" s="1" t="s">
        <v>506</v>
      </c>
      <c r="B1143" t="s">
        <v>143</v>
      </c>
      <c r="C1143" s="1">
        <v>17.799696000000001</v>
      </c>
    </row>
    <row r="1144" spans="1:3" x14ac:dyDescent="0.3">
      <c r="A1144" s="1" t="s">
        <v>506</v>
      </c>
      <c r="B1144" t="s">
        <v>144</v>
      </c>
      <c r="C1144" s="1">
        <v>17.608509000000002</v>
      </c>
    </row>
    <row r="1145" spans="1:3" x14ac:dyDescent="0.3">
      <c r="A1145" s="1" t="s">
        <v>506</v>
      </c>
      <c r="B1145" t="s">
        <v>145</v>
      </c>
      <c r="C1145" s="1">
        <v>17.474675999999999</v>
      </c>
    </row>
    <row r="1146" spans="1:3" x14ac:dyDescent="0.3">
      <c r="A1146" s="1" t="s">
        <v>506</v>
      </c>
      <c r="B1146" t="s">
        <v>146</v>
      </c>
      <c r="C1146" s="1">
        <v>17.512913000000001</v>
      </c>
    </row>
    <row r="1147" spans="1:3" x14ac:dyDescent="0.3">
      <c r="A1147" s="1" t="s">
        <v>506</v>
      </c>
      <c r="B1147" t="s">
        <v>147</v>
      </c>
      <c r="C1147" s="1">
        <v>17.073179</v>
      </c>
    </row>
    <row r="1148" spans="1:3" x14ac:dyDescent="0.3">
      <c r="A1148" s="1" t="s">
        <v>506</v>
      </c>
      <c r="B1148" t="s">
        <v>148</v>
      </c>
      <c r="C1148" s="1">
        <v>16.212827999999998</v>
      </c>
    </row>
    <row r="1149" spans="1:3" x14ac:dyDescent="0.3">
      <c r="A1149" s="1" t="s">
        <v>506</v>
      </c>
      <c r="B1149" t="s">
        <v>149</v>
      </c>
      <c r="C1149" s="1">
        <v>16.729037999999999</v>
      </c>
    </row>
    <row r="1150" spans="1:3" x14ac:dyDescent="0.3">
      <c r="A1150" s="1" t="s">
        <v>506</v>
      </c>
      <c r="B1150" t="s">
        <v>150</v>
      </c>
      <c r="C1150" s="1">
        <v>17.302606999999998</v>
      </c>
    </row>
    <row r="1151" spans="1:3" x14ac:dyDescent="0.3">
      <c r="A1151" s="1" t="s">
        <v>506</v>
      </c>
      <c r="B1151" t="s">
        <v>151</v>
      </c>
      <c r="C1151" s="1">
        <v>17.627625999999999</v>
      </c>
    </row>
    <row r="1152" spans="1:3" x14ac:dyDescent="0.3">
      <c r="A1152" s="1" t="s">
        <v>506</v>
      </c>
      <c r="B1152" t="s">
        <v>152</v>
      </c>
      <c r="C1152" s="1">
        <v>17.608509000000002</v>
      </c>
    </row>
    <row r="1153" spans="1:3" x14ac:dyDescent="0.3">
      <c r="A1153" s="1" t="s">
        <v>506</v>
      </c>
      <c r="B1153" t="s">
        <v>153</v>
      </c>
      <c r="C1153" s="1">
        <v>16.939346</v>
      </c>
    </row>
    <row r="1154" spans="1:3" x14ac:dyDescent="0.3">
      <c r="A1154" s="1" t="s">
        <v>506</v>
      </c>
      <c r="B1154" t="s">
        <v>154</v>
      </c>
      <c r="C1154" s="1">
        <v>16.117232999999999</v>
      </c>
    </row>
    <row r="1155" spans="1:3" x14ac:dyDescent="0.3">
      <c r="A1155" s="1" t="s">
        <v>506</v>
      </c>
      <c r="B1155" t="s">
        <v>155</v>
      </c>
      <c r="C1155" s="1">
        <v>15.9834</v>
      </c>
    </row>
    <row r="1156" spans="1:3" x14ac:dyDescent="0.3">
      <c r="A1156" s="1" t="s">
        <v>506</v>
      </c>
      <c r="B1156" t="s">
        <v>156</v>
      </c>
      <c r="C1156" s="1">
        <v>16.442254999999999</v>
      </c>
    </row>
    <row r="1157" spans="1:3" x14ac:dyDescent="0.3">
      <c r="A1157" s="1" t="s">
        <v>506</v>
      </c>
      <c r="B1157" t="s">
        <v>157</v>
      </c>
      <c r="C1157" s="1">
        <v>14.836266999999999</v>
      </c>
    </row>
    <row r="1158" spans="1:3" x14ac:dyDescent="0.3">
      <c r="A1158" s="1" t="s">
        <v>506</v>
      </c>
      <c r="B1158" t="s">
        <v>158</v>
      </c>
      <c r="C1158" s="1">
        <v>14.582153999999999</v>
      </c>
    </row>
    <row r="1159" spans="1:3" x14ac:dyDescent="0.3">
      <c r="A1159" s="1" t="s">
        <v>506</v>
      </c>
      <c r="B1159" t="s">
        <v>159</v>
      </c>
      <c r="C1159" s="1">
        <v>13.937099</v>
      </c>
    </row>
    <row r="1160" spans="1:3" x14ac:dyDescent="0.3">
      <c r="A1160" s="1" t="s">
        <v>506</v>
      </c>
      <c r="B1160" t="s">
        <v>160</v>
      </c>
      <c r="C1160" s="1">
        <v>14.152118</v>
      </c>
    </row>
    <row r="1161" spans="1:3" x14ac:dyDescent="0.3">
      <c r="A1161" s="1" t="s">
        <v>506</v>
      </c>
      <c r="B1161" t="s">
        <v>161</v>
      </c>
      <c r="C1161" s="1">
        <v>15.031738000000001</v>
      </c>
    </row>
    <row r="1162" spans="1:3" x14ac:dyDescent="0.3">
      <c r="A1162" s="1" t="s">
        <v>506</v>
      </c>
      <c r="B1162" t="s">
        <v>162</v>
      </c>
      <c r="C1162" s="1">
        <v>16.067736</v>
      </c>
    </row>
    <row r="1163" spans="1:3" x14ac:dyDescent="0.3">
      <c r="A1163" s="1" t="s">
        <v>506</v>
      </c>
      <c r="B1163" t="s">
        <v>163</v>
      </c>
      <c r="C1163" s="1">
        <v>17.084187</v>
      </c>
    </row>
    <row r="1164" spans="1:3" x14ac:dyDescent="0.3">
      <c r="A1164" s="1" t="s">
        <v>506</v>
      </c>
      <c r="B1164" t="s">
        <v>164</v>
      </c>
      <c r="C1164" s="1">
        <v>16.067736</v>
      </c>
    </row>
    <row r="1165" spans="1:3" x14ac:dyDescent="0.3">
      <c r="A1165" s="1" t="s">
        <v>506</v>
      </c>
      <c r="B1165" t="s">
        <v>165</v>
      </c>
      <c r="C1165" s="1">
        <v>16.732337999999999</v>
      </c>
    </row>
    <row r="1166" spans="1:3" x14ac:dyDescent="0.3">
      <c r="A1166" s="1" t="s">
        <v>506</v>
      </c>
      <c r="B1166" t="s">
        <v>166</v>
      </c>
      <c r="C1166" s="1">
        <v>16.478225999999999</v>
      </c>
    </row>
    <row r="1167" spans="1:3" x14ac:dyDescent="0.3">
      <c r="A1167" s="1" t="s">
        <v>506</v>
      </c>
      <c r="B1167" t="s">
        <v>167</v>
      </c>
      <c r="C1167" s="1">
        <v>16.419584</v>
      </c>
    </row>
    <row r="1168" spans="1:3" x14ac:dyDescent="0.3">
      <c r="A1168" s="1" t="s">
        <v>506</v>
      </c>
      <c r="B1168" t="s">
        <v>168</v>
      </c>
      <c r="C1168" s="1">
        <v>16.693242999999999</v>
      </c>
    </row>
    <row r="1169" spans="1:3" x14ac:dyDescent="0.3">
      <c r="A1169" s="1" t="s">
        <v>506</v>
      </c>
      <c r="B1169" t="s">
        <v>169</v>
      </c>
      <c r="C1169" s="1">
        <v>16.595509</v>
      </c>
    </row>
    <row r="1170" spans="1:3" x14ac:dyDescent="0.3">
      <c r="A1170" s="1" t="s">
        <v>506</v>
      </c>
      <c r="B1170" t="s">
        <v>170</v>
      </c>
      <c r="C1170" s="1">
        <v>16.888715999999999</v>
      </c>
    </row>
    <row r="1171" spans="1:3" x14ac:dyDescent="0.3">
      <c r="A1171" s="1" t="s">
        <v>506</v>
      </c>
      <c r="B1171" t="s">
        <v>171</v>
      </c>
      <c r="C1171" s="1">
        <v>16.321850000000001</v>
      </c>
    </row>
    <row r="1172" spans="1:3" x14ac:dyDescent="0.3">
      <c r="A1172" s="1" t="s">
        <v>506</v>
      </c>
      <c r="B1172" t="s">
        <v>172</v>
      </c>
      <c r="C1172" s="1">
        <v>16.009094000000001</v>
      </c>
    </row>
    <row r="1173" spans="1:3" x14ac:dyDescent="0.3">
      <c r="A1173" s="1" t="s">
        <v>506</v>
      </c>
      <c r="B1173" t="s">
        <v>173</v>
      </c>
      <c r="C1173" s="1">
        <v>15.833171</v>
      </c>
    </row>
    <row r="1174" spans="1:3" x14ac:dyDescent="0.3">
      <c r="A1174" s="1" t="s">
        <v>506</v>
      </c>
      <c r="B1174" t="s">
        <v>174</v>
      </c>
      <c r="C1174" s="1">
        <v>15.891812</v>
      </c>
    </row>
    <row r="1175" spans="1:3" x14ac:dyDescent="0.3">
      <c r="A1175" s="1" t="s">
        <v>506</v>
      </c>
      <c r="B1175" t="s">
        <v>175</v>
      </c>
      <c r="C1175" s="1">
        <v>15.950453</v>
      </c>
    </row>
    <row r="1176" spans="1:3" x14ac:dyDescent="0.3">
      <c r="A1176" s="1" t="s">
        <v>506</v>
      </c>
      <c r="B1176" t="s">
        <v>176</v>
      </c>
      <c r="C1176" s="1">
        <v>16.106831</v>
      </c>
    </row>
    <row r="1177" spans="1:3" x14ac:dyDescent="0.3">
      <c r="A1177" s="1" t="s">
        <v>506</v>
      </c>
      <c r="B1177" t="s">
        <v>177</v>
      </c>
      <c r="C1177" s="1">
        <v>16.282755000000002</v>
      </c>
    </row>
    <row r="1178" spans="1:3" x14ac:dyDescent="0.3">
      <c r="A1178" s="1" t="s">
        <v>506</v>
      </c>
      <c r="B1178" t="s">
        <v>178</v>
      </c>
      <c r="C1178" s="1">
        <v>16.595509</v>
      </c>
    </row>
    <row r="1179" spans="1:3" x14ac:dyDescent="0.3">
      <c r="A1179" s="1" t="s">
        <v>506</v>
      </c>
      <c r="B1179" t="s">
        <v>179</v>
      </c>
      <c r="C1179" s="1">
        <v>15.950453</v>
      </c>
    </row>
    <row r="1180" spans="1:3" x14ac:dyDescent="0.3">
      <c r="A1180" s="1" t="s">
        <v>506</v>
      </c>
      <c r="B1180" t="s">
        <v>180</v>
      </c>
      <c r="C1180" s="1">
        <v>15.676793999999999</v>
      </c>
    </row>
    <row r="1181" spans="1:3" x14ac:dyDescent="0.3">
      <c r="A1181" s="1" t="s">
        <v>506</v>
      </c>
      <c r="B1181" t="s">
        <v>181</v>
      </c>
      <c r="C1181" s="1">
        <v>15.579058</v>
      </c>
    </row>
    <row r="1182" spans="1:3" x14ac:dyDescent="0.3">
      <c r="A1182" s="1" t="s">
        <v>506</v>
      </c>
      <c r="B1182" t="s">
        <v>182</v>
      </c>
      <c r="C1182" s="1">
        <v>16.165472000000001</v>
      </c>
    </row>
    <row r="1183" spans="1:3" x14ac:dyDescent="0.3">
      <c r="A1183" s="1" t="s">
        <v>506</v>
      </c>
      <c r="B1183" t="s">
        <v>183</v>
      </c>
      <c r="C1183" s="1">
        <v>15.950453</v>
      </c>
    </row>
    <row r="1184" spans="1:3" x14ac:dyDescent="0.3">
      <c r="A1184" s="1" t="s">
        <v>506</v>
      </c>
      <c r="B1184" t="s">
        <v>184</v>
      </c>
      <c r="C1184" s="1">
        <v>15.794076</v>
      </c>
    </row>
    <row r="1185" spans="1:3" x14ac:dyDescent="0.3">
      <c r="A1185" s="1" t="s">
        <v>506</v>
      </c>
      <c r="B1185" t="s">
        <v>185</v>
      </c>
      <c r="C1185" s="1">
        <v>16.282755000000002</v>
      </c>
    </row>
    <row r="1186" spans="1:3" x14ac:dyDescent="0.3">
      <c r="A1186" s="1" t="s">
        <v>506</v>
      </c>
      <c r="B1186" t="s">
        <v>186</v>
      </c>
      <c r="C1186" s="1">
        <v>16.458679</v>
      </c>
    </row>
    <row r="1187" spans="1:3" x14ac:dyDescent="0.3">
      <c r="A1187" s="1" t="s">
        <v>506</v>
      </c>
      <c r="B1187" t="s">
        <v>187</v>
      </c>
      <c r="C1187" s="1">
        <v>16.360942999999999</v>
      </c>
    </row>
    <row r="1188" spans="1:3" x14ac:dyDescent="0.3">
      <c r="A1188" s="1" t="s">
        <v>506</v>
      </c>
      <c r="B1188" t="s">
        <v>188</v>
      </c>
      <c r="C1188" s="1">
        <v>16.126377000000002</v>
      </c>
    </row>
    <row r="1189" spans="1:3" x14ac:dyDescent="0.3">
      <c r="A1189" s="1" t="s">
        <v>506</v>
      </c>
      <c r="B1189" t="s">
        <v>189</v>
      </c>
      <c r="C1189" s="1">
        <v>16.028641</v>
      </c>
    </row>
    <row r="1190" spans="1:3" x14ac:dyDescent="0.3">
      <c r="A1190" s="1" t="s">
        <v>506</v>
      </c>
      <c r="B1190" t="s">
        <v>190</v>
      </c>
      <c r="C1190" s="1">
        <v>16.028641</v>
      </c>
    </row>
    <row r="1191" spans="1:3" x14ac:dyDescent="0.3">
      <c r="A1191" s="1" t="s">
        <v>506</v>
      </c>
      <c r="B1191" t="s">
        <v>191</v>
      </c>
      <c r="C1191" s="1">
        <v>15.676793999999999</v>
      </c>
    </row>
    <row r="1192" spans="1:3" x14ac:dyDescent="0.3">
      <c r="A1192" s="1" t="s">
        <v>506</v>
      </c>
      <c r="B1192" t="s">
        <v>192</v>
      </c>
      <c r="C1192" s="1">
        <v>16.009094000000001</v>
      </c>
    </row>
    <row r="1193" spans="1:3" x14ac:dyDescent="0.3">
      <c r="A1193" s="1" t="s">
        <v>506</v>
      </c>
      <c r="B1193" t="s">
        <v>193</v>
      </c>
      <c r="C1193" s="1">
        <v>15.872265000000001</v>
      </c>
    </row>
    <row r="1194" spans="1:3" x14ac:dyDescent="0.3">
      <c r="A1194" s="1" t="s">
        <v>506</v>
      </c>
      <c r="B1194" t="s">
        <v>194</v>
      </c>
      <c r="C1194" s="1">
        <v>17.103732999999998</v>
      </c>
    </row>
    <row r="1195" spans="1:3" x14ac:dyDescent="0.3">
      <c r="A1195" s="1" t="s">
        <v>506</v>
      </c>
      <c r="B1195" t="s">
        <v>195</v>
      </c>
      <c r="C1195" s="1">
        <v>17.103732999999998</v>
      </c>
    </row>
    <row r="1196" spans="1:3" x14ac:dyDescent="0.3">
      <c r="A1196" s="1" t="s">
        <v>506</v>
      </c>
      <c r="B1196" t="s">
        <v>196</v>
      </c>
      <c r="C1196" s="1">
        <v>16.986450000000001</v>
      </c>
    </row>
    <row r="1197" spans="1:3" x14ac:dyDescent="0.3">
      <c r="A1197" s="1" t="s">
        <v>506</v>
      </c>
      <c r="B1197" t="s">
        <v>197</v>
      </c>
      <c r="C1197" s="1">
        <v>16.790979</v>
      </c>
    </row>
    <row r="1198" spans="1:3" x14ac:dyDescent="0.3">
      <c r="A1198" s="1" t="s">
        <v>506</v>
      </c>
      <c r="B1198" t="s">
        <v>198</v>
      </c>
      <c r="C1198" s="1">
        <v>16.712790999999999</v>
      </c>
    </row>
    <row r="1199" spans="1:3" x14ac:dyDescent="0.3">
      <c r="A1199" s="1" t="s">
        <v>506</v>
      </c>
      <c r="B1199" t="s">
        <v>199</v>
      </c>
      <c r="C1199" s="1">
        <v>16.282755000000002</v>
      </c>
    </row>
    <row r="1200" spans="1:3" x14ac:dyDescent="0.3">
      <c r="A1200" s="1" t="s">
        <v>506</v>
      </c>
      <c r="B1200" t="s">
        <v>200</v>
      </c>
      <c r="C1200" s="1">
        <v>16.185019</v>
      </c>
    </row>
    <row r="1201" spans="1:3" x14ac:dyDescent="0.3">
      <c r="A1201" s="1" t="s">
        <v>506</v>
      </c>
      <c r="B1201" t="s">
        <v>201</v>
      </c>
      <c r="C1201" s="1">
        <v>16.360942999999999</v>
      </c>
    </row>
    <row r="1202" spans="1:3" x14ac:dyDescent="0.3">
      <c r="A1202" s="1" t="s">
        <v>506</v>
      </c>
      <c r="B1202" t="s">
        <v>202</v>
      </c>
      <c r="C1202" s="1">
        <v>16.654150000000001</v>
      </c>
    </row>
    <row r="1203" spans="1:3" x14ac:dyDescent="0.3">
      <c r="A1203" s="1" t="s">
        <v>506</v>
      </c>
      <c r="B1203" t="s">
        <v>203</v>
      </c>
      <c r="C1203" s="1">
        <v>16.673697000000001</v>
      </c>
    </row>
    <row r="1204" spans="1:3" x14ac:dyDescent="0.3">
      <c r="A1204" s="1" t="s">
        <v>506</v>
      </c>
      <c r="B1204" t="s">
        <v>204</v>
      </c>
      <c r="C1204" s="1">
        <v>16.966904</v>
      </c>
    </row>
    <row r="1205" spans="1:3" x14ac:dyDescent="0.3">
      <c r="A1205" s="1" t="s">
        <v>506</v>
      </c>
      <c r="B1205" t="s">
        <v>205</v>
      </c>
      <c r="C1205" s="1">
        <v>17.181920999999999</v>
      </c>
    </row>
    <row r="1206" spans="1:3" x14ac:dyDescent="0.3">
      <c r="A1206" s="1" t="s">
        <v>506</v>
      </c>
      <c r="B1206" t="s">
        <v>206</v>
      </c>
      <c r="C1206" s="1">
        <v>17.005997000000001</v>
      </c>
    </row>
    <row r="1207" spans="1:3" x14ac:dyDescent="0.3">
      <c r="A1207" s="1" t="s">
        <v>506</v>
      </c>
      <c r="B1207" t="s">
        <v>207</v>
      </c>
      <c r="C1207" s="1">
        <v>17.103732999999998</v>
      </c>
    </row>
    <row r="1208" spans="1:3" x14ac:dyDescent="0.3">
      <c r="A1208" s="1" t="s">
        <v>506</v>
      </c>
      <c r="B1208" t="s">
        <v>208</v>
      </c>
      <c r="C1208" s="1">
        <v>17.260110999999998</v>
      </c>
    </row>
    <row r="1209" spans="1:3" x14ac:dyDescent="0.3">
      <c r="A1209" s="1" t="s">
        <v>506</v>
      </c>
      <c r="B1209" t="s">
        <v>209</v>
      </c>
      <c r="C1209" s="1">
        <v>17.905165</v>
      </c>
    </row>
    <row r="1210" spans="1:3" x14ac:dyDescent="0.3">
      <c r="A1210" s="1" t="s">
        <v>506</v>
      </c>
      <c r="B1210" t="s">
        <v>210</v>
      </c>
      <c r="C1210" s="1">
        <v>18.022449000000002</v>
      </c>
    </row>
    <row r="1211" spans="1:3" x14ac:dyDescent="0.3">
      <c r="A1211" s="1" t="s">
        <v>506</v>
      </c>
      <c r="B1211" t="s">
        <v>211</v>
      </c>
      <c r="C1211" s="1">
        <v>17.983355</v>
      </c>
    </row>
    <row r="1212" spans="1:3" x14ac:dyDescent="0.3">
      <c r="A1212" s="1" t="s">
        <v>506</v>
      </c>
      <c r="B1212" t="s">
        <v>212</v>
      </c>
      <c r="C1212" s="1">
        <v>17.651052</v>
      </c>
    </row>
    <row r="1213" spans="1:3" x14ac:dyDescent="0.3">
      <c r="A1213" s="1" t="s">
        <v>506</v>
      </c>
      <c r="B1213" t="s">
        <v>213</v>
      </c>
      <c r="C1213" s="1">
        <v>18.002901000000001</v>
      </c>
    </row>
    <row r="1214" spans="1:3" x14ac:dyDescent="0.3">
      <c r="A1214" s="1" t="s">
        <v>506</v>
      </c>
      <c r="B1214" t="s">
        <v>214</v>
      </c>
      <c r="C1214" s="1">
        <v>17.533771999999999</v>
      </c>
    </row>
    <row r="1215" spans="1:3" x14ac:dyDescent="0.3">
      <c r="A1215" s="1" t="s">
        <v>506</v>
      </c>
      <c r="B1215" t="s">
        <v>215</v>
      </c>
      <c r="C1215" s="1">
        <v>17.396940000000001</v>
      </c>
    </row>
    <row r="1216" spans="1:3" x14ac:dyDescent="0.3">
      <c r="A1216" s="1" t="s">
        <v>506</v>
      </c>
      <c r="B1216" t="s">
        <v>216</v>
      </c>
      <c r="C1216" s="1">
        <v>17.338298999999999</v>
      </c>
    </row>
    <row r="1217" spans="1:3" x14ac:dyDescent="0.3">
      <c r="A1217" s="1" t="s">
        <v>506</v>
      </c>
      <c r="B1217" t="s">
        <v>217</v>
      </c>
      <c r="C1217" s="1">
        <v>17.553315999999999</v>
      </c>
    </row>
    <row r="1218" spans="1:3" x14ac:dyDescent="0.3">
      <c r="A1218" s="1" t="s">
        <v>506</v>
      </c>
      <c r="B1218" t="s">
        <v>218</v>
      </c>
      <c r="C1218" s="1">
        <v>17.436035</v>
      </c>
    </row>
    <row r="1219" spans="1:3" x14ac:dyDescent="0.3">
      <c r="A1219" s="1" t="s">
        <v>506</v>
      </c>
      <c r="B1219" t="s">
        <v>219</v>
      </c>
      <c r="C1219" s="1">
        <v>17.670601000000001</v>
      </c>
    </row>
    <row r="1220" spans="1:3" x14ac:dyDescent="0.3">
      <c r="A1220" s="1" t="s">
        <v>506</v>
      </c>
      <c r="B1220" t="s">
        <v>220</v>
      </c>
      <c r="C1220" s="1">
        <v>17.709696000000001</v>
      </c>
    </row>
    <row r="1221" spans="1:3" x14ac:dyDescent="0.3">
      <c r="A1221" s="1" t="s">
        <v>506</v>
      </c>
      <c r="B1221" t="s">
        <v>221</v>
      </c>
      <c r="C1221" s="1">
        <v>17.963806000000002</v>
      </c>
    </row>
    <row r="1222" spans="1:3" x14ac:dyDescent="0.3">
      <c r="A1222" s="1" t="s">
        <v>506</v>
      </c>
      <c r="B1222" t="s">
        <v>222</v>
      </c>
      <c r="C1222" s="1">
        <v>18.198374000000001</v>
      </c>
    </row>
    <row r="1223" spans="1:3" x14ac:dyDescent="0.3">
      <c r="A1223" s="1" t="s">
        <v>506</v>
      </c>
      <c r="B1223" t="s">
        <v>223</v>
      </c>
      <c r="C1223" s="1">
        <v>18.081088999999999</v>
      </c>
    </row>
    <row r="1224" spans="1:3" x14ac:dyDescent="0.3">
      <c r="A1224" s="1" t="s">
        <v>506</v>
      </c>
      <c r="B1224" t="s">
        <v>224</v>
      </c>
      <c r="C1224" s="1">
        <v>18.198374000000001</v>
      </c>
    </row>
    <row r="1225" spans="1:3" x14ac:dyDescent="0.3">
      <c r="A1225" s="1" t="s">
        <v>506</v>
      </c>
      <c r="B1225" t="s">
        <v>225</v>
      </c>
      <c r="C1225" s="1">
        <v>18.335203</v>
      </c>
    </row>
    <row r="1226" spans="1:3" x14ac:dyDescent="0.3">
      <c r="A1226" s="1" t="s">
        <v>506</v>
      </c>
      <c r="B1226" t="s">
        <v>226</v>
      </c>
      <c r="C1226" s="1">
        <v>18.041993999999999</v>
      </c>
    </row>
    <row r="1227" spans="1:3" x14ac:dyDescent="0.3">
      <c r="A1227" s="1" t="s">
        <v>506</v>
      </c>
      <c r="B1227" t="s">
        <v>227</v>
      </c>
      <c r="C1227" s="1">
        <v>17.807428000000002</v>
      </c>
    </row>
    <row r="1228" spans="1:3" x14ac:dyDescent="0.3">
      <c r="A1228" s="1" t="s">
        <v>506</v>
      </c>
      <c r="B1228" t="s">
        <v>228</v>
      </c>
      <c r="C1228" s="1">
        <v>18.432938</v>
      </c>
    </row>
    <row r="1229" spans="1:3" x14ac:dyDescent="0.3">
      <c r="A1229" s="1" t="s">
        <v>506</v>
      </c>
      <c r="B1229" t="s">
        <v>229</v>
      </c>
      <c r="C1229" s="1">
        <v>18.159279000000002</v>
      </c>
    </row>
    <row r="1230" spans="1:3" x14ac:dyDescent="0.3">
      <c r="A1230" s="1" t="s">
        <v>506</v>
      </c>
      <c r="B1230" t="s">
        <v>230</v>
      </c>
      <c r="C1230" s="1">
        <v>18.374296000000001</v>
      </c>
    </row>
    <row r="1231" spans="1:3" x14ac:dyDescent="0.3">
      <c r="A1231" s="1" t="s">
        <v>506</v>
      </c>
      <c r="B1231" t="s">
        <v>231</v>
      </c>
      <c r="C1231" s="1">
        <v>18.589314999999999</v>
      </c>
    </row>
    <row r="1232" spans="1:3" x14ac:dyDescent="0.3">
      <c r="A1232" s="1" t="s">
        <v>506</v>
      </c>
      <c r="B1232" t="s">
        <v>232</v>
      </c>
      <c r="C1232" s="1">
        <v>18.765239999999999</v>
      </c>
    </row>
    <row r="1233" spans="1:3" x14ac:dyDescent="0.3">
      <c r="A1233" s="1" t="s">
        <v>506</v>
      </c>
      <c r="B1233" t="s">
        <v>233</v>
      </c>
      <c r="C1233" s="1">
        <v>18.941161999999998</v>
      </c>
    </row>
    <row r="1234" spans="1:3" x14ac:dyDescent="0.3">
      <c r="A1234" s="1" t="s">
        <v>506</v>
      </c>
      <c r="B1234" t="s">
        <v>234</v>
      </c>
      <c r="C1234" s="1">
        <v>19.234369000000001</v>
      </c>
    </row>
    <row r="1235" spans="1:3" x14ac:dyDescent="0.3">
      <c r="A1235" s="1" t="s">
        <v>506</v>
      </c>
      <c r="B1235" t="s">
        <v>235</v>
      </c>
      <c r="C1235" s="1">
        <v>19.136634999999998</v>
      </c>
    </row>
    <row r="1236" spans="1:3" x14ac:dyDescent="0.3">
      <c r="A1236" s="1" t="s">
        <v>506</v>
      </c>
      <c r="B1236" t="s">
        <v>236</v>
      </c>
      <c r="C1236" s="1">
        <v>19.293011</v>
      </c>
    </row>
    <row r="1237" spans="1:3" x14ac:dyDescent="0.3">
      <c r="A1237" s="1" t="s">
        <v>506</v>
      </c>
      <c r="B1237" t="s">
        <v>237</v>
      </c>
      <c r="C1237" s="1">
        <v>19.195274000000001</v>
      </c>
    </row>
    <row r="1238" spans="1:3" x14ac:dyDescent="0.3">
      <c r="A1238" s="1" t="s">
        <v>506</v>
      </c>
      <c r="B1238" t="s">
        <v>238</v>
      </c>
      <c r="C1238" s="1">
        <v>19.156181</v>
      </c>
    </row>
    <row r="1239" spans="1:3" x14ac:dyDescent="0.3">
      <c r="A1239" s="1" t="s">
        <v>506</v>
      </c>
      <c r="B1239" t="s">
        <v>239</v>
      </c>
      <c r="C1239" s="1">
        <v>19.449389</v>
      </c>
    </row>
    <row r="1240" spans="1:3" x14ac:dyDescent="0.3">
      <c r="A1240" s="1" t="s">
        <v>506</v>
      </c>
      <c r="B1240" t="s">
        <v>240</v>
      </c>
      <c r="C1240" s="1">
        <v>19.253917999999999</v>
      </c>
    </row>
    <row r="1241" spans="1:3" x14ac:dyDescent="0.3">
      <c r="A1241" s="1" t="s">
        <v>506</v>
      </c>
      <c r="B1241" t="s">
        <v>241</v>
      </c>
      <c r="C1241" s="1">
        <v>19.351652000000001</v>
      </c>
    </row>
    <row r="1242" spans="1:3" x14ac:dyDescent="0.3">
      <c r="A1242" s="1" t="s">
        <v>506</v>
      </c>
      <c r="B1242" t="s">
        <v>242</v>
      </c>
      <c r="C1242" s="1">
        <v>19.351652000000001</v>
      </c>
    </row>
    <row r="1243" spans="1:3" x14ac:dyDescent="0.3">
      <c r="A1243" s="1" t="s">
        <v>506</v>
      </c>
      <c r="B1243" t="s">
        <v>243</v>
      </c>
      <c r="C1243" s="1">
        <v>19.312559</v>
      </c>
    </row>
    <row r="1244" spans="1:3" x14ac:dyDescent="0.3">
      <c r="A1244" s="1" t="s">
        <v>506</v>
      </c>
      <c r="B1244" t="s">
        <v>244</v>
      </c>
      <c r="C1244" s="1">
        <v>19.595991000000001</v>
      </c>
    </row>
    <row r="1245" spans="1:3" x14ac:dyDescent="0.3">
      <c r="A1245" s="1" t="s">
        <v>506</v>
      </c>
      <c r="B1245" t="s">
        <v>245</v>
      </c>
      <c r="C1245" s="1">
        <v>19.449389</v>
      </c>
    </row>
    <row r="1246" spans="1:3" x14ac:dyDescent="0.3">
      <c r="A1246" s="1" t="s">
        <v>506</v>
      </c>
      <c r="B1246" t="s">
        <v>246</v>
      </c>
      <c r="C1246" s="1">
        <v>19.986934999999999</v>
      </c>
    </row>
    <row r="1247" spans="1:3" x14ac:dyDescent="0.3">
      <c r="A1247" s="1" t="s">
        <v>506</v>
      </c>
      <c r="B1247" t="s">
        <v>247</v>
      </c>
      <c r="C1247" s="1">
        <v>19.742595999999999</v>
      </c>
    </row>
    <row r="1248" spans="1:3" x14ac:dyDescent="0.3">
      <c r="A1248" s="1" t="s">
        <v>506</v>
      </c>
      <c r="B1248" t="s">
        <v>248</v>
      </c>
      <c r="C1248" s="1">
        <v>19.595991000000001</v>
      </c>
    </row>
    <row r="1249" spans="1:3" x14ac:dyDescent="0.3">
      <c r="A1249" s="1" t="s">
        <v>506</v>
      </c>
      <c r="B1249" t="s">
        <v>249</v>
      </c>
      <c r="C1249" s="1">
        <v>19.547122999999999</v>
      </c>
    </row>
    <row r="1250" spans="1:3" x14ac:dyDescent="0.3">
      <c r="A1250" s="1" t="s">
        <v>506</v>
      </c>
      <c r="B1250" t="s">
        <v>250</v>
      </c>
      <c r="C1250" s="1">
        <v>20.084669000000002</v>
      </c>
    </row>
    <row r="1251" spans="1:3" x14ac:dyDescent="0.3">
      <c r="A1251" s="1" t="s">
        <v>506</v>
      </c>
      <c r="B1251" t="s">
        <v>251</v>
      </c>
      <c r="C1251" s="1">
        <v>20.280142000000001</v>
      </c>
    </row>
    <row r="1252" spans="1:3" x14ac:dyDescent="0.3">
      <c r="A1252" s="1" t="s">
        <v>506</v>
      </c>
      <c r="B1252" t="s">
        <v>252</v>
      </c>
      <c r="C1252" s="1">
        <v>20.133537</v>
      </c>
    </row>
    <row r="1253" spans="1:3" x14ac:dyDescent="0.3">
      <c r="A1253" s="1" t="s">
        <v>506</v>
      </c>
      <c r="B1253" t="s">
        <v>253</v>
      </c>
      <c r="C1253" s="1">
        <v>20.622215000000001</v>
      </c>
    </row>
    <row r="1254" spans="1:3" x14ac:dyDescent="0.3">
      <c r="A1254" s="1" t="s">
        <v>506</v>
      </c>
      <c r="B1254" t="s">
        <v>254</v>
      </c>
      <c r="C1254" s="1">
        <v>20.426743999999999</v>
      </c>
    </row>
    <row r="1255" spans="1:3" x14ac:dyDescent="0.3">
      <c r="A1255" s="1" t="s">
        <v>506</v>
      </c>
      <c r="B1255" t="s">
        <v>255</v>
      </c>
      <c r="C1255" s="1">
        <v>20.280142000000001</v>
      </c>
    </row>
    <row r="1256" spans="1:3" x14ac:dyDescent="0.3">
      <c r="A1256" s="1" t="s">
        <v>506</v>
      </c>
      <c r="B1256" t="s">
        <v>256</v>
      </c>
      <c r="C1256" s="1">
        <v>20.524481000000002</v>
      </c>
    </row>
    <row r="1257" spans="1:3" x14ac:dyDescent="0.3">
      <c r="A1257" s="1" t="s">
        <v>506</v>
      </c>
      <c r="B1257" t="s">
        <v>257</v>
      </c>
      <c r="C1257" s="1">
        <v>20.671082999999999</v>
      </c>
    </row>
    <row r="1258" spans="1:3" x14ac:dyDescent="0.3">
      <c r="A1258" s="1" t="s">
        <v>506</v>
      </c>
      <c r="B1258" t="s">
        <v>258</v>
      </c>
      <c r="C1258" s="1">
        <v>20.817685999999998</v>
      </c>
    </row>
    <row r="1259" spans="1:3" x14ac:dyDescent="0.3">
      <c r="A1259" s="1" t="s">
        <v>506</v>
      </c>
      <c r="B1259" t="s">
        <v>259</v>
      </c>
      <c r="C1259" s="1">
        <v>20.719951999999999</v>
      </c>
    </row>
    <row r="1260" spans="1:3" x14ac:dyDescent="0.3">
      <c r="A1260" s="1" t="s">
        <v>506</v>
      </c>
      <c r="B1260" t="s">
        <v>260</v>
      </c>
      <c r="C1260" s="1">
        <v>20.524481000000002</v>
      </c>
    </row>
    <row r="1261" spans="1:3" x14ac:dyDescent="0.3">
      <c r="A1261" s="1" t="s">
        <v>506</v>
      </c>
      <c r="B1261" t="s">
        <v>261</v>
      </c>
      <c r="C1261" s="1">
        <v>20.426743999999999</v>
      </c>
    </row>
    <row r="1262" spans="1:3" x14ac:dyDescent="0.3">
      <c r="A1262" s="1" t="s">
        <v>506</v>
      </c>
      <c r="B1262" t="s">
        <v>262</v>
      </c>
      <c r="C1262" s="1">
        <v>20.475612999999999</v>
      </c>
    </row>
    <row r="1263" spans="1:3" x14ac:dyDescent="0.3">
      <c r="A1263" s="1" t="s">
        <v>506</v>
      </c>
      <c r="B1263" t="s">
        <v>263</v>
      </c>
      <c r="C1263" s="1">
        <v>20.426743999999999</v>
      </c>
    </row>
    <row r="1264" spans="1:3" x14ac:dyDescent="0.3">
      <c r="A1264" s="1" t="s">
        <v>506</v>
      </c>
      <c r="B1264" t="s">
        <v>264</v>
      </c>
      <c r="C1264" s="1">
        <v>20.426743999999999</v>
      </c>
    </row>
    <row r="1265" spans="1:3" x14ac:dyDescent="0.3">
      <c r="A1265" s="1" t="s">
        <v>506</v>
      </c>
      <c r="B1265" t="s">
        <v>265</v>
      </c>
      <c r="C1265" s="1">
        <v>19.938065999999999</v>
      </c>
    </row>
    <row r="1266" spans="1:3" x14ac:dyDescent="0.3">
      <c r="A1266" s="1" t="s">
        <v>506</v>
      </c>
      <c r="B1266" t="s">
        <v>266</v>
      </c>
      <c r="C1266" s="1">
        <v>20.280142000000001</v>
      </c>
    </row>
    <row r="1267" spans="1:3" x14ac:dyDescent="0.3">
      <c r="A1267" s="1" t="s">
        <v>506</v>
      </c>
      <c r="B1267" t="s">
        <v>267</v>
      </c>
      <c r="C1267" s="1">
        <v>20.475612999999999</v>
      </c>
    </row>
    <row r="1268" spans="1:3" x14ac:dyDescent="0.3">
      <c r="A1268" s="1" t="s">
        <v>506</v>
      </c>
      <c r="B1268" t="s">
        <v>268</v>
      </c>
      <c r="C1268" s="1">
        <v>20.377876000000001</v>
      </c>
    </row>
    <row r="1269" spans="1:3" x14ac:dyDescent="0.3">
      <c r="A1269" s="1" t="s">
        <v>506</v>
      </c>
      <c r="B1269" t="s">
        <v>269</v>
      </c>
      <c r="C1269" s="1">
        <v>20.084669000000002</v>
      </c>
    </row>
    <row r="1270" spans="1:3" x14ac:dyDescent="0.3">
      <c r="A1270" s="1" t="s">
        <v>506</v>
      </c>
      <c r="B1270" t="s">
        <v>270</v>
      </c>
      <c r="C1270" s="1">
        <v>20.133537</v>
      </c>
    </row>
    <row r="1271" spans="1:3" x14ac:dyDescent="0.3">
      <c r="A1271" s="1" t="s">
        <v>506</v>
      </c>
      <c r="B1271" t="s">
        <v>271</v>
      </c>
      <c r="C1271" s="1">
        <v>20.182404999999999</v>
      </c>
    </row>
    <row r="1272" spans="1:3" x14ac:dyDescent="0.3">
      <c r="A1272" s="1" t="s">
        <v>506</v>
      </c>
      <c r="B1272" t="s">
        <v>272</v>
      </c>
      <c r="C1272" s="1">
        <v>19.742595999999999</v>
      </c>
    </row>
    <row r="1273" spans="1:3" x14ac:dyDescent="0.3">
      <c r="A1273" s="1" t="s">
        <v>506</v>
      </c>
      <c r="B1273" t="s">
        <v>273</v>
      </c>
      <c r="C1273" s="1">
        <v>19.547122999999999</v>
      </c>
    </row>
    <row r="1274" spans="1:3" x14ac:dyDescent="0.3">
      <c r="A1274" s="1" t="s">
        <v>506</v>
      </c>
      <c r="B1274" t="s">
        <v>274</v>
      </c>
      <c r="C1274" s="1">
        <v>19.840330000000002</v>
      </c>
    </row>
    <row r="1275" spans="1:3" x14ac:dyDescent="0.3">
      <c r="A1275" s="1" t="s">
        <v>506</v>
      </c>
      <c r="B1275" t="s">
        <v>275</v>
      </c>
      <c r="C1275" s="1">
        <v>20.182404999999999</v>
      </c>
    </row>
    <row r="1276" spans="1:3" x14ac:dyDescent="0.3">
      <c r="A1276" s="1" t="s">
        <v>506</v>
      </c>
      <c r="B1276" t="s">
        <v>276</v>
      </c>
      <c r="C1276" s="1">
        <v>20.084669000000002</v>
      </c>
    </row>
    <row r="1277" spans="1:3" x14ac:dyDescent="0.3">
      <c r="A1277" s="1" t="s">
        <v>506</v>
      </c>
      <c r="B1277" t="s">
        <v>277</v>
      </c>
      <c r="C1277" s="1">
        <v>19.791464000000001</v>
      </c>
    </row>
    <row r="1278" spans="1:3" x14ac:dyDescent="0.3">
      <c r="A1278" s="1" t="s">
        <v>506</v>
      </c>
      <c r="B1278" t="s">
        <v>278</v>
      </c>
      <c r="C1278" s="1">
        <v>19.019349999999999</v>
      </c>
    </row>
    <row r="1279" spans="1:3" x14ac:dyDescent="0.3">
      <c r="A1279" s="1" t="s">
        <v>506</v>
      </c>
      <c r="B1279" t="s">
        <v>279</v>
      </c>
      <c r="C1279" s="1">
        <v>19.449389</v>
      </c>
    </row>
    <row r="1280" spans="1:3" x14ac:dyDescent="0.3">
      <c r="A1280" s="1" t="s">
        <v>506</v>
      </c>
      <c r="B1280" t="s">
        <v>280</v>
      </c>
      <c r="C1280" s="1">
        <v>19.312559</v>
      </c>
    </row>
    <row r="1281" spans="1:3" x14ac:dyDescent="0.3">
      <c r="A1281" s="1" t="s">
        <v>506</v>
      </c>
      <c r="B1281" t="s">
        <v>281</v>
      </c>
      <c r="C1281" s="1">
        <v>19.429839999999999</v>
      </c>
    </row>
    <row r="1282" spans="1:3" x14ac:dyDescent="0.3">
      <c r="A1282" s="1" t="s">
        <v>506</v>
      </c>
      <c r="B1282" t="s">
        <v>282</v>
      </c>
      <c r="C1282" s="1">
        <v>18.726144999999999</v>
      </c>
    </row>
    <row r="1283" spans="1:3" x14ac:dyDescent="0.3">
      <c r="A1283" s="1" t="s">
        <v>506</v>
      </c>
      <c r="B1283" t="s">
        <v>283</v>
      </c>
      <c r="C1283" s="1">
        <v>18.823881</v>
      </c>
    </row>
    <row r="1284" spans="1:3" x14ac:dyDescent="0.3">
      <c r="A1284" s="1" t="s">
        <v>506</v>
      </c>
      <c r="B1284" t="s">
        <v>284</v>
      </c>
      <c r="C1284" s="1">
        <v>18.843427999999999</v>
      </c>
    </row>
    <row r="1285" spans="1:3" x14ac:dyDescent="0.3">
      <c r="A1285" s="1" t="s">
        <v>506</v>
      </c>
      <c r="B1285" t="s">
        <v>285</v>
      </c>
      <c r="C1285" s="1">
        <v>19.058444999999999</v>
      </c>
    </row>
    <row r="1286" spans="1:3" x14ac:dyDescent="0.3">
      <c r="A1286" s="1" t="s">
        <v>506</v>
      </c>
      <c r="B1286" t="s">
        <v>286</v>
      </c>
      <c r="C1286" s="1">
        <v>18.862974000000001</v>
      </c>
    </row>
    <row r="1287" spans="1:3" x14ac:dyDescent="0.3">
      <c r="A1287" s="1" t="s">
        <v>506</v>
      </c>
      <c r="B1287" t="s">
        <v>287</v>
      </c>
      <c r="C1287" s="1">
        <v>18.804333</v>
      </c>
    </row>
    <row r="1288" spans="1:3" x14ac:dyDescent="0.3">
      <c r="A1288" s="1" t="s">
        <v>506</v>
      </c>
      <c r="B1288" t="s">
        <v>288</v>
      </c>
      <c r="C1288" s="1">
        <v>18.628408</v>
      </c>
    </row>
    <row r="1289" spans="1:3" x14ac:dyDescent="0.3">
      <c r="A1289" s="1" t="s">
        <v>506</v>
      </c>
      <c r="B1289" t="s">
        <v>289</v>
      </c>
      <c r="C1289" s="1">
        <v>18.530671999999999</v>
      </c>
    </row>
    <row r="1290" spans="1:3" x14ac:dyDescent="0.3">
      <c r="A1290" s="1" t="s">
        <v>506</v>
      </c>
      <c r="B1290" t="s">
        <v>290</v>
      </c>
      <c r="C1290" s="1">
        <v>18.628408</v>
      </c>
    </row>
    <row r="1291" spans="1:3" x14ac:dyDescent="0.3">
      <c r="A1291" s="1" t="s">
        <v>506</v>
      </c>
      <c r="B1291" t="s">
        <v>291</v>
      </c>
      <c r="C1291" s="1">
        <v>18.687052000000001</v>
      </c>
    </row>
    <row r="1292" spans="1:3" x14ac:dyDescent="0.3">
      <c r="A1292" s="1" t="s">
        <v>506</v>
      </c>
      <c r="B1292" t="s">
        <v>292</v>
      </c>
      <c r="C1292" s="1">
        <v>18.472033</v>
      </c>
    </row>
    <row r="1293" spans="1:3" x14ac:dyDescent="0.3">
      <c r="A1293" s="1" t="s">
        <v>506</v>
      </c>
      <c r="B1293" t="s">
        <v>293</v>
      </c>
      <c r="C1293" s="1">
        <v>17.866071999999999</v>
      </c>
    </row>
    <row r="1294" spans="1:3" x14ac:dyDescent="0.3">
      <c r="A1294" s="1" t="s">
        <v>506</v>
      </c>
      <c r="B1294" t="s">
        <v>294</v>
      </c>
      <c r="C1294" s="1">
        <v>17.963806000000002</v>
      </c>
    </row>
    <row r="1295" spans="1:3" x14ac:dyDescent="0.3">
      <c r="A1295" s="1" t="s">
        <v>506</v>
      </c>
      <c r="B1295" t="s">
        <v>295</v>
      </c>
      <c r="C1295" s="1">
        <v>17.846525</v>
      </c>
    </row>
    <row r="1296" spans="1:3" x14ac:dyDescent="0.3">
      <c r="A1296" s="1" t="s">
        <v>506</v>
      </c>
      <c r="B1296" t="s">
        <v>296</v>
      </c>
      <c r="C1296" s="1">
        <v>17.924713000000001</v>
      </c>
    </row>
    <row r="1297" spans="1:3" x14ac:dyDescent="0.3">
      <c r="A1297" s="1" t="s">
        <v>506</v>
      </c>
      <c r="B1297" t="s">
        <v>297</v>
      </c>
      <c r="C1297" s="1">
        <v>17.787883999999998</v>
      </c>
    </row>
    <row r="1298" spans="1:3" x14ac:dyDescent="0.3">
      <c r="A1298" s="1" t="s">
        <v>506</v>
      </c>
      <c r="B1298" t="s">
        <v>298</v>
      </c>
      <c r="C1298" s="1">
        <v>17.866071999999999</v>
      </c>
    </row>
    <row r="1299" spans="1:3" x14ac:dyDescent="0.3">
      <c r="A1299" s="1" t="s">
        <v>506</v>
      </c>
      <c r="B1299" t="s">
        <v>299</v>
      </c>
      <c r="C1299" s="1">
        <v>17.826976999999999</v>
      </c>
    </row>
    <row r="1300" spans="1:3" x14ac:dyDescent="0.3">
      <c r="A1300" s="1" t="s">
        <v>506</v>
      </c>
      <c r="B1300" t="s">
        <v>300</v>
      </c>
      <c r="C1300" s="1">
        <v>17.846525</v>
      </c>
    </row>
    <row r="1301" spans="1:3" x14ac:dyDescent="0.3">
      <c r="A1301" s="1" t="s">
        <v>506</v>
      </c>
      <c r="B1301" t="s">
        <v>301</v>
      </c>
      <c r="C1301" s="1">
        <v>17.826976999999999</v>
      </c>
    </row>
    <row r="1302" spans="1:3" x14ac:dyDescent="0.3">
      <c r="A1302" s="1" t="s">
        <v>506</v>
      </c>
      <c r="B1302" t="s">
        <v>302</v>
      </c>
      <c r="C1302" s="1">
        <v>17.846525</v>
      </c>
    </row>
    <row r="1303" spans="1:3" x14ac:dyDescent="0.3">
      <c r="A1303" s="1" t="s">
        <v>506</v>
      </c>
      <c r="B1303" t="s">
        <v>303</v>
      </c>
      <c r="C1303" s="1">
        <v>17.963806000000002</v>
      </c>
    </row>
    <row r="1304" spans="1:3" x14ac:dyDescent="0.3">
      <c r="A1304" s="1" t="s">
        <v>506</v>
      </c>
      <c r="B1304" t="s">
        <v>304</v>
      </c>
      <c r="C1304" s="1">
        <v>18.198374000000001</v>
      </c>
    </row>
    <row r="1305" spans="1:3" x14ac:dyDescent="0.3">
      <c r="A1305" s="1" t="s">
        <v>506</v>
      </c>
      <c r="B1305" t="s">
        <v>305</v>
      </c>
      <c r="C1305" s="1">
        <v>18.13973</v>
      </c>
    </row>
    <row r="1306" spans="1:3" x14ac:dyDescent="0.3">
      <c r="A1306" s="1" t="s">
        <v>506</v>
      </c>
      <c r="B1306" t="s">
        <v>306</v>
      </c>
      <c r="C1306" s="1">
        <v>17.94426</v>
      </c>
    </row>
    <row r="1307" spans="1:3" x14ac:dyDescent="0.3">
      <c r="A1307" s="1" t="s">
        <v>506</v>
      </c>
      <c r="B1307" t="s">
        <v>307</v>
      </c>
      <c r="C1307" s="1">
        <v>17.983355</v>
      </c>
    </row>
    <row r="1308" spans="1:3" x14ac:dyDescent="0.3">
      <c r="A1308" s="1" t="s">
        <v>506</v>
      </c>
      <c r="B1308" t="s">
        <v>308</v>
      </c>
      <c r="C1308" s="1">
        <v>17.826976999999999</v>
      </c>
    </row>
    <row r="1309" spans="1:3" x14ac:dyDescent="0.3">
      <c r="A1309" s="1" t="s">
        <v>506</v>
      </c>
      <c r="B1309" t="s">
        <v>309</v>
      </c>
      <c r="C1309" s="1">
        <v>17.885618000000001</v>
      </c>
    </row>
    <row r="1310" spans="1:3" x14ac:dyDescent="0.3">
      <c r="A1310" s="1" t="s">
        <v>506</v>
      </c>
      <c r="B1310" t="s">
        <v>310</v>
      </c>
      <c r="C1310" s="1">
        <v>17.787883999999998</v>
      </c>
    </row>
    <row r="1311" spans="1:3" x14ac:dyDescent="0.3">
      <c r="A1311" s="1" t="s">
        <v>506</v>
      </c>
      <c r="B1311" t="s">
        <v>311</v>
      </c>
      <c r="C1311" s="1">
        <v>17.494675000000001</v>
      </c>
    </row>
    <row r="1312" spans="1:3" x14ac:dyDescent="0.3">
      <c r="A1312" s="1" t="s">
        <v>506</v>
      </c>
      <c r="B1312" t="s">
        <v>312</v>
      </c>
      <c r="C1312" s="1">
        <v>17.494675000000001</v>
      </c>
    </row>
    <row r="1313" spans="1:3" x14ac:dyDescent="0.3">
      <c r="A1313" s="1" t="s">
        <v>506</v>
      </c>
      <c r="B1313" t="s">
        <v>313</v>
      </c>
      <c r="C1313" s="1">
        <v>17.533771999999999</v>
      </c>
    </row>
    <row r="1314" spans="1:3" x14ac:dyDescent="0.3">
      <c r="A1314" s="1" t="s">
        <v>506</v>
      </c>
      <c r="B1314" t="s">
        <v>314</v>
      </c>
      <c r="C1314" s="1">
        <v>17.357845000000001</v>
      </c>
    </row>
    <row r="1315" spans="1:3" x14ac:dyDescent="0.3">
      <c r="A1315" s="1" t="s">
        <v>506</v>
      </c>
      <c r="B1315" t="s">
        <v>315</v>
      </c>
      <c r="C1315" s="1">
        <v>17.279657</v>
      </c>
    </row>
    <row r="1316" spans="1:3" x14ac:dyDescent="0.3">
      <c r="A1316" s="1" t="s">
        <v>506</v>
      </c>
      <c r="B1316" t="s">
        <v>316</v>
      </c>
      <c r="C1316" s="1">
        <v>17.005997000000001</v>
      </c>
    </row>
    <row r="1317" spans="1:3" x14ac:dyDescent="0.3">
      <c r="A1317" s="1" t="s">
        <v>506</v>
      </c>
      <c r="B1317" t="s">
        <v>317</v>
      </c>
      <c r="C1317" s="1">
        <v>17.162374</v>
      </c>
    </row>
    <row r="1318" spans="1:3" x14ac:dyDescent="0.3">
      <c r="A1318" s="1" t="s">
        <v>506</v>
      </c>
      <c r="B1318" t="s">
        <v>318</v>
      </c>
      <c r="C1318" s="1">
        <v>17.299206000000002</v>
      </c>
    </row>
    <row r="1319" spans="1:3" x14ac:dyDescent="0.3">
      <c r="A1319" s="1" t="s">
        <v>506</v>
      </c>
      <c r="B1319" t="s">
        <v>319</v>
      </c>
      <c r="C1319" s="1">
        <v>17.494675000000001</v>
      </c>
    </row>
    <row r="1320" spans="1:3" x14ac:dyDescent="0.3">
      <c r="A1320" s="1" t="s">
        <v>506</v>
      </c>
      <c r="B1320" t="s">
        <v>320</v>
      </c>
      <c r="C1320" s="1">
        <v>17.572865</v>
      </c>
    </row>
    <row r="1321" spans="1:3" x14ac:dyDescent="0.3">
      <c r="A1321" s="1" t="s">
        <v>506</v>
      </c>
      <c r="B1321" t="s">
        <v>321</v>
      </c>
      <c r="C1321" s="1">
        <v>17.807428000000002</v>
      </c>
    </row>
    <row r="1322" spans="1:3" x14ac:dyDescent="0.3">
      <c r="A1322" s="1" t="s">
        <v>506</v>
      </c>
      <c r="B1322" t="s">
        <v>322</v>
      </c>
      <c r="C1322" s="1">
        <v>17.142828000000002</v>
      </c>
    </row>
    <row r="1323" spans="1:3" x14ac:dyDescent="0.3">
      <c r="A1323" s="1" t="s">
        <v>506</v>
      </c>
      <c r="B1323" t="s">
        <v>323</v>
      </c>
      <c r="C1323" s="1">
        <v>17.181920999999999</v>
      </c>
    </row>
    <row r="1324" spans="1:3" x14ac:dyDescent="0.3">
      <c r="A1324" s="1" t="s">
        <v>506</v>
      </c>
      <c r="B1324" t="s">
        <v>324</v>
      </c>
      <c r="C1324" s="1">
        <v>17.084187</v>
      </c>
    </row>
    <row r="1325" spans="1:3" x14ac:dyDescent="0.3">
      <c r="A1325" s="1" t="s">
        <v>506</v>
      </c>
      <c r="B1325" t="s">
        <v>325</v>
      </c>
      <c r="C1325" s="1">
        <v>17.181920999999999</v>
      </c>
    </row>
    <row r="1326" spans="1:3" x14ac:dyDescent="0.3">
      <c r="A1326" s="1" t="s">
        <v>506</v>
      </c>
      <c r="B1326" t="s">
        <v>326</v>
      </c>
      <c r="C1326" s="1">
        <v>17.299206000000002</v>
      </c>
    </row>
    <row r="1327" spans="1:3" x14ac:dyDescent="0.3">
      <c r="A1327" s="1" t="s">
        <v>506</v>
      </c>
      <c r="B1327" t="s">
        <v>327</v>
      </c>
      <c r="C1327" s="1">
        <v>17.123280999999999</v>
      </c>
    </row>
    <row r="1328" spans="1:3" x14ac:dyDescent="0.3">
      <c r="A1328" s="1" t="s">
        <v>506</v>
      </c>
      <c r="B1328" t="s">
        <v>328</v>
      </c>
      <c r="C1328" s="1">
        <v>16.908262000000001</v>
      </c>
    </row>
    <row r="1329" spans="1:3" x14ac:dyDescent="0.3">
      <c r="A1329" s="1" t="s">
        <v>506</v>
      </c>
      <c r="B1329" t="s">
        <v>329</v>
      </c>
      <c r="C1329" s="1">
        <v>16.869167000000001</v>
      </c>
    </row>
    <row r="1330" spans="1:3" x14ac:dyDescent="0.3">
      <c r="A1330" s="1" t="s">
        <v>506</v>
      </c>
      <c r="B1330" t="s">
        <v>330</v>
      </c>
      <c r="C1330" s="1">
        <v>16.888715999999999</v>
      </c>
    </row>
    <row r="1331" spans="1:3" x14ac:dyDescent="0.3">
      <c r="A1331" s="1" t="s">
        <v>506</v>
      </c>
      <c r="B1331" t="s">
        <v>331</v>
      </c>
      <c r="C1331" s="1">
        <v>16.927809</v>
      </c>
    </row>
    <row r="1332" spans="1:3" x14ac:dyDescent="0.3">
      <c r="A1332" s="1" t="s">
        <v>506</v>
      </c>
      <c r="B1332" t="s">
        <v>332</v>
      </c>
      <c r="C1332" s="1">
        <v>16.673697000000001</v>
      </c>
    </row>
    <row r="1333" spans="1:3" x14ac:dyDescent="0.3">
      <c r="A1333" s="1" t="s">
        <v>506</v>
      </c>
      <c r="B1333" t="s">
        <v>333</v>
      </c>
      <c r="C1333" s="1">
        <v>16.771432999999998</v>
      </c>
    </row>
    <row r="1334" spans="1:3" x14ac:dyDescent="0.3">
      <c r="A1334" s="1" t="s">
        <v>506</v>
      </c>
      <c r="B1334" t="s">
        <v>334</v>
      </c>
      <c r="C1334" s="1">
        <v>17.123280999999999</v>
      </c>
    </row>
    <row r="1335" spans="1:3" x14ac:dyDescent="0.3">
      <c r="A1335" s="1" t="s">
        <v>506</v>
      </c>
      <c r="B1335" t="s">
        <v>335</v>
      </c>
      <c r="C1335" s="1">
        <v>16.673697000000001</v>
      </c>
    </row>
    <row r="1336" spans="1:3" x14ac:dyDescent="0.3">
      <c r="A1336" s="1" t="s">
        <v>506</v>
      </c>
      <c r="B1336" t="s">
        <v>336</v>
      </c>
      <c r="C1336" s="1">
        <v>17.142828000000002</v>
      </c>
    </row>
    <row r="1337" spans="1:3" x14ac:dyDescent="0.3">
      <c r="A1337" s="1" t="s">
        <v>506</v>
      </c>
      <c r="B1337" t="s">
        <v>337</v>
      </c>
      <c r="C1337" s="1">
        <v>17.123280999999999</v>
      </c>
    </row>
    <row r="1338" spans="1:3" x14ac:dyDescent="0.3">
      <c r="A1338" s="1" t="s">
        <v>506</v>
      </c>
      <c r="B1338" t="s">
        <v>338</v>
      </c>
      <c r="C1338" s="1">
        <v>17.123280999999999</v>
      </c>
    </row>
    <row r="1339" spans="1:3" x14ac:dyDescent="0.3">
      <c r="A1339" s="1" t="s">
        <v>506</v>
      </c>
      <c r="B1339" t="s">
        <v>339</v>
      </c>
      <c r="C1339" s="1">
        <v>17.103732999999998</v>
      </c>
    </row>
    <row r="1340" spans="1:3" x14ac:dyDescent="0.3">
      <c r="A1340" s="1" t="s">
        <v>506</v>
      </c>
      <c r="B1340" t="s">
        <v>340</v>
      </c>
      <c r="C1340" s="1">
        <v>16.966904</v>
      </c>
    </row>
    <row r="1341" spans="1:3" x14ac:dyDescent="0.3">
      <c r="A1341" s="1" t="s">
        <v>506</v>
      </c>
      <c r="B1341" t="s">
        <v>341</v>
      </c>
      <c r="C1341" s="1">
        <v>16.400037999999999</v>
      </c>
    </row>
    <row r="1342" spans="1:3" x14ac:dyDescent="0.3">
      <c r="A1342" s="1" t="s">
        <v>506</v>
      </c>
      <c r="B1342" t="s">
        <v>342</v>
      </c>
      <c r="C1342" s="1">
        <v>16.908262000000001</v>
      </c>
    </row>
    <row r="1343" spans="1:3" x14ac:dyDescent="0.3">
      <c r="A1343" s="1" t="s">
        <v>506</v>
      </c>
      <c r="B1343" t="s">
        <v>343</v>
      </c>
      <c r="C1343" s="1">
        <v>16.654150000000001</v>
      </c>
    </row>
    <row r="1344" spans="1:3" x14ac:dyDescent="0.3">
      <c r="A1344" s="1" t="s">
        <v>506</v>
      </c>
      <c r="B1344" t="s">
        <v>344</v>
      </c>
      <c r="C1344" s="1">
        <v>16.790979</v>
      </c>
    </row>
    <row r="1345" spans="1:3" x14ac:dyDescent="0.3">
      <c r="A1345" s="1" t="s">
        <v>506</v>
      </c>
      <c r="B1345" t="s">
        <v>345</v>
      </c>
      <c r="C1345" s="1">
        <v>17.045092</v>
      </c>
    </row>
    <row r="1346" spans="1:3" x14ac:dyDescent="0.3">
      <c r="A1346" s="1" t="s">
        <v>506</v>
      </c>
      <c r="B1346" t="s">
        <v>346</v>
      </c>
      <c r="C1346" s="1">
        <v>16.810528000000001</v>
      </c>
    </row>
    <row r="1347" spans="1:3" x14ac:dyDescent="0.3">
      <c r="A1347" s="1" t="s">
        <v>506</v>
      </c>
      <c r="B1347" t="s">
        <v>347</v>
      </c>
      <c r="C1347" s="1">
        <v>16.947357</v>
      </c>
    </row>
    <row r="1348" spans="1:3" x14ac:dyDescent="0.3">
      <c r="A1348" s="1" t="s">
        <v>506</v>
      </c>
      <c r="B1348" t="s">
        <v>348</v>
      </c>
      <c r="C1348" s="1">
        <v>16.908262000000001</v>
      </c>
    </row>
    <row r="1349" spans="1:3" x14ac:dyDescent="0.3">
      <c r="A1349" s="1" t="s">
        <v>506</v>
      </c>
      <c r="B1349" t="s">
        <v>349</v>
      </c>
      <c r="C1349" s="1">
        <v>17.201468999999999</v>
      </c>
    </row>
    <row r="1350" spans="1:3" x14ac:dyDescent="0.3">
      <c r="A1350" s="1" t="s">
        <v>506</v>
      </c>
      <c r="B1350" t="s">
        <v>350</v>
      </c>
      <c r="C1350" s="1">
        <v>16.986450000000001</v>
      </c>
    </row>
    <row r="1351" spans="1:3" x14ac:dyDescent="0.3">
      <c r="A1351" s="1" t="s">
        <v>506</v>
      </c>
      <c r="B1351" t="s">
        <v>351</v>
      </c>
      <c r="C1351" s="1">
        <v>17.201468999999999</v>
      </c>
    </row>
    <row r="1352" spans="1:3" x14ac:dyDescent="0.3">
      <c r="A1352" s="1" t="s">
        <v>506</v>
      </c>
      <c r="B1352" t="s">
        <v>352</v>
      </c>
      <c r="C1352" s="1">
        <v>17.514223000000001</v>
      </c>
    </row>
    <row r="1353" spans="1:3" x14ac:dyDescent="0.3">
      <c r="A1353" s="1" t="s">
        <v>506</v>
      </c>
      <c r="B1353" t="s">
        <v>353</v>
      </c>
      <c r="C1353" s="1">
        <v>17.533771999999999</v>
      </c>
    </row>
    <row r="1354" spans="1:3" x14ac:dyDescent="0.3">
      <c r="A1354" s="1" t="s">
        <v>506</v>
      </c>
      <c r="B1354" t="s">
        <v>354</v>
      </c>
      <c r="C1354" s="1">
        <v>17.299206000000002</v>
      </c>
    </row>
    <row r="1355" spans="1:3" x14ac:dyDescent="0.3">
      <c r="A1355" s="1" t="s">
        <v>506</v>
      </c>
      <c r="B1355" t="s">
        <v>355</v>
      </c>
      <c r="C1355" s="1">
        <v>17.279657</v>
      </c>
    </row>
    <row r="1356" spans="1:3" x14ac:dyDescent="0.3">
      <c r="A1356" s="1" t="s">
        <v>506</v>
      </c>
      <c r="B1356" t="s">
        <v>356</v>
      </c>
      <c r="C1356" s="1">
        <v>17.494675000000001</v>
      </c>
    </row>
    <row r="1357" spans="1:3" x14ac:dyDescent="0.3">
      <c r="A1357" s="1" t="s">
        <v>506</v>
      </c>
      <c r="B1357" t="s">
        <v>357</v>
      </c>
      <c r="C1357" s="1">
        <v>17.475128000000002</v>
      </c>
    </row>
    <row r="1358" spans="1:3" x14ac:dyDescent="0.3">
      <c r="A1358" s="1" t="s">
        <v>506</v>
      </c>
      <c r="B1358" t="s">
        <v>358</v>
      </c>
      <c r="C1358" s="1">
        <v>17.748788999999999</v>
      </c>
    </row>
    <row r="1359" spans="1:3" x14ac:dyDescent="0.3">
      <c r="A1359" s="1" t="s">
        <v>506</v>
      </c>
      <c r="B1359" t="s">
        <v>359</v>
      </c>
      <c r="C1359" s="1">
        <v>17.690147</v>
      </c>
    </row>
    <row r="1360" spans="1:3" x14ac:dyDescent="0.3">
      <c r="A1360" s="1" t="s">
        <v>506</v>
      </c>
      <c r="B1360" t="s">
        <v>360</v>
      </c>
      <c r="C1360" s="1">
        <v>17.983355</v>
      </c>
    </row>
    <row r="1361" spans="1:3" x14ac:dyDescent="0.3">
      <c r="A1361" s="1" t="s">
        <v>506</v>
      </c>
      <c r="B1361" t="s">
        <v>361</v>
      </c>
      <c r="C1361" s="1">
        <v>17.572865</v>
      </c>
    </row>
    <row r="1362" spans="1:3" x14ac:dyDescent="0.3">
      <c r="A1362" s="1" t="s">
        <v>506</v>
      </c>
      <c r="B1362" t="s">
        <v>362</v>
      </c>
      <c r="C1362" s="1">
        <v>17.240562000000001</v>
      </c>
    </row>
    <row r="1363" spans="1:3" x14ac:dyDescent="0.3">
      <c r="A1363" s="1" t="s">
        <v>506</v>
      </c>
      <c r="B1363" t="s">
        <v>363</v>
      </c>
      <c r="C1363" s="1">
        <v>17.611958999999999</v>
      </c>
    </row>
    <row r="1364" spans="1:3" x14ac:dyDescent="0.3">
      <c r="A1364" s="1" t="s">
        <v>506</v>
      </c>
      <c r="B1364" t="s">
        <v>364</v>
      </c>
      <c r="C1364" s="1">
        <v>17.494675000000001</v>
      </c>
    </row>
    <row r="1365" spans="1:3" x14ac:dyDescent="0.3">
      <c r="A1365" s="1" t="s">
        <v>506</v>
      </c>
      <c r="B1365" t="s">
        <v>365</v>
      </c>
      <c r="C1365" s="1">
        <v>17.611958999999999</v>
      </c>
    </row>
    <row r="1366" spans="1:3" x14ac:dyDescent="0.3">
      <c r="A1366" s="1" t="s">
        <v>506</v>
      </c>
      <c r="B1366" t="s">
        <v>366</v>
      </c>
      <c r="C1366" s="1">
        <v>17.807428000000002</v>
      </c>
    </row>
    <row r="1367" spans="1:3" x14ac:dyDescent="0.3">
      <c r="A1367" s="1" t="s">
        <v>506</v>
      </c>
      <c r="B1367" t="s">
        <v>367</v>
      </c>
      <c r="C1367" s="1">
        <v>17.709696000000001</v>
      </c>
    </row>
    <row r="1368" spans="1:3" x14ac:dyDescent="0.3">
      <c r="A1368" s="1" t="s">
        <v>506</v>
      </c>
      <c r="B1368" t="s">
        <v>368</v>
      </c>
      <c r="C1368" s="1">
        <v>17.748788999999999</v>
      </c>
    </row>
    <row r="1369" spans="1:3" x14ac:dyDescent="0.3">
      <c r="A1369" s="1" t="s">
        <v>506</v>
      </c>
      <c r="B1369" t="s">
        <v>369</v>
      </c>
      <c r="C1369" s="1">
        <v>17.748788999999999</v>
      </c>
    </row>
    <row r="1370" spans="1:3" x14ac:dyDescent="0.3">
      <c r="A1370" s="1" t="s">
        <v>506</v>
      </c>
      <c r="B1370" t="s">
        <v>370</v>
      </c>
      <c r="C1370" s="1">
        <v>17.690147</v>
      </c>
    </row>
    <row r="1371" spans="1:3" x14ac:dyDescent="0.3">
      <c r="A1371" s="1" t="s">
        <v>506</v>
      </c>
      <c r="B1371" t="s">
        <v>371</v>
      </c>
      <c r="C1371" s="1">
        <v>17.729240000000001</v>
      </c>
    </row>
    <row r="1372" spans="1:3" x14ac:dyDescent="0.3">
      <c r="A1372" s="1" t="s">
        <v>506</v>
      </c>
      <c r="B1372" t="s">
        <v>372</v>
      </c>
      <c r="C1372" s="1">
        <v>17.377393999999999</v>
      </c>
    </row>
    <row r="1373" spans="1:3" x14ac:dyDescent="0.3">
      <c r="A1373" s="1" t="s">
        <v>506</v>
      </c>
      <c r="B1373" t="s">
        <v>373</v>
      </c>
      <c r="C1373" s="1">
        <v>17.709696000000001</v>
      </c>
    </row>
    <row r="1374" spans="1:3" x14ac:dyDescent="0.3">
      <c r="A1374" s="1" t="s">
        <v>506</v>
      </c>
      <c r="B1374" t="s">
        <v>374</v>
      </c>
      <c r="C1374" s="1">
        <v>17.611958999999999</v>
      </c>
    </row>
    <row r="1375" spans="1:3" x14ac:dyDescent="0.3">
      <c r="A1375" s="1" t="s">
        <v>506</v>
      </c>
      <c r="B1375" t="s">
        <v>375</v>
      </c>
      <c r="C1375" s="1">
        <v>17.416487</v>
      </c>
    </row>
    <row r="1376" spans="1:3" x14ac:dyDescent="0.3">
      <c r="A1376" s="1" t="s">
        <v>506</v>
      </c>
      <c r="B1376" t="s">
        <v>376</v>
      </c>
      <c r="C1376" s="1">
        <v>17.338298999999999</v>
      </c>
    </row>
    <row r="1377" spans="1:3" x14ac:dyDescent="0.3">
      <c r="A1377" s="1" t="s">
        <v>506</v>
      </c>
      <c r="B1377" t="s">
        <v>377</v>
      </c>
      <c r="C1377" s="1">
        <v>17.260110999999998</v>
      </c>
    </row>
    <row r="1378" spans="1:3" x14ac:dyDescent="0.3">
      <c r="A1378" s="1" t="s">
        <v>506</v>
      </c>
      <c r="B1378" t="s">
        <v>378</v>
      </c>
      <c r="C1378" s="1">
        <v>17.181920999999999</v>
      </c>
    </row>
    <row r="1379" spans="1:3" x14ac:dyDescent="0.3">
      <c r="A1379" s="1" t="s">
        <v>506</v>
      </c>
      <c r="B1379" t="s">
        <v>379</v>
      </c>
      <c r="C1379" s="1">
        <v>17.494675000000001</v>
      </c>
    </row>
    <row r="1380" spans="1:3" x14ac:dyDescent="0.3">
      <c r="A1380" s="1" t="s">
        <v>506</v>
      </c>
      <c r="B1380" t="s">
        <v>380</v>
      </c>
      <c r="C1380" s="1">
        <v>17.494675000000001</v>
      </c>
    </row>
    <row r="1381" spans="1:3" x14ac:dyDescent="0.3">
      <c r="A1381" s="1" t="s">
        <v>506</v>
      </c>
      <c r="B1381" t="s">
        <v>381</v>
      </c>
      <c r="C1381" s="1">
        <v>17.514223000000001</v>
      </c>
    </row>
    <row r="1382" spans="1:3" x14ac:dyDescent="0.3">
      <c r="A1382" s="1" t="s">
        <v>506</v>
      </c>
      <c r="B1382" t="s">
        <v>382</v>
      </c>
      <c r="C1382" s="1">
        <v>17.494675000000001</v>
      </c>
    </row>
    <row r="1383" spans="1:3" x14ac:dyDescent="0.3">
      <c r="A1383" s="1" t="s">
        <v>506</v>
      </c>
      <c r="B1383" t="s">
        <v>383</v>
      </c>
      <c r="C1383" s="1">
        <v>17.279657</v>
      </c>
    </row>
    <row r="1384" spans="1:3" x14ac:dyDescent="0.3">
      <c r="A1384" s="1" t="s">
        <v>506</v>
      </c>
      <c r="B1384" t="s">
        <v>384</v>
      </c>
      <c r="C1384" s="1">
        <v>17.240562000000001</v>
      </c>
    </row>
    <row r="1385" spans="1:3" x14ac:dyDescent="0.3">
      <c r="A1385" s="1" t="s">
        <v>506</v>
      </c>
      <c r="B1385" t="s">
        <v>385</v>
      </c>
      <c r="C1385" s="1">
        <v>17.299206000000002</v>
      </c>
    </row>
    <row r="1386" spans="1:3" x14ac:dyDescent="0.3">
      <c r="A1386" s="1" t="s">
        <v>506</v>
      </c>
      <c r="B1386" t="s">
        <v>386</v>
      </c>
      <c r="C1386" s="1">
        <v>16.947357</v>
      </c>
    </row>
    <row r="1387" spans="1:3" x14ac:dyDescent="0.3">
      <c r="A1387" s="1" t="s">
        <v>506</v>
      </c>
      <c r="B1387" t="s">
        <v>387</v>
      </c>
      <c r="C1387" s="1">
        <v>17.142828000000002</v>
      </c>
    </row>
    <row r="1388" spans="1:3" x14ac:dyDescent="0.3">
      <c r="A1388" s="1" t="s">
        <v>506</v>
      </c>
      <c r="B1388" t="s">
        <v>388</v>
      </c>
      <c r="C1388" s="1">
        <v>17.142828000000002</v>
      </c>
    </row>
    <row r="1389" spans="1:3" x14ac:dyDescent="0.3">
      <c r="A1389" s="1" t="s">
        <v>506</v>
      </c>
      <c r="B1389" t="s">
        <v>389</v>
      </c>
      <c r="C1389" s="1">
        <v>17.142828000000002</v>
      </c>
    </row>
    <row r="1390" spans="1:3" x14ac:dyDescent="0.3">
      <c r="A1390" s="1" t="s">
        <v>506</v>
      </c>
      <c r="B1390" t="s">
        <v>390</v>
      </c>
      <c r="C1390" s="1">
        <v>17.103732999999998</v>
      </c>
    </row>
    <row r="1391" spans="1:3" x14ac:dyDescent="0.3">
      <c r="A1391" s="1" t="s">
        <v>506</v>
      </c>
      <c r="B1391" t="s">
        <v>391</v>
      </c>
      <c r="C1391" s="1">
        <v>17.201468999999999</v>
      </c>
    </row>
    <row r="1392" spans="1:3" x14ac:dyDescent="0.3">
      <c r="A1392" s="1" t="s">
        <v>506</v>
      </c>
      <c r="B1392" t="s">
        <v>392</v>
      </c>
      <c r="C1392" s="1">
        <v>16.302301</v>
      </c>
    </row>
    <row r="1393" spans="1:3" x14ac:dyDescent="0.3">
      <c r="A1393" s="1" t="s">
        <v>506</v>
      </c>
      <c r="B1393" t="s">
        <v>393</v>
      </c>
      <c r="C1393" s="1">
        <v>15.872265000000001</v>
      </c>
    </row>
    <row r="1394" spans="1:3" x14ac:dyDescent="0.3">
      <c r="A1394" s="1" t="s">
        <v>506</v>
      </c>
      <c r="B1394" t="s">
        <v>394</v>
      </c>
      <c r="C1394" s="1">
        <v>15.97</v>
      </c>
    </row>
    <row r="1395" spans="1:3" x14ac:dyDescent="0.3">
      <c r="A1395" s="1" t="s">
        <v>506</v>
      </c>
      <c r="B1395" t="s">
        <v>395</v>
      </c>
      <c r="C1395" s="1">
        <v>15.618152</v>
      </c>
    </row>
    <row r="1396" spans="1:3" x14ac:dyDescent="0.3">
      <c r="A1396" s="1" t="s">
        <v>506</v>
      </c>
      <c r="B1396" t="s">
        <v>396</v>
      </c>
      <c r="C1396" s="1">
        <v>15.481322</v>
      </c>
    </row>
    <row r="1397" spans="1:3" x14ac:dyDescent="0.3">
      <c r="A1397" s="1" t="s">
        <v>506</v>
      </c>
      <c r="B1397" t="s">
        <v>397</v>
      </c>
      <c r="C1397" s="1">
        <v>15.637699</v>
      </c>
    </row>
    <row r="1398" spans="1:3" x14ac:dyDescent="0.3">
      <c r="A1398" s="1" t="s">
        <v>506</v>
      </c>
      <c r="B1398" t="s">
        <v>398</v>
      </c>
      <c r="C1398" s="1">
        <v>15.520416000000001</v>
      </c>
    </row>
    <row r="1399" spans="1:3" x14ac:dyDescent="0.3">
      <c r="A1399" s="1" t="s">
        <v>506</v>
      </c>
      <c r="B1399" t="s">
        <v>399</v>
      </c>
      <c r="C1399" s="1">
        <v>15.618152</v>
      </c>
    </row>
    <row r="1400" spans="1:3" x14ac:dyDescent="0.3">
      <c r="A1400" s="1" t="s">
        <v>506</v>
      </c>
      <c r="B1400" t="s">
        <v>400</v>
      </c>
      <c r="C1400" s="1">
        <v>15.598604999999999</v>
      </c>
    </row>
    <row r="1401" spans="1:3" x14ac:dyDescent="0.3">
      <c r="A1401" s="1" t="s">
        <v>506</v>
      </c>
      <c r="B1401" t="s">
        <v>401</v>
      </c>
      <c r="C1401" s="1">
        <v>15.637699</v>
      </c>
    </row>
    <row r="1402" spans="1:3" x14ac:dyDescent="0.3">
      <c r="A1402" s="1" t="s">
        <v>506</v>
      </c>
      <c r="B1402" t="s">
        <v>402</v>
      </c>
      <c r="C1402" s="1">
        <v>15.735435000000001</v>
      </c>
    </row>
    <row r="1403" spans="1:3" x14ac:dyDescent="0.3">
      <c r="A1403" s="1" t="s">
        <v>506</v>
      </c>
      <c r="B1403" t="s">
        <v>403</v>
      </c>
      <c r="C1403" s="1">
        <v>15.735435000000001</v>
      </c>
    </row>
    <row r="1404" spans="1:3" x14ac:dyDescent="0.3">
      <c r="A1404" s="1" t="s">
        <v>506</v>
      </c>
      <c r="B1404" t="s">
        <v>404</v>
      </c>
      <c r="C1404" s="1">
        <v>15.657247</v>
      </c>
    </row>
    <row r="1405" spans="1:3" x14ac:dyDescent="0.3">
      <c r="A1405" s="1" t="s">
        <v>506</v>
      </c>
      <c r="B1405" t="s">
        <v>405</v>
      </c>
      <c r="C1405" s="1">
        <v>15.598604999999999</v>
      </c>
    </row>
    <row r="1406" spans="1:3" x14ac:dyDescent="0.3">
      <c r="A1406" s="1" t="s">
        <v>506</v>
      </c>
      <c r="B1406" t="s">
        <v>406</v>
      </c>
      <c r="C1406" s="1">
        <v>15.950453</v>
      </c>
    </row>
    <row r="1407" spans="1:3" x14ac:dyDescent="0.3">
      <c r="A1407" s="1" t="s">
        <v>506</v>
      </c>
      <c r="B1407" t="s">
        <v>407</v>
      </c>
      <c r="C1407" s="1">
        <v>16.028641</v>
      </c>
    </row>
    <row r="1408" spans="1:3" x14ac:dyDescent="0.3">
      <c r="A1408" s="1" t="s">
        <v>506</v>
      </c>
      <c r="B1408" t="s">
        <v>408</v>
      </c>
      <c r="C1408" s="1">
        <v>15.872265000000001</v>
      </c>
    </row>
    <row r="1409" spans="1:3" x14ac:dyDescent="0.3">
      <c r="A1409" s="1" t="s">
        <v>506</v>
      </c>
      <c r="B1409" t="s">
        <v>409</v>
      </c>
      <c r="C1409" s="1">
        <v>16.126377000000002</v>
      </c>
    </row>
    <row r="1410" spans="1:3" x14ac:dyDescent="0.3">
      <c r="A1410" s="1" t="s">
        <v>506</v>
      </c>
      <c r="B1410" t="s">
        <v>410</v>
      </c>
      <c r="C1410" s="1">
        <v>16.282755000000002</v>
      </c>
    </row>
    <row r="1411" spans="1:3" x14ac:dyDescent="0.3">
      <c r="A1411" s="1" t="s">
        <v>506</v>
      </c>
      <c r="B1411" t="s">
        <v>411</v>
      </c>
      <c r="C1411" s="1">
        <v>15.97</v>
      </c>
    </row>
    <row r="1412" spans="1:3" x14ac:dyDescent="0.3">
      <c r="A1412" s="1" t="s">
        <v>506</v>
      </c>
      <c r="B1412" t="s">
        <v>412</v>
      </c>
      <c r="C1412" s="1">
        <v>15.84</v>
      </c>
    </row>
    <row r="1413" spans="1:3" x14ac:dyDescent="0.3">
      <c r="A1413" s="1" t="s">
        <v>506</v>
      </c>
      <c r="B1413" t="s">
        <v>413</v>
      </c>
      <c r="C1413" s="1">
        <v>16.02</v>
      </c>
    </row>
    <row r="1414" spans="1:3" x14ac:dyDescent="0.3">
      <c r="A1414" s="1" t="s">
        <v>506</v>
      </c>
      <c r="B1414" t="s">
        <v>414</v>
      </c>
      <c r="C1414" s="1">
        <v>16.079999999999998</v>
      </c>
    </row>
    <row r="1415" spans="1:3" x14ac:dyDescent="0.3">
      <c r="A1415" s="1" t="s">
        <v>506</v>
      </c>
      <c r="B1415" t="s">
        <v>415</v>
      </c>
      <c r="C1415" s="1">
        <v>16.399999999999999</v>
      </c>
    </row>
    <row r="1416" spans="1:3" x14ac:dyDescent="0.3">
      <c r="A1416" s="1" t="s">
        <v>506</v>
      </c>
      <c r="B1416" t="s">
        <v>416</v>
      </c>
      <c r="C1416" s="1">
        <v>16.559999000000001</v>
      </c>
    </row>
    <row r="1417" spans="1:3" x14ac:dyDescent="0.3">
      <c r="A1417" s="1" t="s">
        <v>506</v>
      </c>
      <c r="B1417" t="s">
        <v>417</v>
      </c>
      <c r="C1417" s="1">
        <v>16.600000000000001</v>
      </c>
    </row>
    <row r="1418" spans="1:3" x14ac:dyDescent="0.3">
      <c r="A1418" s="1" t="s">
        <v>506</v>
      </c>
      <c r="B1418" t="s">
        <v>418</v>
      </c>
      <c r="C1418" s="1">
        <v>16.68</v>
      </c>
    </row>
    <row r="1419" spans="1:3" x14ac:dyDescent="0.3">
      <c r="A1419" s="1" t="s">
        <v>506</v>
      </c>
      <c r="B1419" t="s">
        <v>419</v>
      </c>
      <c r="C1419" s="1">
        <v>16.68</v>
      </c>
    </row>
    <row r="1420" spans="1:3" x14ac:dyDescent="0.3">
      <c r="A1420" s="1" t="s">
        <v>506</v>
      </c>
      <c r="B1420" t="s">
        <v>420</v>
      </c>
      <c r="C1420" s="1">
        <v>16.68</v>
      </c>
    </row>
    <row r="1421" spans="1:3" x14ac:dyDescent="0.3">
      <c r="A1421" s="1" t="s">
        <v>506</v>
      </c>
      <c r="B1421" t="s">
        <v>421</v>
      </c>
      <c r="C1421" s="1">
        <v>16.68</v>
      </c>
    </row>
    <row r="1422" spans="1:3" x14ac:dyDescent="0.3">
      <c r="A1422" s="1" t="s">
        <v>506</v>
      </c>
      <c r="B1422" t="s">
        <v>422</v>
      </c>
      <c r="C1422" s="1">
        <v>16.709999</v>
      </c>
    </row>
    <row r="1423" spans="1:3" x14ac:dyDescent="0.3">
      <c r="A1423" s="1" t="s">
        <v>506</v>
      </c>
      <c r="B1423" t="s">
        <v>423</v>
      </c>
      <c r="C1423" s="1">
        <v>16.920000000000002</v>
      </c>
    </row>
    <row r="1424" spans="1:3" x14ac:dyDescent="0.3">
      <c r="A1424" s="1" t="s">
        <v>506</v>
      </c>
      <c r="B1424" t="s">
        <v>424</v>
      </c>
      <c r="C1424" s="1">
        <v>17.27</v>
      </c>
    </row>
    <row r="1425" spans="1:3" x14ac:dyDescent="0.3">
      <c r="A1425" s="1" t="s">
        <v>506</v>
      </c>
      <c r="B1425" t="s">
        <v>425</v>
      </c>
      <c r="C1425" s="1">
        <v>17.260000000000002</v>
      </c>
    </row>
    <row r="1426" spans="1:3" x14ac:dyDescent="0.3">
      <c r="A1426" s="1" t="s">
        <v>506</v>
      </c>
      <c r="B1426" t="s">
        <v>426</v>
      </c>
      <c r="C1426" s="1">
        <v>17.209999</v>
      </c>
    </row>
    <row r="1427" spans="1:3" x14ac:dyDescent="0.3">
      <c r="A1427" s="1" t="s">
        <v>506</v>
      </c>
      <c r="B1427" t="s">
        <v>427</v>
      </c>
      <c r="C1427" s="1">
        <v>17.290001</v>
      </c>
    </row>
    <row r="1428" spans="1:3" x14ac:dyDescent="0.3">
      <c r="A1428" s="1" t="s">
        <v>506</v>
      </c>
      <c r="B1428" t="s">
        <v>428</v>
      </c>
      <c r="C1428" s="1">
        <v>17.360001</v>
      </c>
    </row>
    <row r="1429" spans="1:3" x14ac:dyDescent="0.3">
      <c r="A1429" s="1" t="s">
        <v>506</v>
      </c>
      <c r="B1429" t="s">
        <v>429</v>
      </c>
      <c r="C1429" s="1">
        <v>17.34</v>
      </c>
    </row>
    <row r="1430" spans="1:3" x14ac:dyDescent="0.3">
      <c r="A1430" s="1" t="s">
        <v>506</v>
      </c>
      <c r="B1430" t="s">
        <v>430</v>
      </c>
      <c r="C1430" s="1">
        <v>17.489999999999998</v>
      </c>
    </row>
    <row r="1431" spans="1:3" x14ac:dyDescent="0.3">
      <c r="A1431" s="1" t="s">
        <v>506</v>
      </c>
      <c r="B1431" t="s">
        <v>431</v>
      </c>
      <c r="C1431" s="1">
        <v>17.68</v>
      </c>
    </row>
    <row r="1432" spans="1:3" x14ac:dyDescent="0.3">
      <c r="A1432" s="1" t="s">
        <v>506</v>
      </c>
      <c r="B1432" t="s">
        <v>432</v>
      </c>
      <c r="C1432" s="1">
        <v>17.82</v>
      </c>
    </row>
    <row r="1433" spans="1:3" x14ac:dyDescent="0.3">
      <c r="A1433" s="1" t="s">
        <v>506</v>
      </c>
      <c r="B1433" t="s">
        <v>433</v>
      </c>
      <c r="C1433" s="1">
        <v>17.899999999999999</v>
      </c>
    </row>
    <row r="1434" spans="1:3" x14ac:dyDescent="0.3">
      <c r="A1434" s="1" t="s">
        <v>506</v>
      </c>
      <c r="B1434" t="s">
        <v>434</v>
      </c>
      <c r="C1434" s="1">
        <v>17.799999</v>
      </c>
    </row>
    <row r="1435" spans="1:3" x14ac:dyDescent="0.3">
      <c r="A1435" s="1" t="s">
        <v>506</v>
      </c>
      <c r="B1435" t="s">
        <v>435</v>
      </c>
      <c r="C1435" s="1">
        <v>17.959999</v>
      </c>
    </row>
    <row r="1436" spans="1:3" x14ac:dyDescent="0.3">
      <c r="A1436" s="1" t="s">
        <v>506</v>
      </c>
      <c r="B1436" t="s">
        <v>436</v>
      </c>
      <c r="C1436" s="1">
        <v>17.870000999999998</v>
      </c>
    </row>
    <row r="1437" spans="1:3" x14ac:dyDescent="0.3">
      <c r="A1437" s="1" t="s">
        <v>506</v>
      </c>
      <c r="B1437" t="s">
        <v>437</v>
      </c>
      <c r="C1437" s="1">
        <v>17.879999000000002</v>
      </c>
    </row>
    <row r="1438" spans="1:3" x14ac:dyDescent="0.3">
      <c r="A1438" s="1" t="s">
        <v>506</v>
      </c>
      <c r="B1438" t="s">
        <v>438</v>
      </c>
      <c r="C1438" s="1">
        <v>17.860001</v>
      </c>
    </row>
    <row r="1439" spans="1:3" x14ac:dyDescent="0.3">
      <c r="A1439" s="1" t="s">
        <v>506</v>
      </c>
      <c r="B1439" t="s">
        <v>439</v>
      </c>
      <c r="C1439" s="1">
        <v>17.91</v>
      </c>
    </row>
    <row r="1440" spans="1:3" x14ac:dyDescent="0.3">
      <c r="A1440" s="1" t="s">
        <v>506</v>
      </c>
      <c r="B1440" t="s">
        <v>440</v>
      </c>
      <c r="C1440" s="1">
        <v>17.989999999999998</v>
      </c>
    </row>
    <row r="1441" spans="1:3" x14ac:dyDescent="0.3">
      <c r="A1441" s="1" t="s">
        <v>506</v>
      </c>
      <c r="B1441" t="s">
        <v>441</v>
      </c>
      <c r="C1441" s="1">
        <v>18.030000999999999</v>
      </c>
    </row>
    <row r="1442" spans="1:3" x14ac:dyDescent="0.3">
      <c r="A1442" s="1" t="s">
        <v>506</v>
      </c>
      <c r="B1442" t="s">
        <v>442</v>
      </c>
      <c r="C1442" s="1">
        <v>17.969999000000001</v>
      </c>
    </row>
    <row r="1443" spans="1:3" x14ac:dyDescent="0.3">
      <c r="A1443" s="1" t="s">
        <v>506</v>
      </c>
      <c r="B1443" t="s">
        <v>443</v>
      </c>
      <c r="C1443" s="1">
        <v>17.93</v>
      </c>
    </row>
    <row r="1444" spans="1:3" x14ac:dyDescent="0.3">
      <c r="A1444" s="1" t="s">
        <v>506</v>
      </c>
      <c r="B1444" t="s">
        <v>444</v>
      </c>
      <c r="C1444" s="1">
        <v>17.82</v>
      </c>
    </row>
    <row r="1445" spans="1:3" x14ac:dyDescent="0.3">
      <c r="A1445" s="1" t="s">
        <v>506</v>
      </c>
      <c r="B1445" t="s">
        <v>445</v>
      </c>
      <c r="C1445" s="1">
        <v>17.899999999999999</v>
      </c>
    </row>
    <row r="1446" spans="1:3" x14ac:dyDescent="0.3">
      <c r="A1446" s="1" t="s">
        <v>506</v>
      </c>
      <c r="B1446" t="s">
        <v>446</v>
      </c>
      <c r="C1446" s="1">
        <v>17.93</v>
      </c>
    </row>
    <row r="1447" spans="1:3" x14ac:dyDescent="0.3">
      <c r="A1447" s="1" t="s">
        <v>506</v>
      </c>
      <c r="B1447" t="s">
        <v>447</v>
      </c>
      <c r="C1447" s="1">
        <v>17.969999000000001</v>
      </c>
    </row>
    <row r="1448" spans="1:3" x14ac:dyDescent="0.3">
      <c r="A1448" s="1" t="s">
        <v>506</v>
      </c>
      <c r="B1448" t="s">
        <v>448</v>
      </c>
      <c r="C1448" s="1">
        <v>17.82</v>
      </c>
    </row>
    <row r="1449" spans="1:3" x14ac:dyDescent="0.3">
      <c r="A1449" s="1" t="s">
        <v>506</v>
      </c>
      <c r="B1449" t="s">
        <v>449</v>
      </c>
      <c r="C1449" s="1">
        <v>17.780000999999999</v>
      </c>
    </row>
    <row r="1450" spans="1:3" x14ac:dyDescent="0.3">
      <c r="A1450" s="1" t="s">
        <v>506</v>
      </c>
      <c r="B1450" t="s">
        <v>450</v>
      </c>
      <c r="C1450" s="1">
        <v>17.850000000000001</v>
      </c>
    </row>
    <row r="1451" spans="1:3" x14ac:dyDescent="0.3">
      <c r="A1451" s="1" t="s">
        <v>506</v>
      </c>
      <c r="B1451" t="s">
        <v>451</v>
      </c>
      <c r="C1451" s="1">
        <v>17.879999000000002</v>
      </c>
    </row>
    <row r="1452" spans="1:3" x14ac:dyDescent="0.3">
      <c r="A1452" s="1" t="s">
        <v>506</v>
      </c>
      <c r="B1452" t="s">
        <v>452</v>
      </c>
      <c r="C1452" s="1">
        <v>18.329999999999998</v>
      </c>
    </row>
    <row r="1453" spans="1:3" x14ac:dyDescent="0.3">
      <c r="A1453" s="1" t="s">
        <v>506</v>
      </c>
      <c r="B1453" t="s">
        <v>453</v>
      </c>
      <c r="C1453" s="1">
        <v>18.23</v>
      </c>
    </row>
    <row r="1454" spans="1:3" x14ac:dyDescent="0.3">
      <c r="A1454" s="1" t="s">
        <v>506</v>
      </c>
      <c r="B1454" t="s">
        <v>454</v>
      </c>
      <c r="C1454" s="1">
        <v>18.350000000000001</v>
      </c>
    </row>
    <row r="1455" spans="1:3" x14ac:dyDescent="0.3">
      <c r="A1455" s="1" t="s">
        <v>506</v>
      </c>
      <c r="B1455" t="s">
        <v>455</v>
      </c>
      <c r="C1455" s="1">
        <v>18.440000999999999</v>
      </c>
    </row>
    <row r="1456" spans="1:3" x14ac:dyDescent="0.3">
      <c r="A1456" s="1" t="s">
        <v>506</v>
      </c>
      <c r="B1456" t="s">
        <v>456</v>
      </c>
      <c r="C1456" s="1">
        <v>18.440000999999999</v>
      </c>
    </row>
    <row r="1457" spans="1:3" x14ac:dyDescent="0.3">
      <c r="A1457" s="1" t="s">
        <v>506</v>
      </c>
      <c r="B1457" t="s">
        <v>457</v>
      </c>
      <c r="C1457" s="1">
        <v>18.809999000000001</v>
      </c>
    </row>
    <row r="1458" spans="1:3" x14ac:dyDescent="0.3">
      <c r="A1458" s="1" t="s">
        <v>506</v>
      </c>
      <c r="B1458" t="s">
        <v>458</v>
      </c>
      <c r="C1458" s="1">
        <v>18.799999</v>
      </c>
    </row>
    <row r="1459" spans="1:3" x14ac:dyDescent="0.3">
      <c r="A1459" s="1" t="s">
        <v>506</v>
      </c>
      <c r="B1459" t="s">
        <v>459</v>
      </c>
      <c r="C1459" s="1">
        <v>18.760000000000002</v>
      </c>
    </row>
    <row r="1460" spans="1:3" x14ac:dyDescent="0.3">
      <c r="A1460" s="1" t="s">
        <v>506</v>
      </c>
      <c r="B1460" t="s">
        <v>460</v>
      </c>
      <c r="C1460" s="1">
        <v>18.790001</v>
      </c>
    </row>
    <row r="1461" spans="1:3" x14ac:dyDescent="0.3">
      <c r="A1461" s="1" t="s">
        <v>506</v>
      </c>
      <c r="B1461" t="s">
        <v>461</v>
      </c>
      <c r="C1461" s="1">
        <v>18.73</v>
      </c>
    </row>
    <row r="1462" spans="1:3" x14ac:dyDescent="0.3">
      <c r="A1462" s="1" t="s">
        <v>506</v>
      </c>
      <c r="B1462" t="s">
        <v>462</v>
      </c>
      <c r="C1462" s="1">
        <v>18.879999000000002</v>
      </c>
    </row>
    <row r="1463" spans="1:3" x14ac:dyDescent="0.3">
      <c r="A1463" s="1" t="s">
        <v>506</v>
      </c>
      <c r="B1463" t="s">
        <v>463</v>
      </c>
      <c r="C1463" s="1">
        <v>18.93</v>
      </c>
    </row>
    <row r="1464" spans="1:3" x14ac:dyDescent="0.3">
      <c r="A1464" s="1" t="s">
        <v>506</v>
      </c>
      <c r="B1464" t="s">
        <v>464</v>
      </c>
      <c r="C1464" s="1">
        <v>18.780000999999999</v>
      </c>
    </row>
    <row r="1465" spans="1:3" x14ac:dyDescent="0.3">
      <c r="A1465" s="1" t="s">
        <v>506</v>
      </c>
      <c r="B1465" t="s">
        <v>465</v>
      </c>
      <c r="C1465" s="1">
        <v>18.989999999999998</v>
      </c>
    </row>
    <row r="1466" spans="1:3" x14ac:dyDescent="0.3">
      <c r="A1466" s="1" t="s">
        <v>506</v>
      </c>
      <c r="B1466" t="s">
        <v>466</v>
      </c>
      <c r="C1466" s="1">
        <v>19.110001</v>
      </c>
    </row>
    <row r="1467" spans="1:3" x14ac:dyDescent="0.3">
      <c r="A1467" s="1" t="s">
        <v>506</v>
      </c>
      <c r="B1467" t="s">
        <v>467</v>
      </c>
      <c r="C1467" s="1">
        <v>19.149999999999999</v>
      </c>
    </row>
    <row r="1468" spans="1:3" x14ac:dyDescent="0.3">
      <c r="A1468" s="1" t="s">
        <v>506</v>
      </c>
      <c r="B1468" t="s">
        <v>468</v>
      </c>
      <c r="C1468" s="1">
        <v>19.43</v>
      </c>
    </row>
    <row r="1469" spans="1:3" x14ac:dyDescent="0.3">
      <c r="A1469" s="1" t="s">
        <v>506</v>
      </c>
      <c r="B1469" t="s">
        <v>469</v>
      </c>
      <c r="C1469" s="1">
        <v>19.25</v>
      </c>
    </row>
    <row r="1470" spans="1:3" x14ac:dyDescent="0.3">
      <c r="A1470" s="1" t="s">
        <v>506</v>
      </c>
      <c r="B1470" t="s">
        <v>470</v>
      </c>
      <c r="C1470" s="1">
        <v>19.219999000000001</v>
      </c>
    </row>
    <row r="1471" spans="1:3" x14ac:dyDescent="0.3">
      <c r="A1471" s="1" t="s">
        <v>506</v>
      </c>
      <c r="B1471" t="s">
        <v>471</v>
      </c>
      <c r="C1471" s="1">
        <v>19.440000999999999</v>
      </c>
    </row>
    <row r="1472" spans="1:3" x14ac:dyDescent="0.3">
      <c r="A1472" s="1" t="s">
        <v>506</v>
      </c>
      <c r="B1472" t="s">
        <v>472</v>
      </c>
      <c r="C1472" s="1">
        <v>19.670000000000002</v>
      </c>
    </row>
    <row r="1473" spans="1:3" x14ac:dyDescent="0.3">
      <c r="A1473" s="1" t="s">
        <v>506</v>
      </c>
      <c r="B1473" t="s">
        <v>473</v>
      </c>
      <c r="C1473" s="1">
        <v>19.510000000000002</v>
      </c>
    </row>
    <row r="1474" spans="1:3" x14ac:dyDescent="0.3">
      <c r="A1474" s="1" t="s">
        <v>506</v>
      </c>
      <c r="B1474" t="s">
        <v>474</v>
      </c>
      <c r="C1474" s="1">
        <v>19.079999999999998</v>
      </c>
    </row>
    <row r="1475" spans="1:3" x14ac:dyDescent="0.3">
      <c r="A1475" s="1" t="s">
        <v>506</v>
      </c>
      <c r="B1475" t="s">
        <v>475</v>
      </c>
      <c r="C1475" s="1">
        <v>19.239999999999998</v>
      </c>
    </row>
    <row r="1476" spans="1:3" x14ac:dyDescent="0.3">
      <c r="A1476" s="1" t="s">
        <v>506</v>
      </c>
      <c r="B1476" t="s">
        <v>476</v>
      </c>
      <c r="C1476" s="1">
        <v>19.190000999999999</v>
      </c>
    </row>
    <row r="1477" spans="1:3" x14ac:dyDescent="0.3">
      <c r="A1477" s="1" t="s">
        <v>506</v>
      </c>
      <c r="B1477" t="s">
        <v>477</v>
      </c>
      <c r="C1477" s="1">
        <v>19.32</v>
      </c>
    </row>
    <row r="1478" spans="1:3" x14ac:dyDescent="0.3">
      <c r="A1478" s="1" t="s">
        <v>506</v>
      </c>
      <c r="B1478" t="s">
        <v>478</v>
      </c>
      <c r="C1478" s="1">
        <v>19.18</v>
      </c>
    </row>
    <row r="1479" spans="1:3" x14ac:dyDescent="0.3">
      <c r="A1479" s="1" t="s">
        <v>506</v>
      </c>
      <c r="B1479" t="s">
        <v>479</v>
      </c>
      <c r="C1479" s="1">
        <v>19.280000999999999</v>
      </c>
    </row>
    <row r="1480" spans="1:3" x14ac:dyDescent="0.3">
      <c r="A1480" s="1" t="s">
        <v>506</v>
      </c>
      <c r="B1480" t="s">
        <v>480</v>
      </c>
      <c r="C1480" s="1">
        <v>19.459999</v>
      </c>
    </row>
    <row r="1481" spans="1:3" x14ac:dyDescent="0.3">
      <c r="A1481" s="1" t="s">
        <v>506</v>
      </c>
      <c r="B1481" t="s">
        <v>481</v>
      </c>
      <c r="C1481" s="1">
        <v>19.399999999999999</v>
      </c>
    </row>
    <row r="1482" spans="1:3" x14ac:dyDescent="0.3">
      <c r="A1482" s="1" t="s">
        <v>506</v>
      </c>
      <c r="B1482" t="s">
        <v>482</v>
      </c>
      <c r="C1482" s="1">
        <v>19.27</v>
      </c>
    </row>
    <row r="1483" spans="1:3" x14ac:dyDescent="0.3">
      <c r="A1483" s="1" t="s">
        <v>506</v>
      </c>
      <c r="B1483" t="s">
        <v>483</v>
      </c>
      <c r="C1483" s="1">
        <v>19.34</v>
      </c>
    </row>
    <row r="1484" spans="1:3" x14ac:dyDescent="0.3">
      <c r="A1484" s="1" t="s">
        <v>506</v>
      </c>
      <c r="B1484" t="s">
        <v>484</v>
      </c>
      <c r="C1484" s="1">
        <v>19.600000000000001</v>
      </c>
    </row>
    <row r="1485" spans="1:3" x14ac:dyDescent="0.3">
      <c r="A1485" s="1" t="s">
        <v>506</v>
      </c>
      <c r="B1485" t="s">
        <v>485</v>
      </c>
      <c r="C1485" s="1">
        <v>19.649999999999999</v>
      </c>
    </row>
    <row r="1486" spans="1:3" x14ac:dyDescent="0.3">
      <c r="A1486" s="1" t="s">
        <v>506</v>
      </c>
      <c r="B1486" t="s">
        <v>486</v>
      </c>
      <c r="C1486" s="1">
        <v>20.16</v>
      </c>
    </row>
    <row r="1487" spans="1:3" x14ac:dyDescent="0.3">
      <c r="A1487" s="1" t="s">
        <v>506</v>
      </c>
      <c r="B1487" t="s">
        <v>487</v>
      </c>
      <c r="C1487" s="1">
        <v>20.219999000000001</v>
      </c>
    </row>
    <row r="1488" spans="1:3" x14ac:dyDescent="0.3">
      <c r="A1488" s="1" t="s">
        <v>506</v>
      </c>
      <c r="B1488" t="s">
        <v>488</v>
      </c>
      <c r="C1488" s="1">
        <v>20.200001</v>
      </c>
    </row>
    <row r="1489" spans="1:3" x14ac:dyDescent="0.3">
      <c r="A1489" s="1" t="s">
        <v>506</v>
      </c>
      <c r="B1489" t="s">
        <v>489</v>
      </c>
      <c r="C1489" s="1">
        <v>20.540001</v>
      </c>
    </row>
    <row r="1490" spans="1:3" x14ac:dyDescent="0.3">
      <c r="A1490" s="1" t="s">
        <v>506</v>
      </c>
      <c r="B1490" t="s">
        <v>490</v>
      </c>
      <c r="C1490" s="1">
        <v>20.92</v>
      </c>
    </row>
    <row r="1491" spans="1:3" x14ac:dyDescent="0.3">
      <c r="A1491" s="1" t="s">
        <v>506</v>
      </c>
      <c r="B1491" t="s">
        <v>491</v>
      </c>
      <c r="C1491" s="1">
        <v>20.66</v>
      </c>
    </row>
    <row r="1492" spans="1:3" x14ac:dyDescent="0.3">
      <c r="A1492" s="1" t="s">
        <v>506</v>
      </c>
      <c r="B1492" t="s">
        <v>492</v>
      </c>
      <c r="C1492" s="1">
        <v>20.66</v>
      </c>
    </row>
    <row r="1493" spans="1:3" x14ac:dyDescent="0.3">
      <c r="A1493" s="1" t="s">
        <v>506</v>
      </c>
      <c r="B1493" t="s">
        <v>493</v>
      </c>
      <c r="C1493" s="1">
        <v>20.540001</v>
      </c>
    </row>
    <row r="1494" spans="1:3" x14ac:dyDescent="0.3">
      <c r="A1494" s="1" t="s">
        <v>506</v>
      </c>
      <c r="B1494" t="s">
        <v>494</v>
      </c>
      <c r="C1494" s="1">
        <v>20.82</v>
      </c>
    </row>
    <row r="1495" spans="1:3" x14ac:dyDescent="0.3">
      <c r="A1495" s="1" t="s">
        <v>506</v>
      </c>
      <c r="B1495" t="s">
        <v>495</v>
      </c>
      <c r="C1495" s="1">
        <v>20.6</v>
      </c>
    </row>
    <row r="1496" spans="1:3" x14ac:dyDescent="0.3">
      <c r="A1496" s="1" t="s">
        <v>506</v>
      </c>
      <c r="B1496" t="s">
        <v>496</v>
      </c>
      <c r="C1496" s="1">
        <v>20.700001</v>
      </c>
    </row>
    <row r="1497" spans="1:3" x14ac:dyDescent="0.3">
      <c r="A1497" s="1" t="s">
        <v>506</v>
      </c>
      <c r="B1497" t="s">
        <v>497</v>
      </c>
      <c r="C1497" s="1">
        <v>20.82</v>
      </c>
    </row>
    <row r="1498" spans="1:3" x14ac:dyDescent="0.3">
      <c r="A1498" s="1" t="s">
        <v>506</v>
      </c>
      <c r="B1498" t="s">
        <v>498</v>
      </c>
      <c r="C1498" s="1">
        <v>20.68</v>
      </c>
    </row>
    <row r="1499" spans="1:3" x14ac:dyDescent="0.3">
      <c r="A1499" s="1" t="s">
        <v>506</v>
      </c>
      <c r="B1499" t="s">
        <v>499</v>
      </c>
      <c r="C1499" s="1">
        <v>20.98</v>
      </c>
    </row>
    <row r="1500" spans="1:3" x14ac:dyDescent="0.3">
      <c r="A1500" s="1" t="s">
        <v>506</v>
      </c>
      <c r="B1500" t="s">
        <v>500</v>
      </c>
      <c r="C1500" s="1">
        <v>20.639999</v>
      </c>
    </row>
    <row r="1501" spans="1:3" x14ac:dyDescent="0.3">
      <c r="A1501" s="1" t="s">
        <v>506</v>
      </c>
      <c r="B1501" t="s">
        <v>501</v>
      </c>
      <c r="C1501" s="1">
        <v>20.700001</v>
      </c>
    </row>
    <row r="1502" spans="1:3" x14ac:dyDescent="0.3">
      <c r="A1502" s="1" t="s">
        <v>506</v>
      </c>
      <c r="B1502" t="s">
        <v>502</v>
      </c>
      <c r="C1502" s="1">
        <v>20.66</v>
      </c>
    </row>
    <row r="1503" spans="1:3" x14ac:dyDescent="0.3">
      <c r="A1503" s="1" t="s">
        <v>506</v>
      </c>
      <c r="B1503" t="s">
        <v>503</v>
      </c>
      <c r="C1503" s="1">
        <v>20.5</v>
      </c>
    </row>
    <row r="1504" spans="1:3" x14ac:dyDescent="0.3">
      <c r="A1504" s="1" t="s">
        <v>506</v>
      </c>
      <c r="B1504" t="s">
        <v>504</v>
      </c>
      <c r="C1504" s="1">
        <v>20.76</v>
      </c>
    </row>
    <row r="1505" spans="1:3" x14ac:dyDescent="0.3">
      <c r="A1505" s="1" t="s">
        <v>507</v>
      </c>
      <c r="B1505" t="s">
        <v>4</v>
      </c>
      <c r="C1505" s="1">
        <v>24.382850999999999</v>
      </c>
    </row>
    <row r="1506" spans="1:3" x14ac:dyDescent="0.3">
      <c r="A1506" s="1" t="s">
        <v>507</v>
      </c>
      <c r="B1506" t="s">
        <v>5</v>
      </c>
      <c r="C1506" s="1">
        <v>24.075806</v>
      </c>
    </row>
    <row r="1507" spans="1:3" x14ac:dyDescent="0.3">
      <c r="A1507" s="1" t="s">
        <v>507</v>
      </c>
      <c r="B1507" t="s">
        <v>6</v>
      </c>
      <c r="C1507" s="1">
        <v>23.615241999999999</v>
      </c>
    </row>
    <row r="1508" spans="1:3" x14ac:dyDescent="0.3">
      <c r="A1508" s="1" t="s">
        <v>507</v>
      </c>
      <c r="B1508" t="s">
        <v>7</v>
      </c>
      <c r="C1508" s="1">
        <v>23.506875999999998</v>
      </c>
    </row>
    <row r="1509" spans="1:3" x14ac:dyDescent="0.3">
      <c r="A1509" s="1" t="s">
        <v>507</v>
      </c>
      <c r="B1509" t="s">
        <v>8</v>
      </c>
      <c r="C1509" s="1">
        <v>23.190802000000001</v>
      </c>
    </row>
    <row r="1510" spans="1:3" x14ac:dyDescent="0.3">
      <c r="A1510" s="1" t="s">
        <v>507</v>
      </c>
      <c r="B1510" t="s">
        <v>9</v>
      </c>
      <c r="C1510" s="1">
        <v>23.515906999999999</v>
      </c>
    </row>
    <row r="1511" spans="1:3" x14ac:dyDescent="0.3">
      <c r="A1511" s="1" t="s">
        <v>507</v>
      </c>
      <c r="B1511" t="s">
        <v>10</v>
      </c>
      <c r="C1511" s="1">
        <v>23.281106999999999</v>
      </c>
    </row>
    <row r="1512" spans="1:3" x14ac:dyDescent="0.3">
      <c r="A1512" s="1" t="s">
        <v>507</v>
      </c>
      <c r="B1512" t="s">
        <v>11</v>
      </c>
      <c r="C1512" s="1">
        <v>23.100494000000001</v>
      </c>
    </row>
    <row r="1513" spans="1:3" x14ac:dyDescent="0.3">
      <c r="A1513" s="1" t="s">
        <v>507</v>
      </c>
      <c r="B1513" t="s">
        <v>12</v>
      </c>
      <c r="C1513" s="1">
        <v>23.434629000000001</v>
      </c>
    </row>
    <row r="1514" spans="1:3" x14ac:dyDescent="0.3">
      <c r="A1514" s="1" t="s">
        <v>507</v>
      </c>
      <c r="B1514" t="s">
        <v>13</v>
      </c>
      <c r="C1514" s="1">
        <v>22.946971999999999</v>
      </c>
    </row>
    <row r="1515" spans="1:3" x14ac:dyDescent="0.3">
      <c r="A1515" s="1" t="s">
        <v>507</v>
      </c>
      <c r="B1515" t="s">
        <v>14</v>
      </c>
      <c r="C1515" s="1">
        <v>23.064373</v>
      </c>
    </row>
    <row r="1516" spans="1:3" x14ac:dyDescent="0.3">
      <c r="A1516" s="1" t="s">
        <v>507</v>
      </c>
      <c r="B1516" t="s">
        <v>15</v>
      </c>
      <c r="C1516" s="1">
        <v>23.506875999999998</v>
      </c>
    </row>
    <row r="1517" spans="1:3" x14ac:dyDescent="0.3">
      <c r="A1517" s="1" t="s">
        <v>507</v>
      </c>
      <c r="B1517" t="s">
        <v>16</v>
      </c>
      <c r="C1517" s="1">
        <v>23.768764000000001</v>
      </c>
    </row>
    <row r="1518" spans="1:3" x14ac:dyDescent="0.3">
      <c r="A1518" s="1" t="s">
        <v>507</v>
      </c>
      <c r="B1518" t="s">
        <v>17</v>
      </c>
      <c r="C1518" s="1">
        <v>23.272078</v>
      </c>
    </row>
    <row r="1519" spans="1:3" x14ac:dyDescent="0.3">
      <c r="A1519" s="1" t="s">
        <v>507</v>
      </c>
      <c r="B1519" t="s">
        <v>18</v>
      </c>
      <c r="C1519" s="1">
        <v>23.895192999999999</v>
      </c>
    </row>
    <row r="1520" spans="1:3" x14ac:dyDescent="0.3">
      <c r="A1520" s="1" t="s">
        <v>507</v>
      </c>
      <c r="B1520" t="s">
        <v>19</v>
      </c>
      <c r="C1520" s="1">
        <v>24.021623999999999</v>
      </c>
    </row>
    <row r="1521" spans="1:3" x14ac:dyDescent="0.3">
      <c r="A1521" s="1" t="s">
        <v>507</v>
      </c>
      <c r="B1521" t="s">
        <v>20</v>
      </c>
      <c r="C1521" s="1">
        <v>23.579122999999999</v>
      </c>
    </row>
    <row r="1522" spans="1:3" x14ac:dyDescent="0.3">
      <c r="A1522" s="1" t="s">
        <v>507</v>
      </c>
      <c r="B1522" t="s">
        <v>21</v>
      </c>
      <c r="C1522" s="1">
        <v>23.443659</v>
      </c>
    </row>
    <row r="1523" spans="1:3" x14ac:dyDescent="0.3">
      <c r="A1523" s="1" t="s">
        <v>507</v>
      </c>
      <c r="B1523" t="s">
        <v>22</v>
      </c>
      <c r="C1523" s="1">
        <v>23.443659</v>
      </c>
    </row>
    <row r="1524" spans="1:3" x14ac:dyDescent="0.3">
      <c r="A1524" s="1" t="s">
        <v>507</v>
      </c>
      <c r="B1524" t="s">
        <v>23</v>
      </c>
      <c r="C1524" s="1">
        <v>23.055342</v>
      </c>
    </row>
    <row r="1525" spans="1:3" x14ac:dyDescent="0.3">
      <c r="A1525" s="1" t="s">
        <v>507</v>
      </c>
      <c r="B1525" t="s">
        <v>24</v>
      </c>
      <c r="C1525" s="1">
        <v>23.660397</v>
      </c>
    </row>
    <row r="1526" spans="1:3" x14ac:dyDescent="0.3">
      <c r="A1526" s="1" t="s">
        <v>507</v>
      </c>
      <c r="B1526" t="s">
        <v>25</v>
      </c>
      <c r="C1526" s="1">
        <v>24.409942999999998</v>
      </c>
    </row>
    <row r="1527" spans="1:3" x14ac:dyDescent="0.3">
      <c r="A1527" s="1" t="s">
        <v>507</v>
      </c>
      <c r="B1527" t="s">
        <v>26</v>
      </c>
      <c r="C1527" s="1">
        <v>24.680864</v>
      </c>
    </row>
    <row r="1528" spans="1:3" x14ac:dyDescent="0.3">
      <c r="A1528" s="1" t="s">
        <v>507</v>
      </c>
      <c r="B1528" t="s">
        <v>27</v>
      </c>
      <c r="C1528" s="1">
        <v>24.355758999999999</v>
      </c>
    </row>
    <row r="1529" spans="1:3" x14ac:dyDescent="0.3">
      <c r="A1529" s="1" t="s">
        <v>507</v>
      </c>
      <c r="B1529" t="s">
        <v>28</v>
      </c>
      <c r="C1529" s="1">
        <v>24.744076</v>
      </c>
    </row>
    <row r="1530" spans="1:3" x14ac:dyDescent="0.3">
      <c r="A1530" s="1" t="s">
        <v>507</v>
      </c>
      <c r="B1530" t="s">
        <v>29</v>
      </c>
      <c r="C1530" s="1">
        <v>25.674237999999999</v>
      </c>
    </row>
    <row r="1531" spans="1:3" x14ac:dyDescent="0.3">
      <c r="A1531" s="1" t="s">
        <v>507</v>
      </c>
      <c r="B1531" t="s">
        <v>30</v>
      </c>
      <c r="C1531" s="1">
        <v>25.746485</v>
      </c>
    </row>
    <row r="1532" spans="1:3" x14ac:dyDescent="0.3">
      <c r="A1532" s="1" t="s">
        <v>507</v>
      </c>
      <c r="B1532" t="s">
        <v>31</v>
      </c>
      <c r="C1532" s="1">
        <v>26.676645000000001</v>
      </c>
    </row>
    <row r="1533" spans="1:3" x14ac:dyDescent="0.3">
      <c r="A1533" s="1" t="s">
        <v>507</v>
      </c>
      <c r="B1533" t="s">
        <v>32</v>
      </c>
      <c r="C1533" s="1">
        <v>26.757919000000001</v>
      </c>
    </row>
    <row r="1534" spans="1:3" x14ac:dyDescent="0.3">
      <c r="A1534" s="1" t="s">
        <v>507</v>
      </c>
      <c r="B1534" t="s">
        <v>33</v>
      </c>
      <c r="C1534" s="1">
        <v>26.748889999999999</v>
      </c>
    </row>
    <row r="1535" spans="1:3" x14ac:dyDescent="0.3">
      <c r="A1535" s="1" t="s">
        <v>507</v>
      </c>
      <c r="B1535" t="s">
        <v>34</v>
      </c>
      <c r="C1535" s="1">
        <v>27.886755000000001</v>
      </c>
    </row>
    <row r="1536" spans="1:3" x14ac:dyDescent="0.3">
      <c r="A1536" s="1" t="s">
        <v>507</v>
      </c>
      <c r="B1536" t="s">
        <v>35</v>
      </c>
      <c r="C1536" s="1">
        <v>28.076401000000001</v>
      </c>
    </row>
    <row r="1537" spans="1:3" x14ac:dyDescent="0.3">
      <c r="A1537" s="1" t="s">
        <v>507</v>
      </c>
      <c r="B1537" t="s">
        <v>36</v>
      </c>
      <c r="C1537" s="1">
        <v>28.428598000000001</v>
      </c>
    </row>
    <row r="1538" spans="1:3" x14ac:dyDescent="0.3">
      <c r="A1538" s="1" t="s">
        <v>507</v>
      </c>
      <c r="B1538" t="s">
        <v>37</v>
      </c>
      <c r="C1538" s="1">
        <v>27.570684</v>
      </c>
    </row>
    <row r="1539" spans="1:3" x14ac:dyDescent="0.3">
      <c r="A1539" s="1" t="s">
        <v>507</v>
      </c>
      <c r="B1539" t="s">
        <v>38</v>
      </c>
      <c r="C1539" s="1">
        <v>27.236547000000002</v>
      </c>
    </row>
    <row r="1540" spans="1:3" x14ac:dyDescent="0.3">
      <c r="A1540" s="1" t="s">
        <v>507</v>
      </c>
      <c r="B1540" t="s">
        <v>39</v>
      </c>
      <c r="C1540" s="1">
        <v>27.588743000000001</v>
      </c>
    </row>
    <row r="1541" spans="1:3" x14ac:dyDescent="0.3">
      <c r="A1541" s="1" t="s">
        <v>507</v>
      </c>
      <c r="B1541" t="s">
        <v>40</v>
      </c>
      <c r="C1541" s="1">
        <v>27.146239999999999</v>
      </c>
    </row>
    <row r="1542" spans="1:3" x14ac:dyDescent="0.3">
      <c r="A1542" s="1" t="s">
        <v>507</v>
      </c>
      <c r="B1542" t="s">
        <v>41</v>
      </c>
      <c r="C1542" s="1">
        <v>26.550215000000001</v>
      </c>
    </row>
    <row r="1543" spans="1:3" x14ac:dyDescent="0.3">
      <c r="A1543" s="1" t="s">
        <v>507</v>
      </c>
      <c r="B1543" t="s">
        <v>42</v>
      </c>
      <c r="C1543" s="1">
        <v>26.414755</v>
      </c>
    </row>
    <row r="1544" spans="1:3" x14ac:dyDescent="0.3">
      <c r="A1544" s="1" t="s">
        <v>507</v>
      </c>
      <c r="B1544" t="s">
        <v>43</v>
      </c>
      <c r="C1544" s="1">
        <v>26.243172000000001</v>
      </c>
    </row>
    <row r="1545" spans="1:3" x14ac:dyDescent="0.3">
      <c r="A1545" s="1" t="s">
        <v>507</v>
      </c>
      <c r="B1545" t="s">
        <v>44</v>
      </c>
      <c r="C1545" s="1">
        <v>26.225113</v>
      </c>
    </row>
    <row r="1546" spans="1:3" x14ac:dyDescent="0.3">
      <c r="A1546" s="1" t="s">
        <v>507</v>
      </c>
      <c r="B1546" t="s">
        <v>45</v>
      </c>
      <c r="C1546" s="1">
        <v>26.568276999999998</v>
      </c>
    </row>
    <row r="1547" spans="1:3" x14ac:dyDescent="0.3">
      <c r="A1547" s="1" t="s">
        <v>507</v>
      </c>
      <c r="B1547" t="s">
        <v>46</v>
      </c>
      <c r="C1547" s="1">
        <v>26.568276999999998</v>
      </c>
    </row>
    <row r="1548" spans="1:3" x14ac:dyDescent="0.3">
      <c r="A1548" s="1" t="s">
        <v>507</v>
      </c>
      <c r="B1548" t="s">
        <v>47</v>
      </c>
      <c r="C1548" s="1">
        <v>26.026433999999998</v>
      </c>
    </row>
    <row r="1549" spans="1:3" x14ac:dyDescent="0.3">
      <c r="A1549" s="1" t="s">
        <v>507</v>
      </c>
      <c r="B1549" t="s">
        <v>48</v>
      </c>
      <c r="C1549" s="1">
        <v>24.635712000000002</v>
      </c>
    </row>
    <row r="1550" spans="1:3" x14ac:dyDescent="0.3">
      <c r="A1550" s="1" t="s">
        <v>507</v>
      </c>
      <c r="B1550" t="s">
        <v>49</v>
      </c>
      <c r="C1550" s="1">
        <v>24.129992000000001</v>
      </c>
    </row>
    <row r="1551" spans="1:3" x14ac:dyDescent="0.3">
      <c r="A1551" s="1" t="s">
        <v>507</v>
      </c>
      <c r="B1551" t="s">
        <v>50</v>
      </c>
      <c r="C1551" s="1">
        <v>24.382850999999999</v>
      </c>
    </row>
    <row r="1552" spans="1:3" x14ac:dyDescent="0.3">
      <c r="A1552" s="1" t="s">
        <v>507</v>
      </c>
      <c r="B1552" t="s">
        <v>51</v>
      </c>
      <c r="C1552" s="1">
        <v>23.723611999999999</v>
      </c>
    </row>
    <row r="1553" spans="1:3" x14ac:dyDescent="0.3">
      <c r="A1553" s="1" t="s">
        <v>507</v>
      </c>
      <c r="B1553" t="s">
        <v>52</v>
      </c>
      <c r="C1553" s="1">
        <v>23.199831</v>
      </c>
    </row>
    <row r="1554" spans="1:3" x14ac:dyDescent="0.3">
      <c r="A1554" s="1" t="s">
        <v>507</v>
      </c>
      <c r="B1554" t="s">
        <v>53</v>
      </c>
      <c r="C1554" s="1">
        <v>23.470751</v>
      </c>
    </row>
    <row r="1555" spans="1:3" x14ac:dyDescent="0.3">
      <c r="A1555" s="1" t="s">
        <v>507</v>
      </c>
      <c r="B1555" t="s">
        <v>54</v>
      </c>
      <c r="C1555" s="1">
        <v>23.786825</v>
      </c>
    </row>
    <row r="1556" spans="1:3" x14ac:dyDescent="0.3">
      <c r="A1556" s="1" t="s">
        <v>507</v>
      </c>
      <c r="B1556" t="s">
        <v>55</v>
      </c>
      <c r="C1556" s="1">
        <v>24.680864</v>
      </c>
    </row>
    <row r="1557" spans="1:3" x14ac:dyDescent="0.3">
      <c r="A1557" s="1" t="s">
        <v>507</v>
      </c>
      <c r="B1557" t="s">
        <v>56</v>
      </c>
      <c r="C1557" s="1">
        <v>24.247388999999998</v>
      </c>
    </row>
    <row r="1558" spans="1:3" x14ac:dyDescent="0.3">
      <c r="A1558" s="1" t="s">
        <v>507</v>
      </c>
      <c r="B1558" t="s">
        <v>57</v>
      </c>
      <c r="C1558" s="1">
        <v>24.707954000000001</v>
      </c>
    </row>
    <row r="1559" spans="1:3" x14ac:dyDescent="0.3">
      <c r="A1559" s="1" t="s">
        <v>507</v>
      </c>
      <c r="B1559" t="s">
        <v>58</v>
      </c>
      <c r="C1559" s="1">
        <v>24.771172</v>
      </c>
    </row>
    <row r="1560" spans="1:3" x14ac:dyDescent="0.3">
      <c r="A1560" s="1" t="s">
        <v>507</v>
      </c>
      <c r="B1560" t="s">
        <v>59</v>
      </c>
      <c r="C1560" s="1">
        <v>24.653770000000002</v>
      </c>
    </row>
    <row r="1561" spans="1:3" x14ac:dyDescent="0.3">
      <c r="A1561" s="1" t="s">
        <v>507</v>
      </c>
      <c r="B1561" t="s">
        <v>60</v>
      </c>
      <c r="C1561" s="1">
        <v>24.653770000000002</v>
      </c>
    </row>
    <row r="1562" spans="1:3" x14ac:dyDescent="0.3">
      <c r="A1562" s="1" t="s">
        <v>507</v>
      </c>
      <c r="B1562" t="s">
        <v>61</v>
      </c>
      <c r="C1562" s="1">
        <v>24.978876</v>
      </c>
    </row>
    <row r="1563" spans="1:3" x14ac:dyDescent="0.3">
      <c r="A1563" s="1" t="s">
        <v>507</v>
      </c>
      <c r="B1563" t="s">
        <v>62</v>
      </c>
      <c r="C1563" s="1">
        <v>24.47316</v>
      </c>
    </row>
    <row r="1564" spans="1:3" x14ac:dyDescent="0.3">
      <c r="A1564" s="1" t="s">
        <v>507</v>
      </c>
      <c r="B1564" t="s">
        <v>63</v>
      </c>
      <c r="C1564" s="1">
        <v>24.482189000000002</v>
      </c>
    </row>
    <row r="1565" spans="1:3" x14ac:dyDescent="0.3">
      <c r="A1565" s="1" t="s">
        <v>507</v>
      </c>
      <c r="B1565" t="s">
        <v>64</v>
      </c>
      <c r="C1565" s="1">
        <v>23.028248000000001</v>
      </c>
    </row>
    <row r="1566" spans="1:3" x14ac:dyDescent="0.3">
      <c r="A1566" s="1" t="s">
        <v>507</v>
      </c>
      <c r="B1566" t="s">
        <v>65</v>
      </c>
      <c r="C1566" s="1">
        <v>24.229327999999999</v>
      </c>
    </row>
    <row r="1567" spans="1:3" x14ac:dyDescent="0.3">
      <c r="A1567" s="1" t="s">
        <v>507</v>
      </c>
      <c r="B1567" t="s">
        <v>66</v>
      </c>
      <c r="C1567" s="1">
        <v>25.195612000000001</v>
      </c>
    </row>
    <row r="1568" spans="1:3" x14ac:dyDescent="0.3">
      <c r="A1568" s="1" t="s">
        <v>507</v>
      </c>
      <c r="B1568" t="s">
        <v>67</v>
      </c>
      <c r="C1568" s="1">
        <v>25.249796</v>
      </c>
    </row>
    <row r="1569" spans="1:3" x14ac:dyDescent="0.3">
      <c r="A1569" s="1" t="s">
        <v>507</v>
      </c>
      <c r="B1569" t="s">
        <v>68</v>
      </c>
      <c r="C1569" s="1">
        <v>25.285919</v>
      </c>
    </row>
    <row r="1570" spans="1:3" x14ac:dyDescent="0.3">
      <c r="A1570" s="1" t="s">
        <v>507</v>
      </c>
      <c r="B1570" t="s">
        <v>69</v>
      </c>
      <c r="C1570" s="1">
        <v>24.969847000000001</v>
      </c>
    </row>
    <row r="1571" spans="1:3" x14ac:dyDescent="0.3">
      <c r="A1571" s="1" t="s">
        <v>507</v>
      </c>
      <c r="B1571" t="s">
        <v>70</v>
      </c>
      <c r="C1571" s="1">
        <v>25.692301</v>
      </c>
    </row>
    <row r="1572" spans="1:3" x14ac:dyDescent="0.3">
      <c r="A1572" s="1" t="s">
        <v>507</v>
      </c>
      <c r="B1572" t="s">
        <v>71</v>
      </c>
      <c r="C1572" s="1">
        <v>26.261232</v>
      </c>
    </row>
    <row r="1573" spans="1:3" x14ac:dyDescent="0.3">
      <c r="A1573" s="1" t="s">
        <v>507</v>
      </c>
      <c r="B1573" t="s">
        <v>72</v>
      </c>
      <c r="C1573" s="1">
        <v>26.523125</v>
      </c>
    </row>
    <row r="1574" spans="1:3" x14ac:dyDescent="0.3">
      <c r="A1574" s="1" t="s">
        <v>507</v>
      </c>
      <c r="B1574" t="s">
        <v>73</v>
      </c>
      <c r="C1574" s="1">
        <v>26.387661000000001</v>
      </c>
    </row>
    <row r="1575" spans="1:3" x14ac:dyDescent="0.3">
      <c r="A1575" s="1" t="s">
        <v>507</v>
      </c>
      <c r="B1575" t="s">
        <v>74</v>
      </c>
      <c r="C1575" s="1">
        <v>27.245578999999999</v>
      </c>
    </row>
    <row r="1576" spans="1:3" x14ac:dyDescent="0.3">
      <c r="A1576" s="1" t="s">
        <v>507</v>
      </c>
      <c r="B1576" t="s">
        <v>75</v>
      </c>
      <c r="C1576" s="1">
        <v>27.498439999999999</v>
      </c>
    </row>
    <row r="1577" spans="1:3" x14ac:dyDescent="0.3">
      <c r="A1577" s="1" t="s">
        <v>507</v>
      </c>
      <c r="B1577" t="s">
        <v>76</v>
      </c>
      <c r="C1577" s="1">
        <v>27.028842999999998</v>
      </c>
    </row>
    <row r="1578" spans="1:3" x14ac:dyDescent="0.3">
      <c r="A1578" s="1" t="s">
        <v>507</v>
      </c>
      <c r="B1578" t="s">
        <v>77</v>
      </c>
      <c r="C1578" s="1">
        <v>26.559246000000002</v>
      </c>
    </row>
    <row r="1579" spans="1:3" x14ac:dyDescent="0.3">
      <c r="A1579" s="1" t="s">
        <v>507</v>
      </c>
      <c r="B1579" t="s">
        <v>78</v>
      </c>
      <c r="C1579" s="1">
        <v>26.198018999999999</v>
      </c>
    </row>
    <row r="1580" spans="1:3" x14ac:dyDescent="0.3">
      <c r="A1580" s="1" t="s">
        <v>507</v>
      </c>
      <c r="B1580" t="s">
        <v>79</v>
      </c>
      <c r="C1580" s="1">
        <v>26.116741000000001</v>
      </c>
    </row>
    <row r="1581" spans="1:3" x14ac:dyDescent="0.3">
      <c r="A1581" s="1" t="s">
        <v>507</v>
      </c>
      <c r="B1581" t="s">
        <v>80</v>
      </c>
      <c r="C1581" s="1">
        <v>26.414755</v>
      </c>
    </row>
    <row r="1582" spans="1:3" x14ac:dyDescent="0.3">
      <c r="A1582" s="1" t="s">
        <v>507</v>
      </c>
      <c r="B1582" t="s">
        <v>81</v>
      </c>
      <c r="C1582" s="1">
        <v>26.026433999999998</v>
      </c>
    </row>
    <row r="1583" spans="1:3" x14ac:dyDescent="0.3">
      <c r="A1583" s="1" t="s">
        <v>507</v>
      </c>
      <c r="B1583" t="s">
        <v>82</v>
      </c>
      <c r="C1583" s="1">
        <v>25.791636</v>
      </c>
    </row>
    <row r="1584" spans="1:3" x14ac:dyDescent="0.3">
      <c r="A1584" s="1" t="s">
        <v>507</v>
      </c>
      <c r="B1584" t="s">
        <v>83</v>
      </c>
      <c r="C1584" s="1">
        <v>25.611025000000001</v>
      </c>
    </row>
    <row r="1585" spans="1:3" x14ac:dyDescent="0.3">
      <c r="A1585" s="1" t="s">
        <v>507</v>
      </c>
      <c r="B1585" t="s">
        <v>84</v>
      </c>
      <c r="C1585" s="1">
        <v>25.466532000000001</v>
      </c>
    </row>
    <row r="1586" spans="1:3" x14ac:dyDescent="0.3">
      <c r="A1586" s="1" t="s">
        <v>507</v>
      </c>
      <c r="B1586" t="s">
        <v>85</v>
      </c>
      <c r="C1586" s="1">
        <v>25.502655000000001</v>
      </c>
    </row>
    <row r="1587" spans="1:3" x14ac:dyDescent="0.3">
      <c r="A1587" s="1" t="s">
        <v>507</v>
      </c>
      <c r="B1587" t="s">
        <v>86</v>
      </c>
      <c r="C1587" s="1">
        <v>25.872913</v>
      </c>
    </row>
    <row r="1588" spans="1:3" x14ac:dyDescent="0.3">
      <c r="A1588" s="1" t="s">
        <v>507</v>
      </c>
      <c r="B1588" t="s">
        <v>87</v>
      </c>
      <c r="C1588" s="1">
        <v>25.68327</v>
      </c>
    </row>
    <row r="1589" spans="1:3" x14ac:dyDescent="0.3">
      <c r="A1589" s="1" t="s">
        <v>507</v>
      </c>
      <c r="B1589" t="s">
        <v>88</v>
      </c>
      <c r="C1589" s="1">
        <v>26.170922999999998</v>
      </c>
    </row>
    <row r="1590" spans="1:3" x14ac:dyDescent="0.3">
      <c r="A1590" s="1" t="s">
        <v>507</v>
      </c>
      <c r="B1590" t="s">
        <v>89</v>
      </c>
      <c r="C1590" s="1">
        <v>26.306383</v>
      </c>
    </row>
    <row r="1591" spans="1:3" x14ac:dyDescent="0.3">
      <c r="A1591" s="1" t="s">
        <v>507</v>
      </c>
      <c r="B1591" t="s">
        <v>90</v>
      </c>
      <c r="C1591" s="1">
        <v>26.098680000000002</v>
      </c>
    </row>
    <row r="1592" spans="1:3" x14ac:dyDescent="0.3">
      <c r="A1592" s="1" t="s">
        <v>507</v>
      </c>
      <c r="B1592" t="s">
        <v>91</v>
      </c>
      <c r="C1592" s="1">
        <v>26.179955</v>
      </c>
    </row>
    <row r="1593" spans="1:3" x14ac:dyDescent="0.3">
      <c r="A1593" s="1" t="s">
        <v>507</v>
      </c>
      <c r="B1593" t="s">
        <v>92</v>
      </c>
      <c r="C1593" s="1">
        <v>25.583931</v>
      </c>
    </row>
    <row r="1594" spans="1:3" x14ac:dyDescent="0.3">
      <c r="A1594" s="1" t="s">
        <v>507</v>
      </c>
      <c r="B1594" t="s">
        <v>93</v>
      </c>
      <c r="C1594" s="1">
        <v>25.963218999999999</v>
      </c>
    </row>
    <row r="1595" spans="1:3" x14ac:dyDescent="0.3">
      <c r="A1595" s="1" t="s">
        <v>507</v>
      </c>
      <c r="B1595" t="s">
        <v>94</v>
      </c>
      <c r="C1595" s="1">
        <v>25.827759</v>
      </c>
    </row>
    <row r="1596" spans="1:3" x14ac:dyDescent="0.3">
      <c r="A1596" s="1" t="s">
        <v>507</v>
      </c>
      <c r="B1596" t="s">
        <v>95</v>
      </c>
      <c r="C1596" s="1">
        <v>26.514091000000001</v>
      </c>
    </row>
    <row r="1597" spans="1:3" x14ac:dyDescent="0.3">
      <c r="A1597" s="1" t="s">
        <v>507</v>
      </c>
      <c r="B1597" t="s">
        <v>96</v>
      </c>
      <c r="C1597" s="1">
        <v>26.279295000000001</v>
      </c>
    </row>
    <row r="1598" spans="1:3" x14ac:dyDescent="0.3">
      <c r="A1598" s="1" t="s">
        <v>507</v>
      </c>
      <c r="B1598" t="s">
        <v>97</v>
      </c>
      <c r="C1598" s="1">
        <v>26.459906</v>
      </c>
    </row>
    <row r="1599" spans="1:3" x14ac:dyDescent="0.3">
      <c r="A1599" s="1" t="s">
        <v>507</v>
      </c>
      <c r="B1599" t="s">
        <v>98</v>
      </c>
      <c r="C1599" s="1">
        <v>25.285919</v>
      </c>
    </row>
    <row r="1600" spans="1:3" x14ac:dyDescent="0.3">
      <c r="A1600" s="1" t="s">
        <v>507</v>
      </c>
      <c r="B1600" t="s">
        <v>99</v>
      </c>
      <c r="C1600" s="1">
        <v>26.378632</v>
      </c>
    </row>
    <row r="1601" spans="1:3" x14ac:dyDescent="0.3">
      <c r="A1601" s="1" t="s">
        <v>507</v>
      </c>
      <c r="B1601" t="s">
        <v>100</v>
      </c>
      <c r="C1601" s="1">
        <v>26.396694</v>
      </c>
    </row>
    <row r="1602" spans="1:3" x14ac:dyDescent="0.3">
      <c r="A1602" s="1" t="s">
        <v>507</v>
      </c>
      <c r="B1602" t="s">
        <v>101</v>
      </c>
      <c r="C1602" s="1">
        <v>25.294948999999999</v>
      </c>
    </row>
    <row r="1603" spans="1:3" x14ac:dyDescent="0.3">
      <c r="A1603" s="1" t="s">
        <v>507</v>
      </c>
      <c r="B1603" t="s">
        <v>102</v>
      </c>
      <c r="C1603" s="1">
        <v>24.518311000000001</v>
      </c>
    </row>
    <row r="1604" spans="1:3" x14ac:dyDescent="0.3">
      <c r="A1604" s="1" t="s">
        <v>507</v>
      </c>
      <c r="B1604" t="s">
        <v>103</v>
      </c>
      <c r="C1604" s="1">
        <v>24.373819000000001</v>
      </c>
    </row>
    <row r="1605" spans="1:3" x14ac:dyDescent="0.3">
      <c r="A1605" s="1" t="s">
        <v>507</v>
      </c>
      <c r="B1605" t="s">
        <v>104</v>
      </c>
      <c r="C1605" s="1">
        <v>24.518311000000001</v>
      </c>
    </row>
    <row r="1606" spans="1:3" x14ac:dyDescent="0.3">
      <c r="A1606" s="1" t="s">
        <v>507</v>
      </c>
      <c r="B1606" t="s">
        <v>105</v>
      </c>
      <c r="C1606" s="1">
        <v>25.141428000000001</v>
      </c>
    </row>
    <row r="1607" spans="1:3" x14ac:dyDescent="0.3">
      <c r="A1607" s="1" t="s">
        <v>507</v>
      </c>
      <c r="B1607" t="s">
        <v>106</v>
      </c>
      <c r="C1607" s="1">
        <v>25.195612000000001</v>
      </c>
    </row>
    <row r="1608" spans="1:3" x14ac:dyDescent="0.3">
      <c r="A1608" s="1" t="s">
        <v>507</v>
      </c>
      <c r="B1608" t="s">
        <v>107</v>
      </c>
      <c r="C1608" s="1">
        <v>24.744076</v>
      </c>
    </row>
    <row r="1609" spans="1:3" x14ac:dyDescent="0.3">
      <c r="A1609" s="1" t="s">
        <v>507</v>
      </c>
      <c r="B1609" t="s">
        <v>108</v>
      </c>
      <c r="C1609" s="1">
        <v>25.403317999999999</v>
      </c>
    </row>
    <row r="1610" spans="1:3" x14ac:dyDescent="0.3">
      <c r="A1610" s="1" t="s">
        <v>507</v>
      </c>
      <c r="B1610" t="s">
        <v>109</v>
      </c>
      <c r="C1610" s="1">
        <v>25.069181</v>
      </c>
    </row>
    <row r="1611" spans="1:3" x14ac:dyDescent="0.3">
      <c r="A1611" s="1" t="s">
        <v>507</v>
      </c>
      <c r="B1611" t="s">
        <v>110</v>
      </c>
      <c r="C1611" s="1">
        <v>24.617649</v>
      </c>
    </row>
    <row r="1612" spans="1:3" x14ac:dyDescent="0.3">
      <c r="A1612" s="1" t="s">
        <v>507</v>
      </c>
      <c r="B1612" t="s">
        <v>111</v>
      </c>
      <c r="C1612" s="1">
        <v>24.744076</v>
      </c>
    </row>
    <row r="1613" spans="1:3" x14ac:dyDescent="0.3">
      <c r="A1613" s="1" t="s">
        <v>507</v>
      </c>
      <c r="B1613" t="s">
        <v>112</v>
      </c>
      <c r="C1613" s="1">
        <v>25.150459000000001</v>
      </c>
    </row>
    <row r="1614" spans="1:3" x14ac:dyDescent="0.3">
      <c r="A1614" s="1" t="s">
        <v>507</v>
      </c>
      <c r="B1614" t="s">
        <v>113</v>
      </c>
      <c r="C1614" s="1">
        <v>25.556840999999999</v>
      </c>
    </row>
    <row r="1615" spans="1:3" x14ac:dyDescent="0.3">
      <c r="A1615" s="1" t="s">
        <v>507</v>
      </c>
      <c r="B1615" t="s">
        <v>114</v>
      </c>
      <c r="C1615" s="1">
        <v>24.924693999999999</v>
      </c>
    </row>
    <row r="1616" spans="1:3" x14ac:dyDescent="0.3">
      <c r="A1616" s="1" t="s">
        <v>507</v>
      </c>
      <c r="B1616" t="s">
        <v>115</v>
      </c>
      <c r="C1616" s="1">
        <v>24.924693999999999</v>
      </c>
    </row>
    <row r="1617" spans="1:3" x14ac:dyDescent="0.3">
      <c r="A1617" s="1" t="s">
        <v>507</v>
      </c>
      <c r="B1617" t="s">
        <v>116</v>
      </c>
      <c r="C1617" s="1">
        <v>25.123365</v>
      </c>
    </row>
    <row r="1618" spans="1:3" x14ac:dyDescent="0.3">
      <c r="A1618" s="1" t="s">
        <v>507</v>
      </c>
      <c r="B1618" t="s">
        <v>117</v>
      </c>
      <c r="C1618" s="1">
        <v>25.818729000000001</v>
      </c>
    </row>
    <row r="1619" spans="1:3" x14ac:dyDescent="0.3">
      <c r="A1619" s="1" t="s">
        <v>507</v>
      </c>
      <c r="B1619" t="s">
        <v>118</v>
      </c>
      <c r="C1619" s="1">
        <v>26.017403000000002</v>
      </c>
    </row>
    <row r="1620" spans="1:3" x14ac:dyDescent="0.3">
      <c r="A1620" s="1" t="s">
        <v>507</v>
      </c>
      <c r="B1620" t="s">
        <v>119</v>
      </c>
      <c r="C1620" s="1">
        <v>26.369602</v>
      </c>
    </row>
    <row r="1621" spans="1:3" x14ac:dyDescent="0.3">
      <c r="A1621" s="1" t="s">
        <v>507</v>
      </c>
      <c r="B1621" t="s">
        <v>120</v>
      </c>
      <c r="C1621" s="1">
        <v>26.577307000000001</v>
      </c>
    </row>
    <row r="1622" spans="1:3" x14ac:dyDescent="0.3">
      <c r="A1622" s="1" t="s">
        <v>507</v>
      </c>
      <c r="B1622" t="s">
        <v>121</v>
      </c>
      <c r="C1622" s="1">
        <v>25.710360999999999</v>
      </c>
    </row>
    <row r="1623" spans="1:3" x14ac:dyDescent="0.3">
      <c r="A1623" s="1" t="s">
        <v>507</v>
      </c>
      <c r="B1623" t="s">
        <v>122</v>
      </c>
      <c r="C1623" s="1">
        <v>25.466532000000001</v>
      </c>
    </row>
    <row r="1624" spans="1:3" x14ac:dyDescent="0.3">
      <c r="A1624" s="1" t="s">
        <v>507</v>
      </c>
      <c r="B1624" t="s">
        <v>123</v>
      </c>
      <c r="C1624" s="1">
        <v>25.918068000000002</v>
      </c>
    </row>
    <row r="1625" spans="1:3" x14ac:dyDescent="0.3">
      <c r="A1625" s="1" t="s">
        <v>507</v>
      </c>
      <c r="B1625" t="s">
        <v>124</v>
      </c>
      <c r="C1625" s="1">
        <v>24.816324000000002</v>
      </c>
    </row>
    <row r="1626" spans="1:3" x14ac:dyDescent="0.3">
      <c r="A1626" s="1" t="s">
        <v>507</v>
      </c>
      <c r="B1626" t="s">
        <v>125</v>
      </c>
      <c r="C1626" s="1">
        <v>25.249796</v>
      </c>
    </row>
    <row r="1627" spans="1:3" x14ac:dyDescent="0.3">
      <c r="A1627" s="1" t="s">
        <v>507</v>
      </c>
      <c r="B1627" t="s">
        <v>126</v>
      </c>
      <c r="C1627" s="1">
        <v>25.493624000000001</v>
      </c>
    </row>
    <row r="1628" spans="1:3" x14ac:dyDescent="0.3">
      <c r="A1628" s="1" t="s">
        <v>507</v>
      </c>
      <c r="B1628" t="s">
        <v>127</v>
      </c>
      <c r="C1628" s="1">
        <v>24.942754999999998</v>
      </c>
    </row>
    <row r="1629" spans="1:3" x14ac:dyDescent="0.3">
      <c r="A1629" s="1" t="s">
        <v>507</v>
      </c>
      <c r="B1629" t="s">
        <v>128</v>
      </c>
      <c r="C1629" s="1">
        <v>24.653770000000002</v>
      </c>
    </row>
    <row r="1630" spans="1:3" x14ac:dyDescent="0.3">
      <c r="A1630" s="1" t="s">
        <v>507</v>
      </c>
      <c r="B1630" t="s">
        <v>129</v>
      </c>
      <c r="C1630" s="1">
        <v>24.608618</v>
      </c>
    </row>
    <row r="1631" spans="1:3" x14ac:dyDescent="0.3">
      <c r="A1631" s="1" t="s">
        <v>507</v>
      </c>
      <c r="B1631" t="s">
        <v>130</v>
      </c>
      <c r="C1631" s="1">
        <v>25.56587</v>
      </c>
    </row>
    <row r="1632" spans="1:3" x14ac:dyDescent="0.3">
      <c r="A1632" s="1" t="s">
        <v>507</v>
      </c>
      <c r="B1632" t="s">
        <v>131</v>
      </c>
      <c r="C1632" s="1">
        <v>26.486999999999998</v>
      </c>
    </row>
    <row r="1633" spans="1:3" x14ac:dyDescent="0.3">
      <c r="A1633" s="1" t="s">
        <v>507</v>
      </c>
      <c r="B1633" t="s">
        <v>132</v>
      </c>
      <c r="C1633" s="1">
        <v>29.178144</v>
      </c>
    </row>
    <row r="1634" spans="1:3" x14ac:dyDescent="0.3">
      <c r="A1634" s="1" t="s">
        <v>507</v>
      </c>
      <c r="B1634" t="s">
        <v>133</v>
      </c>
      <c r="C1634" s="1">
        <v>29.440033</v>
      </c>
    </row>
    <row r="1635" spans="1:3" x14ac:dyDescent="0.3">
      <c r="A1635" s="1" t="s">
        <v>507</v>
      </c>
      <c r="B1635" t="s">
        <v>134</v>
      </c>
      <c r="C1635" s="1">
        <v>29.24136</v>
      </c>
    </row>
    <row r="1636" spans="1:3" x14ac:dyDescent="0.3">
      <c r="A1636" s="1" t="s">
        <v>507</v>
      </c>
      <c r="B1636" t="s">
        <v>135</v>
      </c>
      <c r="C1636" s="1">
        <v>29.485188000000001</v>
      </c>
    </row>
    <row r="1637" spans="1:3" x14ac:dyDescent="0.3">
      <c r="A1637" s="1" t="s">
        <v>507</v>
      </c>
      <c r="B1637" t="s">
        <v>136</v>
      </c>
      <c r="C1637" s="1">
        <v>29.232327999999999</v>
      </c>
    </row>
    <row r="1638" spans="1:3" x14ac:dyDescent="0.3">
      <c r="A1638" s="1" t="s">
        <v>507</v>
      </c>
      <c r="B1638" t="s">
        <v>137</v>
      </c>
      <c r="C1638" s="1">
        <v>29.24136</v>
      </c>
    </row>
    <row r="1639" spans="1:3" x14ac:dyDescent="0.3">
      <c r="A1639" s="1" t="s">
        <v>507</v>
      </c>
      <c r="B1639" t="s">
        <v>138</v>
      </c>
      <c r="C1639" s="1">
        <v>29.304575</v>
      </c>
    </row>
    <row r="1640" spans="1:3" x14ac:dyDescent="0.3">
      <c r="A1640" s="1" t="s">
        <v>507</v>
      </c>
      <c r="B1640" t="s">
        <v>139</v>
      </c>
      <c r="C1640" s="1">
        <v>28.636303000000002</v>
      </c>
    </row>
    <row r="1641" spans="1:3" x14ac:dyDescent="0.3">
      <c r="A1641" s="1" t="s">
        <v>507</v>
      </c>
      <c r="B1641" t="s">
        <v>140</v>
      </c>
      <c r="C1641" s="1">
        <v>27.642928999999999</v>
      </c>
    </row>
    <row r="1642" spans="1:3" x14ac:dyDescent="0.3">
      <c r="A1642" s="1" t="s">
        <v>507</v>
      </c>
      <c r="B1642" t="s">
        <v>141</v>
      </c>
      <c r="C1642" s="1">
        <v>27.489408000000001</v>
      </c>
    </row>
    <row r="1643" spans="1:3" x14ac:dyDescent="0.3">
      <c r="A1643" s="1" t="s">
        <v>507</v>
      </c>
      <c r="B1643" t="s">
        <v>142</v>
      </c>
      <c r="C1643" s="1">
        <v>27.182364</v>
      </c>
    </row>
    <row r="1644" spans="1:3" x14ac:dyDescent="0.3">
      <c r="A1644" s="1" t="s">
        <v>507</v>
      </c>
      <c r="B1644" t="s">
        <v>143</v>
      </c>
      <c r="C1644" s="1">
        <v>27.263639000000001</v>
      </c>
    </row>
    <row r="1645" spans="1:3" x14ac:dyDescent="0.3">
      <c r="A1645" s="1" t="s">
        <v>507</v>
      </c>
      <c r="B1645" t="s">
        <v>144</v>
      </c>
      <c r="C1645" s="1">
        <v>25.746485</v>
      </c>
    </row>
    <row r="1646" spans="1:3" x14ac:dyDescent="0.3">
      <c r="A1646" s="1" t="s">
        <v>507</v>
      </c>
      <c r="B1646" t="s">
        <v>145</v>
      </c>
      <c r="C1646" s="1">
        <v>25.231735</v>
      </c>
    </row>
    <row r="1647" spans="1:3" x14ac:dyDescent="0.3">
      <c r="A1647" s="1" t="s">
        <v>507</v>
      </c>
      <c r="B1647" t="s">
        <v>146</v>
      </c>
      <c r="C1647" s="1">
        <v>25.466532000000001</v>
      </c>
    </row>
    <row r="1648" spans="1:3" x14ac:dyDescent="0.3">
      <c r="A1648" s="1" t="s">
        <v>507</v>
      </c>
      <c r="B1648" t="s">
        <v>147</v>
      </c>
      <c r="C1648" s="1">
        <v>24.825354000000001</v>
      </c>
    </row>
    <row r="1649" spans="1:3" x14ac:dyDescent="0.3">
      <c r="A1649" s="1" t="s">
        <v>507</v>
      </c>
      <c r="B1649" t="s">
        <v>148</v>
      </c>
      <c r="C1649" s="1">
        <v>24.048715999999999</v>
      </c>
    </row>
    <row r="1650" spans="1:3" x14ac:dyDescent="0.3">
      <c r="A1650" s="1" t="s">
        <v>507</v>
      </c>
      <c r="B1650" t="s">
        <v>149</v>
      </c>
      <c r="C1650" s="1">
        <v>24.003563</v>
      </c>
    </row>
    <row r="1651" spans="1:3" x14ac:dyDescent="0.3">
      <c r="A1651" s="1" t="s">
        <v>507</v>
      </c>
      <c r="B1651" t="s">
        <v>150</v>
      </c>
      <c r="C1651" s="1">
        <v>23.732641000000001</v>
      </c>
    </row>
    <row r="1652" spans="1:3" x14ac:dyDescent="0.3">
      <c r="A1652" s="1" t="s">
        <v>507</v>
      </c>
      <c r="B1652" t="s">
        <v>151</v>
      </c>
      <c r="C1652" s="1">
        <v>23.190802000000001</v>
      </c>
    </row>
    <row r="1653" spans="1:3" x14ac:dyDescent="0.3">
      <c r="A1653" s="1" t="s">
        <v>507</v>
      </c>
      <c r="B1653" t="s">
        <v>152</v>
      </c>
      <c r="C1653" s="1">
        <v>21.953596000000001</v>
      </c>
    </row>
    <row r="1654" spans="1:3" x14ac:dyDescent="0.3">
      <c r="A1654" s="1" t="s">
        <v>507</v>
      </c>
      <c r="B1654" t="s">
        <v>153</v>
      </c>
      <c r="C1654" s="1">
        <v>21.411753000000001</v>
      </c>
    </row>
    <row r="1655" spans="1:3" x14ac:dyDescent="0.3">
      <c r="A1655" s="1" t="s">
        <v>507</v>
      </c>
      <c r="B1655" t="s">
        <v>154</v>
      </c>
      <c r="C1655" s="1">
        <v>20.147459000000001</v>
      </c>
    </row>
    <row r="1656" spans="1:3" x14ac:dyDescent="0.3">
      <c r="A1656" s="1" t="s">
        <v>507</v>
      </c>
      <c r="B1656" t="s">
        <v>155</v>
      </c>
      <c r="C1656" s="1">
        <v>19.334696000000001</v>
      </c>
    </row>
    <row r="1657" spans="1:3" x14ac:dyDescent="0.3">
      <c r="A1657" s="1" t="s">
        <v>507</v>
      </c>
      <c r="B1657" t="s">
        <v>156</v>
      </c>
      <c r="C1657" s="1">
        <v>18.810918999999998</v>
      </c>
    </row>
    <row r="1658" spans="1:3" x14ac:dyDescent="0.3">
      <c r="A1658" s="1" t="s">
        <v>507</v>
      </c>
      <c r="B1658" t="s">
        <v>157</v>
      </c>
      <c r="C1658" s="1">
        <v>16.164926999999999</v>
      </c>
    </row>
    <row r="1659" spans="1:3" x14ac:dyDescent="0.3">
      <c r="A1659" s="1" t="s">
        <v>507</v>
      </c>
      <c r="B1659" t="s">
        <v>158</v>
      </c>
      <c r="C1659" s="1">
        <v>15.812730999999999</v>
      </c>
    </row>
    <row r="1660" spans="1:3" x14ac:dyDescent="0.3">
      <c r="A1660" s="1" t="s">
        <v>507</v>
      </c>
      <c r="B1660" t="s">
        <v>159</v>
      </c>
      <c r="C1660" s="1">
        <v>15.519234000000001</v>
      </c>
    </row>
    <row r="1661" spans="1:3" x14ac:dyDescent="0.3">
      <c r="A1661" s="1" t="s">
        <v>507</v>
      </c>
      <c r="B1661" t="s">
        <v>160</v>
      </c>
      <c r="C1661" s="1">
        <v>15.352166</v>
      </c>
    </row>
    <row r="1662" spans="1:3" x14ac:dyDescent="0.3">
      <c r="A1662" s="1" t="s">
        <v>507</v>
      </c>
      <c r="B1662" t="s">
        <v>161</v>
      </c>
      <c r="C1662" s="1">
        <v>13.64085</v>
      </c>
    </row>
    <row r="1663" spans="1:3" x14ac:dyDescent="0.3">
      <c r="A1663" s="1" t="s">
        <v>507</v>
      </c>
      <c r="B1663" t="s">
        <v>162</v>
      </c>
      <c r="C1663" s="1">
        <v>13.198347</v>
      </c>
    </row>
    <row r="1664" spans="1:3" x14ac:dyDescent="0.3">
      <c r="A1664" s="1" t="s">
        <v>507</v>
      </c>
      <c r="B1664" t="s">
        <v>163</v>
      </c>
      <c r="C1664" s="1">
        <v>13.514421</v>
      </c>
    </row>
    <row r="1665" spans="1:3" x14ac:dyDescent="0.3">
      <c r="A1665" s="1" t="s">
        <v>507</v>
      </c>
      <c r="B1665" t="s">
        <v>164</v>
      </c>
      <c r="C1665" s="1">
        <v>12.737781999999999</v>
      </c>
    </row>
    <row r="1666" spans="1:3" x14ac:dyDescent="0.3">
      <c r="A1666" s="1" t="s">
        <v>507</v>
      </c>
      <c r="B1666" t="s">
        <v>165</v>
      </c>
      <c r="C1666" s="1">
        <v>13.627304000000001</v>
      </c>
    </row>
    <row r="1667" spans="1:3" x14ac:dyDescent="0.3">
      <c r="A1667" s="1" t="s">
        <v>507</v>
      </c>
      <c r="B1667" t="s">
        <v>166</v>
      </c>
      <c r="C1667" s="1">
        <v>14.196237999999999</v>
      </c>
    </row>
    <row r="1668" spans="1:3" x14ac:dyDescent="0.3">
      <c r="A1668" s="1" t="s">
        <v>507</v>
      </c>
      <c r="B1668" t="s">
        <v>167</v>
      </c>
      <c r="C1668" s="1">
        <v>15.243797000000001</v>
      </c>
    </row>
    <row r="1669" spans="1:3" x14ac:dyDescent="0.3">
      <c r="A1669" s="1" t="s">
        <v>507</v>
      </c>
      <c r="B1669" t="s">
        <v>168</v>
      </c>
      <c r="C1669" s="1">
        <v>13.342836999999999</v>
      </c>
    </row>
    <row r="1670" spans="1:3" x14ac:dyDescent="0.3">
      <c r="A1670" s="1" t="s">
        <v>507</v>
      </c>
      <c r="B1670" t="s">
        <v>169</v>
      </c>
      <c r="C1670" s="1">
        <v>13.148678</v>
      </c>
    </row>
    <row r="1671" spans="1:3" x14ac:dyDescent="0.3">
      <c r="A1671" s="1" t="s">
        <v>507</v>
      </c>
      <c r="B1671" t="s">
        <v>170</v>
      </c>
      <c r="C1671" s="1">
        <v>14.092383999999999</v>
      </c>
    </row>
    <row r="1672" spans="1:3" x14ac:dyDescent="0.3">
      <c r="A1672" s="1" t="s">
        <v>507</v>
      </c>
      <c r="B1672" t="s">
        <v>171</v>
      </c>
      <c r="C1672" s="1">
        <v>14.151084000000001</v>
      </c>
    </row>
    <row r="1673" spans="1:3" x14ac:dyDescent="0.3">
      <c r="A1673" s="1" t="s">
        <v>507</v>
      </c>
      <c r="B1673" t="s">
        <v>172</v>
      </c>
      <c r="C1673" s="1">
        <v>14.250422</v>
      </c>
    </row>
    <row r="1674" spans="1:3" x14ac:dyDescent="0.3">
      <c r="A1674" s="1" t="s">
        <v>507</v>
      </c>
      <c r="B1674" t="s">
        <v>173</v>
      </c>
      <c r="C1674" s="1">
        <v>14.692926</v>
      </c>
    </row>
    <row r="1675" spans="1:3" x14ac:dyDescent="0.3">
      <c r="A1675" s="1" t="s">
        <v>507</v>
      </c>
      <c r="B1675" t="s">
        <v>174</v>
      </c>
      <c r="C1675" s="1">
        <v>15.686302</v>
      </c>
    </row>
    <row r="1676" spans="1:3" x14ac:dyDescent="0.3">
      <c r="A1676" s="1" t="s">
        <v>507</v>
      </c>
      <c r="B1676" t="s">
        <v>175</v>
      </c>
      <c r="C1676" s="1">
        <v>16.553246999999999</v>
      </c>
    </row>
    <row r="1677" spans="1:3" x14ac:dyDescent="0.3">
      <c r="A1677" s="1" t="s">
        <v>507</v>
      </c>
      <c r="B1677" t="s">
        <v>176</v>
      </c>
      <c r="C1677" s="1">
        <v>16.490031999999999</v>
      </c>
    </row>
    <row r="1678" spans="1:3" x14ac:dyDescent="0.3">
      <c r="A1678" s="1" t="s">
        <v>507</v>
      </c>
      <c r="B1678" t="s">
        <v>177</v>
      </c>
      <c r="C1678" s="1">
        <v>16.57131</v>
      </c>
    </row>
    <row r="1679" spans="1:3" x14ac:dyDescent="0.3">
      <c r="A1679" s="1" t="s">
        <v>507</v>
      </c>
      <c r="B1679" t="s">
        <v>178</v>
      </c>
      <c r="C1679" s="1">
        <v>16.616461000000001</v>
      </c>
    </row>
    <row r="1680" spans="1:3" x14ac:dyDescent="0.3">
      <c r="A1680" s="1" t="s">
        <v>507</v>
      </c>
      <c r="B1680" t="s">
        <v>179</v>
      </c>
      <c r="C1680" s="1">
        <v>15.713393</v>
      </c>
    </row>
    <row r="1681" spans="1:3" x14ac:dyDescent="0.3">
      <c r="A1681" s="1" t="s">
        <v>507</v>
      </c>
      <c r="B1681" t="s">
        <v>180</v>
      </c>
      <c r="C1681" s="1">
        <v>15.749516</v>
      </c>
    </row>
    <row r="1682" spans="1:3" x14ac:dyDescent="0.3">
      <c r="A1682" s="1" t="s">
        <v>507</v>
      </c>
      <c r="B1682" t="s">
        <v>181</v>
      </c>
      <c r="C1682" s="1">
        <v>16.959627000000001</v>
      </c>
    </row>
    <row r="1683" spans="1:3" x14ac:dyDescent="0.3">
      <c r="A1683" s="1" t="s">
        <v>507</v>
      </c>
      <c r="B1683" t="s">
        <v>182</v>
      </c>
      <c r="C1683" s="1">
        <v>17.23958</v>
      </c>
    </row>
    <row r="1684" spans="1:3" x14ac:dyDescent="0.3">
      <c r="A1684" s="1" t="s">
        <v>507</v>
      </c>
      <c r="B1684" t="s">
        <v>183</v>
      </c>
      <c r="C1684" s="1">
        <v>16.462938000000001</v>
      </c>
    </row>
    <row r="1685" spans="1:3" x14ac:dyDescent="0.3">
      <c r="A1685" s="1" t="s">
        <v>507</v>
      </c>
      <c r="B1685" t="s">
        <v>184</v>
      </c>
      <c r="C1685" s="1">
        <v>16.480999000000001</v>
      </c>
    </row>
    <row r="1686" spans="1:3" x14ac:dyDescent="0.3">
      <c r="A1686" s="1" t="s">
        <v>507</v>
      </c>
      <c r="B1686" t="s">
        <v>185</v>
      </c>
      <c r="C1686" s="1">
        <v>16.462938000000001</v>
      </c>
    </row>
    <row r="1687" spans="1:3" x14ac:dyDescent="0.3">
      <c r="A1687" s="1" t="s">
        <v>507</v>
      </c>
      <c r="B1687" t="s">
        <v>186</v>
      </c>
      <c r="C1687" s="1">
        <v>16.101711000000002</v>
      </c>
    </row>
    <row r="1688" spans="1:3" x14ac:dyDescent="0.3">
      <c r="A1688" s="1" t="s">
        <v>507</v>
      </c>
      <c r="B1688" t="s">
        <v>187</v>
      </c>
      <c r="C1688" s="1">
        <v>16.706769999999999</v>
      </c>
    </row>
    <row r="1689" spans="1:3" x14ac:dyDescent="0.3">
      <c r="A1689" s="1" t="s">
        <v>507</v>
      </c>
      <c r="B1689" t="s">
        <v>188</v>
      </c>
      <c r="C1689" s="1">
        <v>17.086058000000001</v>
      </c>
    </row>
    <row r="1690" spans="1:3" x14ac:dyDescent="0.3">
      <c r="A1690" s="1" t="s">
        <v>507</v>
      </c>
      <c r="B1690" t="s">
        <v>189</v>
      </c>
      <c r="C1690" s="1">
        <v>17.916879999999999</v>
      </c>
    </row>
    <row r="1691" spans="1:3" x14ac:dyDescent="0.3">
      <c r="A1691" s="1" t="s">
        <v>507</v>
      </c>
      <c r="B1691" t="s">
        <v>190</v>
      </c>
      <c r="C1691" s="1">
        <v>17.916879999999999</v>
      </c>
    </row>
    <row r="1692" spans="1:3" x14ac:dyDescent="0.3">
      <c r="A1692" s="1" t="s">
        <v>507</v>
      </c>
      <c r="B1692" t="s">
        <v>191</v>
      </c>
      <c r="C1692" s="1">
        <v>17.167334</v>
      </c>
    </row>
    <row r="1693" spans="1:3" x14ac:dyDescent="0.3">
      <c r="A1693" s="1" t="s">
        <v>507</v>
      </c>
      <c r="B1693" t="s">
        <v>192</v>
      </c>
      <c r="C1693" s="1">
        <v>17.411162999999998</v>
      </c>
    </row>
    <row r="1694" spans="1:3" x14ac:dyDescent="0.3">
      <c r="A1694" s="1" t="s">
        <v>507</v>
      </c>
      <c r="B1694" t="s">
        <v>193</v>
      </c>
      <c r="C1694" s="1">
        <v>17.483405999999999</v>
      </c>
    </row>
    <row r="1695" spans="1:3" x14ac:dyDescent="0.3">
      <c r="A1695" s="1" t="s">
        <v>507</v>
      </c>
      <c r="B1695" t="s">
        <v>194</v>
      </c>
      <c r="C1695" s="1">
        <v>17.609835</v>
      </c>
    </row>
    <row r="1696" spans="1:3" x14ac:dyDescent="0.3">
      <c r="A1696" s="1" t="s">
        <v>507</v>
      </c>
      <c r="B1696" t="s">
        <v>195</v>
      </c>
      <c r="C1696" s="1">
        <v>17.943971999999999</v>
      </c>
    </row>
    <row r="1697" spans="1:3" x14ac:dyDescent="0.3">
      <c r="A1697" s="1" t="s">
        <v>507</v>
      </c>
      <c r="B1697" t="s">
        <v>196</v>
      </c>
      <c r="C1697" s="1">
        <v>17.934940000000001</v>
      </c>
    </row>
    <row r="1698" spans="1:3" x14ac:dyDescent="0.3">
      <c r="A1698" s="1" t="s">
        <v>507</v>
      </c>
      <c r="B1698" t="s">
        <v>197</v>
      </c>
      <c r="C1698" s="1">
        <v>17.763356999999999</v>
      </c>
    </row>
    <row r="1699" spans="1:3" x14ac:dyDescent="0.3">
      <c r="A1699" s="1" t="s">
        <v>507</v>
      </c>
      <c r="B1699" t="s">
        <v>198</v>
      </c>
      <c r="C1699" s="1">
        <v>16.923504000000001</v>
      </c>
    </row>
    <row r="1700" spans="1:3" x14ac:dyDescent="0.3">
      <c r="A1700" s="1" t="s">
        <v>507</v>
      </c>
      <c r="B1700" t="s">
        <v>199</v>
      </c>
      <c r="C1700" s="1">
        <v>16.354569999999999</v>
      </c>
    </row>
    <row r="1701" spans="1:3" x14ac:dyDescent="0.3">
      <c r="A1701" s="1" t="s">
        <v>507</v>
      </c>
      <c r="B1701" t="s">
        <v>200</v>
      </c>
      <c r="C1701" s="1">
        <v>16.797075</v>
      </c>
    </row>
    <row r="1702" spans="1:3" x14ac:dyDescent="0.3">
      <c r="A1702" s="1" t="s">
        <v>507</v>
      </c>
      <c r="B1702" t="s">
        <v>201</v>
      </c>
      <c r="C1702" s="1">
        <v>17.989124</v>
      </c>
    </row>
    <row r="1703" spans="1:3" x14ac:dyDescent="0.3">
      <c r="A1703" s="1" t="s">
        <v>507</v>
      </c>
      <c r="B1703" t="s">
        <v>202</v>
      </c>
      <c r="C1703" s="1">
        <v>18.115555000000001</v>
      </c>
    </row>
    <row r="1704" spans="1:3" x14ac:dyDescent="0.3">
      <c r="A1704" s="1" t="s">
        <v>507</v>
      </c>
      <c r="B1704" t="s">
        <v>203</v>
      </c>
      <c r="C1704" s="1">
        <v>17.853663999999998</v>
      </c>
    </row>
    <row r="1705" spans="1:3" x14ac:dyDescent="0.3">
      <c r="A1705" s="1" t="s">
        <v>507</v>
      </c>
      <c r="B1705" t="s">
        <v>204</v>
      </c>
      <c r="C1705" s="1">
        <v>17.772387999999999</v>
      </c>
    </row>
    <row r="1706" spans="1:3" x14ac:dyDescent="0.3">
      <c r="A1706" s="1" t="s">
        <v>507</v>
      </c>
      <c r="B1706" t="s">
        <v>205</v>
      </c>
      <c r="C1706" s="1">
        <v>17.934940000000001</v>
      </c>
    </row>
    <row r="1707" spans="1:3" x14ac:dyDescent="0.3">
      <c r="A1707" s="1" t="s">
        <v>507</v>
      </c>
      <c r="B1707" t="s">
        <v>206</v>
      </c>
      <c r="C1707" s="1">
        <v>18.422595999999999</v>
      </c>
    </row>
    <row r="1708" spans="1:3" x14ac:dyDescent="0.3">
      <c r="A1708" s="1" t="s">
        <v>507</v>
      </c>
      <c r="B1708" t="s">
        <v>207</v>
      </c>
      <c r="C1708" s="1">
        <v>19.470158000000001</v>
      </c>
    </row>
    <row r="1709" spans="1:3" x14ac:dyDescent="0.3">
      <c r="A1709" s="1" t="s">
        <v>507</v>
      </c>
      <c r="B1709" t="s">
        <v>208</v>
      </c>
      <c r="C1709" s="1">
        <v>20.030062000000001</v>
      </c>
    </row>
    <row r="1710" spans="1:3" x14ac:dyDescent="0.3">
      <c r="A1710" s="1" t="s">
        <v>507</v>
      </c>
      <c r="B1710" t="s">
        <v>209</v>
      </c>
      <c r="C1710" s="1">
        <v>19.434035999999999</v>
      </c>
    </row>
    <row r="1711" spans="1:3" x14ac:dyDescent="0.3">
      <c r="A1711" s="1" t="s">
        <v>507</v>
      </c>
      <c r="B1711" t="s">
        <v>210</v>
      </c>
      <c r="C1711" s="1">
        <v>19.795261</v>
      </c>
    </row>
    <row r="1712" spans="1:3" x14ac:dyDescent="0.3">
      <c r="A1712" s="1" t="s">
        <v>507</v>
      </c>
      <c r="B1712" t="s">
        <v>211</v>
      </c>
      <c r="C1712" s="1">
        <v>20.138428000000001</v>
      </c>
    </row>
    <row r="1713" spans="1:3" x14ac:dyDescent="0.3">
      <c r="A1713" s="1" t="s">
        <v>507</v>
      </c>
      <c r="B1713" t="s">
        <v>212</v>
      </c>
      <c r="C1713" s="1">
        <v>20.842821000000001</v>
      </c>
    </row>
    <row r="1714" spans="1:3" x14ac:dyDescent="0.3">
      <c r="A1714" s="1" t="s">
        <v>507</v>
      </c>
      <c r="B1714" t="s">
        <v>213</v>
      </c>
      <c r="C1714" s="1">
        <v>20.824760000000001</v>
      </c>
    </row>
    <row r="1715" spans="1:3" x14ac:dyDescent="0.3">
      <c r="A1715" s="1" t="s">
        <v>507</v>
      </c>
      <c r="B1715" t="s">
        <v>214</v>
      </c>
      <c r="C1715" s="1">
        <v>21.366602</v>
      </c>
    </row>
    <row r="1716" spans="1:3" x14ac:dyDescent="0.3">
      <c r="A1716" s="1" t="s">
        <v>507</v>
      </c>
      <c r="B1716" t="s">
        <v>215</v>
      </c>
      <c r="C1716" s="1">
        <v>22.107116999999999</v>
      </c>
    </row>
    <row r="1717" spans="1:3" x14ac:dyDescent="0.3">
      <c r="A1717" s="1" t="s">
        <v>507</v>
      </c>
      <c r="B1717" t="s">
        <v>216</v>
      </c>
      <c r="C1717" s="1">
        <v>21.149865999999999</v>
      </c>
    </row>
    <row r="1718" spans="1:3" x14ac:dyDescent="0.3">
      <c r="A1718" s="1" t="s">
        <v>507</v>
      </c>
      <c r="B1718" t="s">
        <v>217</v>
      </c>
      <c r="C1718" s="1">
        <v>20.445471000000001</v>
      </c>
    </row>
    <row r="1719" spans="1:3" x14ac:dyDescent="0.3">
      <c r="A1719" s="1" t="s">
        <v>507</v>
      </c>
      <c r="B1719" t="s">
        <v>218</v>
      </c>
      <c r="C1719" s="1">
        <v>18.765765999999999</v>
      </c>
    </row>
    <row r="1720" spans="1:3" x14ac:dyDescent="0.3">
      <c r="A1720" s="1" t="s">
        <v>507</v>
      </c>
      <c r="B1720" t="s">
        <v>219</v>
      </c>
      <c r="C1720" s="1">
        <v>18.812377999999999</v>
      </c>
    </row>
    <row r="1721" spans="1:3" x14ac:dyDescent="0.3">
      <c r="A1721" s="1" t="s">
        <v>507</v>
      </c>
      <c r="B1721" t="s">
        <v>220</v>
      </c>
      <c r="C1721" s="1">
        <v>18.336939000000001</v>
      </c>
    </row>
    <row r="1722" spans="1:3" x14ac:dyDescent="0.3">
      <c r="A1722" s="1" t="s">
        <v>507</v>
      </c>
      <c r="B1722" t="s">
        <v>221</v>
      </c>
      <c r="C1722" s="1">
        <v>19.185268000000001</v>
      </c>
    </row>
    <row r="1723" spans="1:3" x14ac:dyDescent="0.3">
      <c r="A1723" s="1" t="s">
        <v>507</v>
      </c>
      <c r="B1723" t="s">
        <v>222</v>
      </c>
      <c r="C1723" s="1">
        <v>18.737798999999999</v>
      </c>
    </row>
    <row r="1724" spans="1:3" x14ac:dyDescent="0.3">
      <c r="A1724" s="1" t="s">
        <v>507</v>
      </c>
      <c r="B1724" t="s">
        <v>223</v>
      </c>
      <c r="C1724" s="1">
        <v>18.206429</v>
      </c>
    </row>
    <row r="1725" spans="1:3" x14ac:dyDescent="0.3">
      <c r="A1725" s="1" t="s">
        <v>507</v>
      </c>
      <c r="B1725" t="s">
        <v>224</v>
      </c>
      <c r="C1725" s="1">
        <v>18.094560999999999</v>
      </c>
    </row>
    <row r="1726" spans="1:3" x14ac:dyDescent="0.3">
      <c r="A1726" s="1" t="s">
        <v>507</v>
      </c>
      <c r="B1726" t="s">
        <v>225</v>
      </c>
      <c r="C1726" s="1">
        <v>18.635252000000001</v>
      </c>
    </row>
    <row r="1727" spans="1:3" x14ac:dyDescent="0.3">
      <c r="A1727" s="1" t="s">
        <v>507</v>
      </c>
      <c r="B1727" t="s">
        <v>226</v>
      </c>
      <c r="C1727" s="1">
        <v>18.719152000000001</v>
      </c>
    </row>
    <row r="1728" spans="1:3" x14ac:dyDescent="0.3">
      <c r="A1728" s="1" t="s">
        <v>507</v>
      </c>
      <c r="B1728" t="s">
        <v>227</v>
      </c>
      <c r="C1728" s="1">
        <v>18.681865999999999</v>
      </c>
    </row>
    <row r="1729" spans="1:3" x14ac:dyDescent="0.3">
      <c r="A1729" s="1" t="s">
        <v>507</v>
      </c>
      <c r="B1729" t="s">
        <v>228</v>
      </c>
      <c r="C1729" s="1">
        <v>18.793731999999999</v>
      </c>
    </row>
    <row r="1730" spans="1:3" x14ac:dyDescent="0.3">
      <c r="A1730" s="1" t="s">
        <v>507</v>
      </c>
      <c r="B1730" t="s">
        <v>229</v>
      </c>
      <c r="C1730" s="1">
        <v>18.9056</v>
      </c>
    </row>
    <row r="1731" spans="1:3" x14ac:dyDescent="0.3">
      <c r="A1731" s="1" t="s">
        <v>507</v>
      </c>
      <c r="B1731" t="s">
        <v>230</v>
      </c>
      <c r="C1731" s="1">
        <v>18.756443000000001</v>
      </c>
    </row>
    <row r="1732" spans="1:3" x14ac:dyDescent="0.3">
      <c r="A1732" s="1" t="s">
        <v>507</v>
      </c>
      <c r="B1732" t="s">
        <v>231</v>
      </c>
      <c r="C1732" s="1">
        <v>19.017467</v>
      </c>
    </row>
    <row r="1733" spans="1:3" x14ac:dyDescent="0.3">
      <c r="A1733" s="1" t="s">
        <v>507</v>
      </c>
      <c r="B1733" t="s">
        <v>232</v>
      </c>
      <c r="C1733" s="1">
        <v>19.129332999999999</v>
      </c>
    </row>
    <row r="1734" spans="1:3" x14ac:dyDescent="0.3">
      <c r="A1734" s="1" t="s">
        <v>507</v>
      </c>
      <c r="B1734" t="s">
        <v>233</v>
      </c>
      <c r="C1734" s="1">
        <v>19.073398999999998</v>
      </c>
    </row>
    <row r="1735" spans="1:3" x14ac:dyDescent="0.3">
      <c r="A1735" s="1" t="s">
        <v>507</v>
      </c>
      <c r="B1735" t="s">
        <v>234</v>
      </c>
      <c r="C1735" s="1">
        <v>19.371711999999999</v>
      </c>
    </row>
    <row r="1736" spans="1:3" x14ac:dyDescent="0.3">
      <c r="A1736" s="1" t="s">
        <v>507</v>
      </c>
      <c r="B1736" t="s">
        <v>235</v>
      </c>
      <c r="C1736" s="1">
        <v>19.483581999999998</v>
      </c>
    </row>
    <row r="1737" spans="1:3" x14ac:dyDescent="0.3">
      <c r="A1737" s="1" t="s">
        <v>507</v>
      </c>
      <c r="B1737" t="s">
        <v>236</v>
      </c>
      <c r="C1737" s="1">
        <v>18.831022000000001</v>
      </c>
    </row>
    <row r="1738" spans="1:3" x14ac:dyDescent="0.3">
      <c r="A1738" s="1" t="s">
        <v>507</v>
      </c>
      <c r="B1738" t="s">
        <v>237</v>
      </c>
      <c r="C1738" s="1">
        <v>18.262362</v>
      </c>
    </row>
    <row r="1739" spans="1:3" x14ac:dyDescent="0.3">
      <c r="A1739" s="1" t="s">
        <v>507</v>
      </c>
      <c r="B1739" t="s">
        <v>238</v>
      </c>
      <c r="C1739" s="1">
        <v>18.364908</v>
      </c>
    </row>
    <row r="1740" spans="1:3" x14ac:dyDescent="0.3">
      <c r="A1740" s="1" t="s">
        <v>507</v>
      </c>
      <c r="B1740" t="s">
        <v>239</v>
      </c>
      <c r="C1740" s="1">
        <v>19.222556999999998</v>
      </c>
    </row>
    <row r="1741" spans="1:3" x14ac:dyDescent="0.3">
      <c r="A1741" s="1" t="s">
        <v>507</v>
      </c>
      <c r="B1741" t="s">
        <v>240</v>
      </c>
      <c r="C1741" s="1">
        <v>19.222556999999998</v>
      </c>
    </row>
    <row r="1742" spans="1:3" x14ac:dyDescent="0.3">
      <c r="A1742" s="1" t="s">
        <v>507</v>
      </c>
      <c r="B1742" t="s">
        <v>241</v>
      </c>
      <c r="C1742" s="1">
        <v>19.539515000000002</v>
      </c>
    </row>
    <row r="1743" spans="1:3" x14ac:dyDescent="0.3">
      <c r="A1743" s="1" t="s">
        <v>507</v>
      </c>
      <c r="B1743" t="s">
        <v>242</v>
      </c>
      <c r="C1743" s="1">
        <v>20.322586000000001</v>
      </c>
    </row>
    <row r="1744" spans="1:3" x14ac:dyDescent="0.3">
      <c r="A1744" s="1" t="s">
        <v>507</v>
      </c>
      <c r="B1744" t="s">
        <v>243</v>
      </c>
      <c r="C1744" s="1">
        <v>20.303944000000001</v>
      </c>
    </row>
    <row r="1745" spans="1:3" x14ac:dyDescent="0.3">
      <c r="A1745" s="1" t="s">
        <v>507</v>
      </c>
      <c r="B1745" t="s">
        <v>244</v>
      </c>
      <c r="C1745" s="1">
        <v>20.210719999999998</v>
      </c>
    </row>
    <row r="1746" spans="1:3" x14ac:dyDescent="0.3">
      <c r="A1746" s="1" t="s">
        <v>507</v>
      </c>
      <c r="B1746" t="s">
        <v>245</v>
      </c>
      <c r="C1746" s="1">
        <v>20.359874999999999</v>
      </c>
    </row>
    <row r="1747" spans="1:3" x14ac:dyDescent="0.3">
      <c r="A1747" s="1" t="s">
        <v>507</v>
      </c>
      <c r="B1747" t="s">
        <v>246</v>
      </c>
      <c r="C1747" s="1">
        <v>20.509032999999999</v>
      </c>
    </row>
    <row r="1748" spans="1:3" x14ac:dyDescent="0.3">
      <c r="A1748" s="1" t="s">
        <v>507</v>
      </c>
      <c r="B1748" t="s">
        <v>247</v>
      </c>
      <c r="C1748" s="1">
        <v>21.068370999999999</v>
      </c>
    </row>
    <row r="1749" spans="1:3" x14ac:dyDescent="0.3">
      <c r="A1749" s="1" t="s">
        <v>507</v>
      </c>
      <c r="B1749" t="s">
        <v>248</v>
      </c>
      <c r="C1749" s="1">
        <v>21.366683999999999</v>
      </c>
    </row>
    <row r="1750" spans="1:3" x14ac:dyDescent="0.3">
      <c r="A1750" s="1" t="s">
        <v>507</v>
      </c>
      <c r="B1750" t="s">
        <v>249</v>
      </c>
      <c r="C1750" s="1">
        <v>21.441262999999999</v>
      </c>
    </row>
    <row r="1751" spans="1:3" x14ac:dyDescent="0.3">
      <c r="A1751" s="1" t="s">
        <v>507</v>
      </c>
      <c r="B1751" t="s">
        <v>250</v>
      </c>
      <c r="C1751" s="1">
        <v>20.956500999999999</v>
      </c>
    </row>
    <row r="1752" spans="1:3" x14ac:dyDescent="0.3">
      <c r="A1752" s="1" t="s">
        <v>507</v>
      </c>
      <c r="B1752" t="s">
        <v>251</v>
      </c>
      <c r="C1752" s="1">
        <v>21.031079999999999</v>
      </c>
    </row>
    <row r="1753" spans="1:3" x14ac:dyDescent="0.3">
      <c r="A1753" s="1" t="s">
        <v>507</v>
      </c>
      <c r="B1753" t="s">
        <v>252</v>
      </c>
      <c r="C1753" s="1">
        <v>20.658187999999999</v>
      </c>
    </row>
    <row r="1754" spans="1:3" x14ac:dyDescent="0.3">
      <c r="A1754" s="1" t="s">
        <v>507</v>
      </c>
      <c r="B1754" t="s">
        <v>253</v>
      </c>
      <c r="C1754" s="1">
        <v>20.098852000000001</v>
      </c>
    </row>
    <row r="1755" spans="1:3" x14ac:dyDescent="0.3">
      <c r="A1755" s="1" t="s">
        <v>507</v>
      </c>
      <c r="B1755" t="s">
        <v>254</v>
      </c>
      <c r="C1755" s="1">
        <v>20.639544999999998</v>
      </c>
    </row>
    <row r="1756" spans="1:3" x14ac:dyDescent="0.3">
      <c r="A1756" s="1" t="s">
        <v>507</v>
      </c>
      <c r="B1756" t="s">
        <v>255</v>
      </c>
      <c r="C1756" s="1">
        <v>20.732766999999999</v>
      </c>
    </row>
    <row r="1757" spans="1:3" x14ac:dyDescent="0.3">
      <c r="A1757" s="1" t="s">
        <v>507</v>
      </c>
      <c r="B1757" t="s">
        <v>256</v>
      </c>
      <c r="C1757" s="1">
        <v>21.180237000000002</v>
      </c>
    </row>
    <row r="1758" spans="1:3" x14ac:dyDescent="0.3">
      <c r="A1758" s="1" t="s">
        <v>507</v>
      </c>
      <c r="B1758" t="s">
        <v>257</v>
      </c>
      <c r="C1758" s="1">
        <v>21.124306000000001</v>
      </c>
    </row>
    <row r="1759" spans="1:3" x14ac:dyDescent="0.3">
      <c r="A1759" s="1" t="s">
        <v>507</v>
      </c>
      <c r="B1759" t="s">
        <v>258</v>
      </c>
      <c r="C1759" s="1">
        <v>21.180237000000002</v>
      </c>
    </row>
    <row r="1760" spans="1:3" x14ac:dyDescent="0.3">
      <c r="A1760" s="1" t="s">
        <v>507</v>
      </c>
      <c r="B1760" t="s">
        <v>259</v>
      </c>
      <c r="C1760" s="1">
        <v>21.403970999999999</v>
      </c>
    </row>
    <row r="1761" spans="1:3" x14ac:dyDescent="0.3">
      <c r="A1761" s="1" t="s">
        <v>507</v>
      </c>
      <c r="B1761" t="s">
        <v>260</v>
      </c>
      <c r="C1761" s="1">
        <v>22.093821999999999</v>
      </c>
    </row>
    <row r="1762" spans="1:3" x14ac:dyDescent="0.3">
      <c r="A1762" s="1" t="s">
        <v>507</v>
      </c>
      <c r="B1762" t="s">
        <v>261</v>
      </c>
      <c r="C1762" s="1">
        <v>21.907377</v>
      </c>
    </row>
    <row r="1763" spans="1:3" x14ac:dyDescent="0.3">
      <c r="A1763" s="1" t="s">
        <v>507</v>
      </c>
      <c r="B1763" t="s">
        <v>262</v>
      </c>
      <c r="C1763" s="1">
        <v>21.963308000000001</v>
      </c>
    </row>
    <row r="1764" spans="1:3" x14ac:dyDescent="0.3">
      <c r="A1764" s="1" t="s">
        <v>507</v>
      </c>
      <c r="B1764" t="s">
        <v>263</v>
      </c>
      <c r="C1764" s="1">
        <v>21.739576</v>
      </c>
    </row>
    <row r="1765" spans="1:3" x14ac:dyDescent="0.3">
      <c r="A1765" s="1" t="s">
        <v>507</v>
      </c>
      <c r="B1765" t="s">
        <v>264</v>
      </c>
      <c r="C1765" s="1">
        <v>22.589297999999999</v>
      </c>
    </row>
    <row r="1766" spans="1:3" x14ac:dyDescent="0.3">
      <c r="A1766" s="1" t="s">
        <v>507</v>
      </c>
      <c r="B1766" t="s">
        <v>265</v>
      </c>
      <c r="C1766" s="1">
        <v>22.092831</v>
      </c>
    </row>
    <row r="1767" spans="1:3" x14ac:dyDescent="0.3">
      <c r="A1767" s="1" t="s">
        <v>507</v>
      </c>
      <c r="B1767" t="s">
        <v>266</v>
      </c>
      <c r="C1767" s="1">
        <v>22.073737999999999</v>
      </c>
    </row>
    <row r="1768" spans="1:3" x14ac:dyDescent="0.3">
      <c r="A1768" s="1" t="s">
        <v>507</v>
      </c>
      <c r="B1768" t="s">
        <v>267</v>
      </c>
      <c r="C1768" s="1">
        <v>21.710932</v>
      </c>
    </row>
    <row r="1769" spans="1:3" x14ac:dyDescent="0.3">
      <c r="A1769" s="1" t="s">
        <v>507</v>
      </c>
      <c r="B1769" t="s">
        <v>268</v>
      </c>
      <c r="C1769" s="1">
        <v>21.596363</v>
      </c>
    </row>
    <row r="1770" spans="1:3" x14ac:dyDescent="0.3">
      <c r="A1770" s="1" t="s">
        <v>507</v>
      </c>
      <c r="B1770" t="s">
        <v>269</v>
      </c>
      <c r="C1770" s="1">
        <v>22.150116000000001</v>
      </c>
    </row>
    <row r="1771" spans="1:3" x14ac:dyDescent="0.3">
      <c r="A1771" s="1" t="s">
        <v>507</v>
      </c>
      <c r="B1771" t="s">
        <v>270</v>
      </c>
      <c r="C1771" s="1">
        <v>22.188305</v>
      </c>
    </row>
    <row r="1772" spans="1:3" x14ac:dyDescent="0.3">
      <c r="A1772" s="1" t="s">
        <v>507</v>
      </c>
      <c r="B1772" t="s">
        <v>271</v>
      </c>
      <c r="C1772" s="1">
        <v>22.837534000000002</v>
      </c>
    </row>
    <row r="1773" spans="1:3" x14ac:dyDescent="0.3">
      <c r="A1773" s="1" t="s">
        <v>507</v>
      </c>
      <c r="B1773" t="s">
        <v>272</v>
      </c>
      <c r="C1773" s="1">
        <v>22.837534000000002</v>
      </c>
    </row>
    <row r="1774" spans="1:3" x14ac:dyDescent="0.3">
      <c r="A1774" s="1" t="s">
        <v>507</v>
      </c>
      <c r="B1774" t="s">
        <v>273</v>
      </c>
      <c r="C1774" s="1">
        <v>23.047577</v>
      </c>
    </row>
    <row r="1775" spans="1:3" x14ac:dyDescent="0.3">
      <c r="A1775" s="1" t="s">
        <v>507</v>
      </c>
      <c r="B1775" t="s">
        <v>274</v>
      </c>
      <c r="C1775" s="1">
        <v>22.799340999999998</v>
      </c>
    </row>
    <row r="1776" spans="1:3" x14ac:dyDescent="0.3">
      <c r="A1776" s="1" t="s">
        <v>507</v>
      </c>
      <c r="B1776" t="s">
        <v>275</v>
      </c>
      <c r="C1776" s="1">
        <v>22.455635000000001</v>
      </c>
    </row>
    <row r="1777" spans="1:3" x14ac:dyDescent="0.3">
      <c r="A1777" s="1" t="s">
        <v>507</v>
      </c>
      <c r="B1777" t="s">
        <v>276</v>
      </c>
      <c r="C1777" s="1">
        <v>22.436539</v>
      </c>
    </row>
    <row r="1778" spans="1:3" x14ac:dyDescent="0.3">
      <c r="A1778" s="1" t="s">
        <v>507</v>
      </c>
      <c r="B1778" t="s">
        <v>277</v>
      </c>
      <c r="C1778" s="1">
        <v>22.474730000000001</v>
      </c>
    </row>
    <row r="1779" spans="1:3" x14ac:dyDescent="0.3">
      <c r="A1779" s="1" t="s">
        <v>507</v>
      </c>
      <c r="B1779" t="s">
        <v>278</v>
      </c>
      <c r="C1779" s="1">
        <v>22.703869000000001</v>
      </c>
    </row>
    <row r="1780" spans="1:3" x14ac:dyDescent="0.3">
      <c r="A1780" s="1" t="s">
        <v>507</v>
      </c>
      <c r="B1780" t="s">
        <v>279</v>
      </c>
      <c r="C1780" s="1">
        <v>22.894817</v>
      </c>
    </row>
    <row r="1781" spans="1:3" x14ac:dyDescent="0.3">
      <c r="A1781" s="1" t="s">
        <v>507</v>
      </c>
      <c r="B1781" t="s">
        <v>280</v>
      </c>
      <c r="C1781" s="1">
        <v>22.913912</v>
      </c>
    </row>
    <row r="1782" spans="1:3" x14ac:dyDescent="0.3">
      <c r="A1782" s="1" t="s">
        <v>507</v>
      </c>
      <c r="B1782" t="s">
        <v>281</v>
      </c>
      <c r="C1782" s="1">
        <v>23.715900000000001</v>
      </c>
    </row>
    <row r="1783" spans="1:3" x14ac:dyDescent="0.3">
      <c r="A1783" s="1" t="s">
        <v>507</v>
      </c>
      <c r="B1783" t="s">
        <v>282</v>
      </c>
      <c r="C1783" s="1">
        <v>24.269651</v>
      </c>
    </row>
    <row r="1784" spans="1:3" x14ac:dyDescent="0.3">
      <c r="A1784" s="1" t="s">
        <v>507</v>
      </c>
      <c r="B1784" t="s">
        <v>283</v>
      </c>
      <c r="C1784" s="1">
        <v>24.097798999999998</v>
      </c>
    </row>
    <row r="1785" spans="1:3" x14ac:dyDescent="0.3">
      <c r="A1785" s="1" t="s">
        <v>507</v>
      </c>
      <c r="B1785" t="s">
        <v>284</v>
      </c>
      <c r="C1785" s="1">
        <v>23.868658</v>
      </c>
    </row>
    <row r="1786" spans="1:3" x14ac:dyDescent="0.3">
      <c r="A1786" s="1" t="s">
        <v>507</v>
      </c>
      <c r="B1786" t="s">
        <v>285</v>
      </c>
      <c r="C1786" s="1">
        <v>24.422412999999999</v>
      </c>
    </row>
    <row r="1787" spans="1:3" x14ac:dyDescent="0.3">
      <c r="A1787" s="1" t="s">
        <v>507</v>
      </c>
      <c r="B1787" t="s">
        <v>286</v>
      </c>
      <c r="C1787" s="1">
        <v>25.167114000000002</v>
      </c>
    </row>
    <row r="1788" spans="1:3" x14ac:dyDescent="0.3">
      <c r="A1788" s="1" t="s">
        <v>507</v>
      </c>
      <c r="B1788" t="s">
        <v>287</v>
      </c>
      <c r="C1788" s="1">
        <v>25.396253999999999</v>
      </c>
    </row>
    <row r="1789" spans="1:3" x14ac:dyDescent="0.3">
      <c r="A1789" s="1" t="s">
        <v>507</v>
      </c>
      <c r="B1789" t="s">
        <v>288</v>
      </c>
      <c r="C1789" s="1">
        <v>24.880690000000001</v>
      </c>
    </row>
    <row r="1790" spans="1:3" x14ac:dyDescent="0.3">
      <c r="A1790" s="1" t="s">
        <v>507</v>
      </c>
      <c r="B1790" t="s">
        <v>289</v>
      </c>
      <c r="C1790" s="1">
        <v>23.677710000000001</v>
      </c>
    </row>
    <row r="1791" spans="1:3" x14ac:dyDescent="0.3">
      <c r="A1791" s="1" t="s">
        <v>507</v>
      </c>
      <c r="B1791" t="s">
        <v>290</v>
      </c>
      <c r="C1791" s="1">
        <v>23.945038</v>
      </c>
    </row>
    <row r="1792" spans="1:3" x14ac:dyDescent="0.3">
      <c r="A1792" s="1" t="s">
        <v>507</v>
      </c>
      <c r="B1792" t="s">
        <v>291</v>
      </c>
      <c r="C1792" s="1">
        <v>23.52495</v>
      </c>
    </row>
    <row r="1793" spans="1:3" x14ac:dyDescent="0.3">
      <c r="A1793" s="1" t="s">
        <v>507</v>
      </c>
      <c r="B1793" t="s">
        <v>292</v>
      </c>
      <c r="C1793" s="1">
        <v>23.544044</v>
      </c>
    </row>
    <row r="1794" spans="1:3" x14ac:dyDescent="0.3">
      <c r="A1794" s="1" t="s">
        <v>507</v>
      </c>
      <c r="B1794" t="s">
        <v>293</v>
      </c>
      <c r="C1794" s="1">
        <v>24.078700999999999</v>
      </c>
    </row>
    <row r="1795" spans="1:3" x14ac:dyDescent="0.3">
      <c r="A1795" s="1" t="s">
        <v>507</v>
      </c>
      <c r="B1795" t="s">
        <v>294</v>
      </c>
      <c r="C1795" s="1">
        <v>24.594265</v>
      </c>
    </row>
    <row r="1796" spans="1:3" x14ac:dyDescent="0.3">
      <c r="A1796" s="1" t="s">
        <v>507</v>
      </c>
      <c r="B1796" t="s">
        <v>295</v>
      </c>
      <c r="C1796" s="1">
        <v>24.384222000000001</v>
      </c>
    </row>
    <row r="1797" spans="1:3" x14ac:dyDescent="0.3">
      <c r="A1797" s="1" t="s">
        <v>507</v>
      </c>
      <c r="B1797" t="s">
        <v>296</v>
      </c>
      <c r="C1797" s="1">
        <v>25.549012999999999</v>
      </c>
    </row>
    <row r="1798" spans="1:3" x14ac:dyDescent="0.3">
      <c r="A1798" s="1" t="s">
        <v>507</v>
      </c>
      <c r="B1798" t="s">
        <v>297</v>
      </c>
      <c r="C1798" s="1">
        <v>28.909721000000001</v>
      </c>
    </row>
    <row r="1799" spans="1:3" x14ac:dyDescent="0.3">
      <c r="A1799" s="1" t="s">
        <v>507</v>
      </c>
      <c r="B1799" t="s">
        <v>298</v>
      </c>
      <c r="C1799" s="1">
        <v>27.974067999999999</v>
      </c>
    </row>
    <row r="1800" spans="1:3" x14ac:dyDescent="0.3">
      <c r="A1800" s="1" t="s">
        <v>507</v>
      </c>
      <c r="B1800" t="s">
        <v>299</v>
      </c>
      <c r="C1800" s="1">
        <v>27.343934999999998</v>
      </c>
    </row>
    <row r="1801" spans="1:3" x14ac:dyDescent="0.3">
      <c r="A1801" s="1" t="s">
        <v>507</v>
      </c>
      <c r="B1801" t="s">
        <v>300</v>
      </c>
      <c r="C1801" s="1">
        <v>27.477599999999999</v>
      </c>
    </row>
    <row r="1802" spans="1:3" x14ac:dyDescent="0.3">
      <c r="A1802" s="1" t="s">
        <v>507</v>
      </c>
      <c r="B1802" t="s">
        <v>301</v>
      </c>
      <c r="C1802" s="1">
        <v>27.133891999999999</v>
      </c>
    </row>
    <row r="1803" spans="1:3" x14ac:dyDescent="0.3">
      <c r="A1803" s="1" t="s">
        <v>507</v>
      </c>
      <c r="B1803" t="s">
        <v>302</v>
      </c>
      <c r="C1803" s="1">
        <v>27.076606999999999</v>
      </c>
    </row>
    <row r="1804" spans="1:3" x14ac:dyDescent="0.3">
      <c r="A1804" s="1" t="s">
        <v>507</v>
      </c>
      <c r="B1804" t="s">
        <v>303</v>
      </c>
      <c r="C1804" s="1">
        <v>26.675612999999998</v>
      </c>
    </row>
    <row r="1805" spans="1:3" x14ac:dyDescent="0.3">
      <c r="A1805" s="1" t="s">
        <v>507</v>
      </c>
      <c r="B1805" t="s">
        <v>304</v>
      </c>
      <c r="C1805" s="1">
        <v>27.687643000000001</v>
      </c>
    </row>
    <row r="1806" spans="1:3" x14ac:dyDescent="0.3">
      <c r="A1806" s="1" t="s">
        <v>507</v>
      </c>
      <c r="B1806" t="s">
        <v>305</v>
      </c>
      <c r="C1806" s="1">
        <v>27.401219999999999</v>
      </c>
    </row>
    <row r="1807" spans="1:3" x14ac:dyDescent="0.3">
      <c r="A1807" s="1" t="s">
        <v>507</v>
      </c>
      <c r="B1807" t="s">
        <v>306</v>
      </c>
      <c r="C1807" s="1">
        <v>28.241396000000002</v>
      </c>
    </row>
    <row r="1808" spans="1:3" x14ac:dyDescent="0.3">
      <c r="A1808" s="1" t="s">
        <v>507</v>
      </c>
      <c r="B1808" t="s">
        <v>307</v>
      </c>
      <c r="C1808" s="1">
        <v>27.954975000000001</v>
      </c>
    </row>
    <row r="1809" spans="1:3" x14ac:dyDescent="0.3">
      <c r="A1809" s="1" t="s">
        <v>507</v>
      </c>
      <c r="B1809" t="s">
        <v>308</v>
      </c>
      <c r="C1809" s="1">
        <v>28.776053999999998</v>
      </c>
    </row>
    <row r="1810" spans="1:3" x14ac:dyDescent="0.3">
      <c r="A1810" s="1" t="s">
        <v>507</v>
      </c>
      <c r="B1810" t="s">
        <v>309</v>
      </c>
      <c r="C1810" s="1">
        <v>28.241396000000002</v>
      </c>
    </row>
    <row r="1811" spans="1:3" x14ac:dyDescent="0.3">
      <c r="A1811" s="1" t="s">
        <v>507</v>
      </c>
      <c r="B1811" t="s">
        <v>310</v>
      </c>
      <c r="C1811" s="1">
        <v>28.317775999999999</v>
      </c>
    </row>
    <row r="1812" spans="1:3" x14ac:dyDescent="0.3">
      <c r="A1812" s="1" t="s">
        <v>507</v>
      </c>
      <c r="B1812" t="s">
        <v>311</v>
      </c>
      <c r="C1812" s="1">
        <v>28.508725999999999</v>
      </c>
    </row>
    <row r="1813" spans="1:3" x14ac:dyDescent="0.3">
      <c r="A1813" s="1" t="s">
        <v>507</v>
      </c>
      <c r="B1813" t="s">
        <v>312</v>
      </c>
      <c r="C1813" s="1">
        <v>27.382126</v>
      </c>
    </row>
    <row r="1814" spans="1:3" x14ac:dyDescent="0.3">
      <c r="A1814" s="1" t="s">
        <v>507</v>
      </c>
      <c r="B1814" t="s">
        <v>313</v>
      </c>
      <c r="C1814" s="1">
        <v>26.981133</v>
      </c>
    </row>
    <row r="1815" spans="1:3" x14ac:dyDescent="0.3">
      <c r="A1815" s="1" t="s">
        <v>507</v>
      </c>
      <c r="B1815" t="s">
        <v>314</v>
      </c>
      <c r="C1815" s="1">
        <v>26.255526</v>
      </c>
    </row>
    <row r="1816" spans="1:3" x14ac:dyDescent="0.3">
      <c r="A1816" s="1" t="s">
        <v>507</v>
      </c>
      <c r="B1816" t="s">
        <v>315</v>
      </c>
      <c r="C1816" s="1">
        <v>25.682676000000001</v>
      </c>
    </row>
    <row r="1817" spans="1:3" x14ac:dyDescent="0.3">
      <c r="A1817" s="1" t="s">
        <v>507</v>
      </c>
      <c r="B1817" t="s">
        <v>316</v>
      </c>
      <c r="C1817" s="1">
        <v>24.498791000000001</v>
      </c>
    </row>
    <row r="1818" spans="1:3" x14ac:dyDescent="0.3">
      <c r="A1818" s="1" t="s">
        <v>507</v>
      </c>
      <c r="B1818" t="s">
        <v>317</v>
      </c>
      <c r="C1818" s="1">
        <v>24.536982999999999</v>
      </c>
    </row>
    <row r="1819" spans="1:3" x14ac:dyDescent="0.3">
      <c r="A1819" s="1" t="s">
        <v>507</v>
      </c>
      <c r="B1819" t="s">
        <v>318</v>
      </c>
      <c r="C1819" s="1">
        <v>25.778151000000001</v>
      </c>
    </row>
    <row r="1820" spans="1:3" x14ac:dyDescent="0.3">
      <c r="A1820" s="1" t="s">
        <v>507</v>
      </c>
      <c r="B1820" t="s">
        <v>319</v>
      </c>
      <c r="C1820" s="1">
        <v>25.319873999999999</v>
      </c>
    </row>
    <row r="1821" spans="1:3" x14ac:dyDescent="0.3">
      <c r="A1821" s="1" t="s">
        <v>507</v>
      </c>
      <c r="B1821" t="s">
        <v>320</v>
      </c>
      <c r="C1821" s="1">
        <v>25.682676000000001</v>
      </c>
    </row>
    <row r="1822" spans="1:3" x14ac:dyDescent="0.3">
      <c r="A1822" s="1" t="s">
        <v>507</v>
      </c>
      <c r="B1822" t="s">
        <v>321</v>
      </c>
      <c r="C1822" s="1">
        <v>25.644487000000002</v>
      </c>
    </row>
    <row r="1823" spans="1:3" x14ac:dyDescent="0.3">
      <c r="A1823" s="1" t="s">
        <v>507</v>
      </c>
      <c r="B1823" t="s">
        <v>322</v>
      </c>
      <c r="C1823" s="1">
        <v>25.377158999999999</v>
      </c>
    </row>
    <row r="1824" spans="1:3" x14ac:dyDescent="0.3">
      <c r="A1824" s="1" t="s">
        <v>507</v>
      </c>
      <c r="B1824" t="s">
        <v>323</v>
      </c>
      <c r="C1824" s="1">
        <v>25.148018</v>
      </c>
    </row>
    <row r="1825" spans="1:3" x14ac:dyDescent="0.3">
      <c r="A1825" s="1" t="s">
        <v>507</v>
      </c>
      <c r="B1825" t="s">
        <v>324</v>
      </c>
      <c r="C1825" s="1">
        <v>26.484663000000001</v>
      </c>
    </row>
    <row r="1826" spans="1:3" x14ac:dyDescent="0.3">
      <c r="A1826" s="1" t="s">
        <v>507</v>
      </c>
      <c r="B1826" t="s">
        <v>325</v>
      </c>
      <c r="C1826" s="1">
        <v>27.382126</v>
      </c>
    </row>
    <row r="1827" spans="1:3" x14ac:dyDescent="0.3">
      <c r="A1827" s="1" t="s">
        <v>507</v>
      </c>
      <c r="B1827" t="s">
        <v>326</v>
      </c>
      <c r="C1827" s="1">
        <v>26.694707999999999</v>
      </c>
    </row>
    <row r="1828" spans="1:3" x14ac:dyDescent="0.3">
      <c r="A1828" s="1" t="s">
        <v>507</v>
      </c>
      <c r="B1828" t="s">
        <v>327</v>
      </c>
      <c r="C1828" s="1">
        <v>26.522853999999999</v>
      </c>
    </row>
    <row r="1829" spans="1:3" x14ac:dyDescent="0.3">
      <c r="A1829" s="1" t="s">
        <v>507</v>
      </c>
      <c r="B1829" t="s">
        <v>328</v>
      </c>
      <c r="C1829" s="1">
        <v>26.580138999999999</v>
      </c>
    </row>
    <row r="1830" spans="1:3" x14ac:dyDescent="0.3">
      <c r="A1830" s="1" t="s">
        <v>507</v>
      </c>
      <c r="B1830" t="s">
        <v>329</v>
      </c>
      <c r="C1830" s="1">
        <v>26.694707999999999</v>
      </c>
    </row>
    <row r="1831" spans="1:3" x14ac:dyDescent="0.3">
      <c r="A1831" s="1" t="s">
        <v>507</v>
      </c>
      <c r="B1831" t="s">
        <v>330</v>
      </c>
      <c r="C1831" s="1">
        <v>26.522853999999999</v>
      </c>
    </row>
    <row r="1832" spans="1:3" x14ac:dyDescent="0.3">
      <c r="A1832" s="1" t="s">
        <v>507</v>
      </c>
      <c r="B1832" t="s">
        <v>331</v>
      </c>
      <c r="C1832" s="1">
        <v>26.866561999999998</v>
      </c>
    </row>
    <row r="1833" spans="1:3" x14ac:dyDescent="0.3">
      <c r="A1833" s="1" t="s">
        <v>507</v>
      </c>
      <c r="B1833" t="s">
        <v>332</v>
      </c>
      <c r="C1833" s="1">
        <v>26.350999999999999</v>
      </c>
    </row>
    <row r="1834" spans="1:3" x14ac:dyDescent="0.3">
      <c r="A1834" s="1" t="s">
        <v>507</v>
      </c>
      <c r="B1834" t="s">
        <v>333</v>
      </c>
      <c r="C1834" s="1">
        <v>26.561045</v>
      </c>
    </row>
    <row r="1835" spans="1:3" x14ac:dyDescent="0.3">
      <c r="A1835" s="1" t="s">
        <v>507</v>
      </c>
      <c r="B1835" t="s">
        <v>334</v>
      </c>
      <c r="C1835" s="1">
        <v>26.866561999999998</v>
      </c>
    </row>
    <row r="1836" spans="1:3" x14ac:dyDescent="0.3">
      <c r="A1836" s="1" t="s">
        <v>507</v>
      </c>
      <c r="B1836" t="s">
        <v>335</v>
      </c>
      <c r="C1836" s="1">
        <v>28.031352999999999</v>
      </c>
    </row>
    <row r="1837" spans="1:3" x14ac:dyDescent="0.3">
      <c r="A1837" s="1" t="s">
        <v>507</v>
      </c>
      <c r="B1837" t="s">
        <v>336</v>
      </c>
      <c r="C1837" s="1">
        <v>27.725836000000001</v>
      </c>
    </row>
    <row r="1838" spans="1:3" x14ac:dyDescent="0.3">
      <c r="A1838" s="1" t="s">
        <v>507</v>
      </c>
      <c r="B1838" t="s">
        <v>337</v>
      </c>
      <c r="C1838" s="1">
        <v>27.611263000000001</v>
      </c>
    </row>
    <row r="1839" spans="1:3" x14ac:dyDescent="0.3">
      <c r="A1839" s="1" t="s">
        <v>507</v>
      </c>
      <c r="B1839" t="s">
        <v>338</v>
      </c>
      <c r="C1839" s="1">
        <v>27.840405000000001</v>
      </c>
    </row>
    <row r="1840" spans="1:3" x14ac:dyDescent="0.3">
      <c r="A1840" s="1" t="s">
        <v>507</v>
      </c>
      <c r="B1840" t="s">
        <v>339</v>
      </c>
      <c r="C1840" s="1">
        <v>27.305745999999999</v>
      </c>
    </row>
    <row r="1841" spans="1:3" x14ac:dyDescent="0.3">
      <c r="A1841" s="1" t="s">
        <v>507</v>
      </c>
      <c r="B1841" t="s">
        <v>340</v>
      </c>
      <c r="C1841" s="1">
        <v>27.687643000000001</v>
      </c>
    </row>
    <row r="1842" spans="1:3" x14ac:dyDescent="0.3">
      <c r="A1842" s="1" t="s">
        <v>507</v>
      </c>
      <c r="B1842" t="s">
        <v>341</v>
      </c>
      <c r="C1842" s="1">
        <v>27.267555000000002</v>
      </c>
    </row>
    <row r="1843" spans="1:3" x14ac:dyDescent="0.3">
      <c r="A1843" s="1" t="s">
        <v>507</v>
      </c>
      <c r="B1843" t="s">
        <v>342</v>
      </c>
      <c r="C1843" s="1">
        <v>26.904752999999999</v>
      </c>
    </row>
    <row r="1844" spans="1:3" x14ac:dyDescent="0.3">
      <c r="A1844" s="1" t="s">
        <v>507</v>
      </c>
      <c r="B1844" t="s">
        <v>343</v>
      </c>
      <c r="C1844" s="1">
        <v>26.828372999999999</v>
      </c>
    </row>
    <row r="1845" spans="1:3" x14ac:dyDescent="0.3">
      <c r="A1845" s="1" t="s">
        <v>507</v>
      </c>
      <c r="B1845" t="s">
        <v>344</v>
      </c>
      <c r="C1845" s="1">
        <v>26.790182000000001</v>
      </c>
    </row>
    <row r="1846" spans="1:3" x14ac:dyDescent="0.3">
      <c r="A1846" s="1" t="s">
        <v>507</v>
      </c>
      <c r="B1846" t="s">
        <v>345</v>
      </c>
      <c r="C1846" s="1">
        <v>27.534884999999999</v>
      </c>
    </row>
    <row r="1847" spans="1:3" x14ac:dyDescent="0.3">
      <c r="A1847" s="1" t="s">
        <v>507</v>
      </c>
      <c r="B1847" t="s">
        <v>346</v>
      </c>
      <c r="C1847" s="1">
        <v>27.133891999999999</v>
      </c>
    </row>
    <row r="1848" spans="1:3" x14ac:dyDescent="0.3">
      <c r="A1848" s="1" t="s">
        <v>507</v>
      </c>
      <c r="B1848" t="s">
        <v>347</v>
      </c>
      <c r="C1848" s="1">
        <v>26.255526</v>
      </c>
    </row>
    <row r="1849" spans="1:3" x14ac:dyDescent="0.3">
      <c r="A1849" s="1" t="s">
        <v>507</v>
      </c>
      <c r="B1849" t="s">
        <v>348</v>
      </c>
      <c r="C1849" s="1">
        <v>25.892721000000002</v>
      </c>
    </row>
    <row r="1850" spans="1:3" x14ac:dyDescent="0.3">
      <c r="A1850" s="1" t="s">
        <v>507</v>
      </c>
      <c r="B1850" t="s">
        <v>349</v>
      </c>
      <c r="C1850" s="1">
        <v>26.618326</v>
      </c>
    </row>
    <row r="1851" spans="1:3" x14ac:dyDescent="0.3">
      <c r="A1851" s="1" t="s">
        <v>507</v>
      </c>
      <c r="B1851" t="s">
        <v>350</v>
      </c>
      <c r="C1851" s="1">
        <v>26.675612999999998</v>
      </c>
    </row>
    <row r="1852" spans="1:3" x14ac:dyDescent="0.3">
      <c r="A1852" s="1" t="s">
        <v>507</v>
      </c>
      <c r="B1852" t="s">
        <v>351</v>
      </c>
      <c r="C1852" s="1">
        <v>27.611263000000001</v>
      </c>
    </row>
    <row r="1853" spans="1:3" x14ac:dyDescent="0.3">
      <c r="A1853" s="1" t="s">
        <v>507</v>
      </c>
      <c r="B1853" t="s">
        <v>352</v>
      </c>
      <c r="C1853" s="1">
        <v>26.981133</v>
      </c>
    </row>
    <row r="1854" spans="1:3" x14ac:dyDescent="0.3">
      <c r="A1854" s="1" t="s">
        <v>507</v>
      </c>
      <c r="B1854" t="s">
        <v>353</v>
      </c>
      <c r="C1854" s="1">
        <v>27.573073999999998</v>
      </c>
    </row>
    <row r="1855" spans="1:3" x14ac:dyDescent="0.3">
      <c r="A1855" s="1" t="s">
        <v>507</v>
      </c>
      <c r="B1855" t="s">
        <v>354</v>
      </c>
      <c r="C1855" s="1">
        <v>27.191177</v>
      </c>
    </row>
    <row r="1856" spans="1:3" x14ac:dyDescent="0.3">
      <c r="A1856" s="1" t="s">
        <v>507</v>
      </c>
      <c r="B1856" t="s">
        <v>355</v>
      </c>
      <c r="C1856" s="1">
        <v>27.382126</v>
      </c>
    </row>
    <row r="1857" spans="1:3" x14ac:dyDescent="0.3">
      <c r="A1857" s="1" t="s">
        <v>507</v>
      </c>
      <c r="B1857" t="s">
        <v>356</v>
      </c>
      <c r="C1857" s="1">
        <v>27.515791</v>
      </c>
    </row>
    <row r="1858" spans="1:3" x14ac:dyDescent="0.3">
      <c r="A1858" s="1" t="s">
        <v>507</v>
      </c>
      <c r="B1858" t="s">
        <v>357</v>
      </c>
      <c r="C1858" s="1">
        <v>27.725836000000001</v>
      </c>
    </row>
    <row r="1859" spans="1:3" x14ac:dyDescent="0.3">
      <c r="A1859" s="1" t="s">
        <v>507</v>
      </c>
      <c r="B1859" t="s">
        <v>358</v>
      </c>
      <c r="C1859" s="1">
        <v>27.611263000000001</v>
      </c>
    </row>
    <row r="1860" spans="1:3" x14ac:dyDescent="0.3">
      <c r="A1860" s="1" t="s">
        <v>507</v>
      </c>
      <c r="B1860" t="s">
        <v>359</v>
      </c>
      <c r="C1860" s="1">
        <v>27.477599999999999</v>
      </c>
    </row>
    <row r="1861" spans="1:3" x14ac:dyDescent="0.3">
      <c r="A1861" s="1" t="s">
        <v>507</v>
      </c>
      <c r="B1861" t="s">
        <v>360</v>
      </c>
      <c r="C1861" s="1">
        <v>27.706738999999999</v>
      </c>
    </row>
    <row r="1862" spans="1:3" x14ac:dyDescent="0.3">
      <c r="A1862" s="1" t="s">
        <v>507</v>
      </c>
      <c r="B1862" t="s">
        <v>361</v>
      </c>
      <c r="C1862" s="1">
        <v>27.668548999999999</v>
      </c>
    </row>
    <row r="1863" spans="1:3" x14ac:dyDescent="0.3">
      <c r="A1863" s="1" t="s">
        <v>507</v>
      </c>
      <c r="B1863" t="s">
        <v>362</v>
      </c>
      <c r="C1863" s="1">
        <v>28.947908000000002</v>
      </c>
    </row>
    <row r="1864" spans="1:3" x14ac:dyDescent="0.3">
      <c r="A1864" s="1" t="s">
        <v>507</v>
      </c>
      <c r="B1864" t="s">
        <v>363</v>
      </c>
      <c r="C1864" s="1">
        <v>29.272524000000001</v>
      </c>
    </row>
    <row r="1865" spans="1:3" x14ac:dyDescent="0.3">
      <c r="A1865" s="1" t="s">
        <v>507</v>
      </c>
      <c r="B1865" t="s">
        <v>364</v>
      </c>
      <c r="C1865" s="1">
        <v>28.928813999999999</v>
      </c>
    </row>
    <row r="1866" spans="1:3" x14ac:dyDescent="0.3">
      <c r="A1866" s="1" t="s">
        <v>507</v>
      </c>
      <c r="B1866" t="s">
        <v>365</v>
      </c>
      <c r="C1866" s="1">
        <v>29.539853999999998</v>
      </c>
    </row>
    <row r="1867" spans="1:3" x14ac:dyDescent="0.3">
      <c r="A1867" s="1" t="s">
        <v>507</v>
      </c>
      <c r="B1867" t="s">
        <v>366</v>
      </c>
      <c r="C1867" s="1">
        <v>29.043385000000001</v>
      </c>
    </row>
    <row r="1868" spans="1:3" x14ac:dyDescent="0.3">
      <c r="A1868" s="1" t="s">
        <v>507</v>
      </c>
      <c r="B1868" t="s">
        <v>367</v>
      </c>
      <c r="C1868" s="1">
        <v>28.871528999999999</v>
      </c>
    </row>
    <row r="1869" spans="1:3" x14ac:dyDescent="0.3">
      <c r="A1869" s="1" t="s">
        <v>507</v>
      </c>
      <c r="B1869" t="s">
        <v>368</v>
      </c>
      <c r="C1869" s="1">
        <v>28.394157</v>
      </c>
    </row>
    <row r="1870" spans="1:3" x14ac:dyDescent="0.3">
      <c r="A1870" s="1" t="s">
        <v>507</v>
      </c>
      <c r="B1870" t="s">
        <v>369</v>
      </c>
      <c r="C1870" s="1">
        <v>29.043385000000001</v>
      </c>
    </row>
    <row r="1871" spans="1:3" x14ac:dyDescent="0.3">
      <c r="A1871" s="1" t="s">
        <v>507</v>
      </c>
      <c r="B1871" t="s">
        <v>370</v>
      </c>
      <c r="C1871" s="1">
        <v>29.749894999999999</v>
      </c>
    </row>
    <row r="1872" spans="1:3" x14ac:dyDescent="0.3">
      <c r="A1872" s="1" t="s">
        <v>507</v>
      </c>
      <c r="B1872" t="s">
        <v>371</v>
      </c>
      <c r="C1872" s="1">
        <v>30.742833999999998</v>
      </c>
    </row>
    <row r="1873" spans="1:3" x14ac:dyDescent="0.3">
      <c r="A1873" s="1" t="s">
        <v>507</v>
      </c>
      <c r="B1873" t="s">
        <v>372</v>
      </c>
      <c r="C1873" s="1">
        <v>30.971969999999999</v>
      </c>
    </row>
    <row r="1874" spans="1:3" x14ac:dyDescent="0.3">
      <c r="A1874" s="1" t="s">
        <v>507</v>
      </c>
      <c r="B1874" t="s">
        <v>373</v>
      </c>
      <c r="C1874" s="1">
        <v>30.971969999999999</v>
      </c>
    </row>
    <row r="1875" spans="1:3" x14ac:dyDescent="0.3">
      <c r="A1875" s="1" t="s">
        <v>507</v>
      </c>
      <c r="B1875" t="s">
        <v>374</v>
      </c>
      <c r="C1875" s="1">
        <v>30.647355999999998</v>
      </c>
    </row>
    <row r="1876" spans="1:3" x14ac:dyDescent="0.3">
      <c r="A1876" s="1" t="s">
        <v>507</v>
      </c>
      <c r="B1876" t="s">
        <v>375</v>
      </c>
      <c r="C1876" s="1">
        <v>30.284555000000001</v>
      </c>
    </row>
    <row r="1877" spans="1:3" x14ac:dyDescent="0.3">
      <c r="A1877" s="1" t="s">
        <v>507</v>
      </c>
      <c r="B1877" t="s">
        <v>376</v>
      </c>
      <c r="C1877" s="1">
        <v>29.387093</v>
      </c>
    </row>
    <row r="1878" spans="1:3" x14ac:dyDescent="0.3">
      <c r="A1878" s="1" t="s">
        <v>507</v>
      </c>
      <c r="B1878" t="s">
        <v>377</v>
      </c>
      <c r="C1878" s="1">
        <v>28.852433999999999</v>
      </c>
    </row>
    <row r="1879" spans="1:3" x14ac:dyDescent="0.3">
      <c r="A1879" s="1" t="s">
        <v>507</v>
      </c>
      <c r="B1879" t="s">
        <v>378</v>
      </c>
      <c r="C1879" s="1">
        <v>28.699674999999999</v>
      </c>
    </row>
    <row r="1880" spans="1:3" x14ac:dyDescent="0.3">
      <c r="A1880" s="1" t="s">
        <v>507</v>
      </c>
      <c r="B1880" t="s">
        <v>379</v>
      </c>
      <c r="C1880" s="1">
        <v>29.940844999999999</v>
      </c>
    </row>
    <row r="1881" spans="1:3" x14ac:dyDescent="0.3">
      <c r="A1881" s="1" t="s">
        <v>507</v>
      </c>
      <c r="B1881" t="s">
        <v>380</v>
      </c>
      <c r="C1881" s="1">
        <v>30.570978</v>
      </c>
    </row>
    <row r="1882" spans="1:3" x14ac:dyDescent="0.3">
      <c r="A1882" s="1" t="s">
        <v>507</v>
      </c>
      <c r="B1882" t="s">
        <v>381</v>
      </c>
      <c r="C1882" s="1">
        <v>30.742833999999998</v>
      </c>
    </row>
    <row r="1883" spans="1:3" x14ac:dyDescent="0.3">
      <c r="A1883" s="1" t="s">
        <v>507</v>
      </c>
      <c r="B1883" t="s">
        <v>382</v>
      </c>
      <c r="C1883" s="1">
        <v>34.103541999999997</v>
      </c>
    </row>
    <row r="1884" spans="1:3" x14ac:dyDescent="0.3">
      <c r="A1884" s="1" t="s">
        <v>507</v>
      </c>
      <c r="B1884" t="s">
        <v>383</v>
      </c>
      <c r="C1884" s="1">
        <v>33.893497000000004</v>
      </c>
    </row>
    <row r="1885" spans="1:3" x14ac:dyDescent="0.3">
      <c r="A1885" s="1" t="s">
        <v>507</v>
      </c>
      <c r="B1885" t="s">
        <v>384</v>
      </c>
      <c r="C1885" s="1">
        <v>34.695480000000003</v>
      </c>
    </row>
    <row r="1886" spans="1:3" x14ac:dyDescent="0.3">
      <c r="A1886" s="1" t="s">
        <v>507</v>
      </c>
      <c r="B1886" t="s">
        <v>385</v>
      </c>
      <c r="C1886" s="1">
        <v>35.516562999999998</v>
      </c>
    </row>
    <row r="1887" spans="1:3" x14ac:dyDescent="0.3">
      <c r="A1887" s="1" t="s">
        <v>507</v>
      </c>
      <c r="B1887" t="s">
        <v>386</v>
      </c>
      <c r="C1887" s="1">
        <v>35.058289000000002</v>
      </c>
    </row>
    <row r="1888" spans="1:3" x14ac:dyDescent="0.3">
      <c r="A1888" s="1" t="s">
        <v>507</v>
      </c>
      <c r="B1888" t="s">
        <v>387</v>
      </c>
      <c r="C1888" s="1">
        <v>34.905524999999997</v>
      </c>
    </row>
    <row r="1889" spans="1:3" x14ac:dyDescent="0.3">
      <c r="A1889" s="1" t="s">
        <v>507</v>
      </c>
      <c r="B1889" t="s">
        <v>388</v>
      </c>
      <c r="C1889" s="1">
        <v>35.039192</v>
      </c>
    </row>
    <row r="1890" spans="1:3" x14ac:dyDescent="0.3">
      <c r="A1890" s="1" t="s">
        <v>507</v>
      </c>
      <c r="B1890" t="s">
        <v>389</v>
      </c>
      <c r="C1890" s="1">
        <v>34.389964999999997</v>
      </c>
    </row>
    <row r="1891" spans="1:3" x14ac:dyDescent="0.3">
      <c r="A1891" s="1" t="s">
        <v>507</v>
      </c>
      <c r="B1891" t="s">
        <v>390</v>
      </c>
      <c r="C1891" s="1">
        <v>35.134663000000003</v>
      </c>
    </row>
    <row r="1892" spans="1:3" x14ac:dyDescent="0.3">
      <c r="A1892" s="1" t="s">
        <v>507</v>
      </c>
      <c r="B1892" t="s">
        <v>391</v>
      </c>
      <c r="C1892" s="1">
        <v>35.115569999999998</v>
      </c>
    </row>
    <row r="1893" spans="1:3" x14ac:dyDescent="0.3">
      <c r="A1893" s="1" t="s">
        <v>507</v>
      </c>
      <c r="B1893" t="s">
        <v>392</v>
      </c>
      <c r="C1893" s="1">
        <v>34.370868999999999</v>
      </c>
    </row>
    <row r="1894" spans="1:3" x14ac:dyDescent="0.3">
      <c r="A1894" s="1" t="s">
        <v>507</v>
      </c>
      <c r="B1894" t="s">
        <v>393</v>
      </c>
      <c r="C1894" s="1">
        <v>34.638195000000003</v>
      </c>
    </row>
    <row r="1895" spans="1:3" x14ac:dyDescent="0.3">
      <c r="A1895" s="1" t="s">
        <v>507</v>
      </c>
      <c r="B1895" t="s">
        <v>394</v>
      </c>
      <c r="C1895" s="1">
        <v>34.619101999999998</v>
      </c>
    </row>
    <row r="1896" spans="1:3" x14ac:dyDescent="0.3">
      <c r="A1896" s="1" t="s">
        <v>507</v>
      </c>
      <c r="B1896" t="s">
        <v>395</v>
      </c>
      <c r="C1896" s="1">
        <v>34.122638999999999</v>
      </c>
    </row>
    <row r="1897" spans="1:3" x14ac:dyDescent="0.3">
      <c r="A1897" s="1" t="s">
        <v>507</v>
      </c>
      <c r="B1897" t="s">
        <v>396</v>
      </c>
      <c r="C1897" s="1">
        <v>34.943717999999997</v>
      </c>
    </row>
    <row r="1898" spans="1:3" x14ac:dyDescent="0.3">
      <c r="A1898" s="1" t="s">
        <v>507</v>
      </c>
      <c r="B1898" t="s">
        <v>397</v>
      </c>
      <c r="C1898" s="1">
        <v>35.631134000000003</v>
      </c>
    </row>
    <row r="1899" spans="1:3" x14ac:dyDescent="0.3">
      <c r="A1899" s="1" t="s">
        <v>507</v>
      </c>
      <c r="B1899" t="s">
        <v>398</v>
      </c>
      <c r="C1899" s="1">
        <v>35.115569999999998</v>
      </c>
    </row>
    <row r="1900" spans="1:3" x14ac:dyDescent="0.3">
      <c r="A1900" s="1" t="s">
        <v>507</v>
      </c>
      <c r="B1900" t="s">
        <v>399</v>
      </c>
      <c r="C1900" s="1">
        <v>35.707515999999998</v>
      </c>
    </row>
    <row r="1901" spans="1:3" x14ac:dyDescent="0.3">
      <c r="A1901" s="1" t="s">
        <v>507</v>
      </c>
      <c r="B1901" t="s">
        <v>400</v>
      </c>
      <c r="C1901" s="1">
        <v>35.573849000000003</v>
      </c>
    </row>
    <row r="1902" spans="1:3" x14ac:dyDescent="0.3">
      <c r="A1902" s="1" t="s">
        <v>507</v>
      </c>
      <c r="B1902" t="s">
        <v>401</v>
      </c>
      <c r="C1902" s="1">
        <v>35.879371999999996</v>
      </c>
    </row>
    <row r="1903" spans="1:3" x14ac:dyDescent="0.3">
      <c r="A1903" s="1" t="s">
        <v>507</v>
      </c>
      <c r="B1903" t="s">
        <v>402</v>
      </c>
      <c r="C1903" s="1">
        <v>34.676388000000003</v>
      </c>
    </row>
    <row r="1904" spans="1:3" x14ac:dyDescent="0.3">
      <c r="A1904" s="1" t="s">
        <v>507</v>
      </c>
      <c r="B1904" t="s">
        <v>403</v>
      </c>
      <c r="C1904" s="1">
        <v>34.409058000000002</v>
      </c>
    </row>
    <row r="1905" spans="1:3" x14ac:dyDescent="0.3">
      <c r="A1905" s="1" t="s">
        <v>507</v>
      </c>
      <c r="B1905" t="s">
        <v>404</v>
      </c>
      <c r="C1905" s="1">
        <v>35.612037999999998</v>
      </c>
    </row>
    <row r="1906" spans="1:3" x14ac:dyDescent="0.3">
      <c r="A1906" s="1" t="s">
        <v>507</v>
      </c>
      <c r="B1906" t="s">
        <v>405</v>
      </c>
      <c r="C1906" s="1">
        <v>35.745700999999997</v>
      </c>
    </row>
    <row r="1907" spans="1:3" x14ac:dyDescent="0.3">
      <c r="A1907" s="1" t="s">
        <v>507</v>
      </c>
      <c r="B1907" t="s">
        <v>406</v>
      </c>
      <c r="C1907" s="1">
        <v>35.153762999999998</v>
      </c>
    </row>
    <row r="1908" spans="1:3" x14ac:dyDescent="0.3">
      <c r="A1908" s="1" t="s">
        <v>507</v>
      </c>
      <c r="B1908" t="s">
        <v>407</v>
      </c>
      <c r="C1908" s="1">
        <v>35.860275000000001</v>
      </c>
    </row>
    <row r="1909" spans="1:3" x14ac:dyDescent="0.3">
      <c r="A1909" s="1" t="s">
        <v>507</v>
      </c>
      <c r="B1909" t="s">
        <v>408</v>
      </c>
      <c r="C1909" s="1">
        <v>35.822085999999999</v>
      </c>
    </row>
    <row r="1910" spans="1:3" x14ac:dyDescent="0.3">
      <c r="A1910" s="1" t="s">
        <v>507</v>
      </c>
      <c r="B1910" t="s">
        <v>409</v>
      </c>
      <c r="C1910" s="1">
        <v>35.841178999999997</v>
      </c>
    </row>
    <row r="1911" spans="1:3" x14ac:dyDescent="0.3">
      <c r="A1911" s="1" t="s">
        <v>507</v>
      </c>
      <c r="B1911" t="s">
        <v>410</v>
      </c>
      <c r="C1911" s="1">
        <v>35.802990000000001</v>
      </c>
    </row>
    <row r="1912" spans="1:3" x14ac:dyDescent="0.3">
      <c r="A1912" s="1" t="s">
        <v>507</v>
      </c>
      <c r="B1912" t="s">
        <v>411</v>
      </c>
      <c r="C1912" s="1">
        <v>35.89846</v>
      </c>
    </row>
    <row r="1913" spans="1:3" x14ac:dyDescent="0.3">
      <c r="A1913" s="1" t="s">
        <v>507</v>
      </c>
      <c r="B1913" t="s">
        <v>412</v>
      </c>
      <c r="C1913" s="1">
        <v>35.516562999999998</v>
      </c>
    </row>
    <row r="1914" spans="1:3" x14ac:dyDescent="0.3">
      <c r="A1914" s="1" t="s">
        <v>507</v>
      </c>
      <c r="B1914" t="s">
        <v>413</v>
      </c>
      <c r="C1914" s="1">
        <v>35.153762999999998</v>
      </c>
    </row>
    <row r="1915" spans="1:3" x14ac:dyDescent="0.3">
      <c r="A1915" s="1" t="s">
        <v>507</v>
      </c>
      <c r="B1915" t="s">
        <v>414</v>
      </c>
      <c r="C1915" s="1">
        <v>35.249232999999997</v>
      </c>
    </row>
    <row r="1916" spans="1:3" x14ac:dyDescent="0.3">
      <c r="A1916" s="1" t="s">
        <v>507</v>
      </c>
      <c r="B1916" t="s">
        <v>415</v>
      </c>
      <c r="C1916" s="1">
        <v>33.778927000000003</v>
      </c>
    </row>
    <row r="1917" spans="1:3" x14ac:dyDescent="0.3">
      <c r="A1917" s="1" t="s">
        <v>507</v>
      </c>
      <c r="B1917" t="s">
        <v>416</v>
      </c>
      <c r="C1917" s="1">
        <v>34.504536000000002</v>
      </c>
    </row>
    <row r="1918" spans="1:3" x14ac:dyDescent="0.3">
      <c r="A1918" s="1" t="s">
        <v>507</v>
      </c>
      <c r="B1918" t="s">
        <v>417</v>
      </c>
      <c r="C1918" s="1">
        <v>35.153762999999998</v>
      </c>
    </row>
    <row r="1919" spans="1:3" x14ac:dyDescent="0.3">
      <c r="A1919" s="1" t="s">
        <v>507</v>
      </c>
      <c r="B1919" t="s">
        <v>418</v>
      </c>
      <c r="C1919" s="1">
        <v>36.566783999999998</v>
      </c>
    </row>
    <row r="1920" spans="1:3" x14ac:dyDescent="0.3">
      <c r="A1920" s="1" t="s">
        <v>507</v>
      </c>
      <c r="B1920" t="s">
        <v>419</v>
      </c>
      <c r="C1920" s="1">
        <v>37.025063000000003</v>
      </c>
    </row>
    <row r="1921" spans="1:3" x14ac:dyDescent="0.3">
      <c r="A1921" s="1" t="s">
        <v>507</v>
      </c>
      <c r="B1921" t="s">
        <v>420</v>
      </c>
      <c r="C1921" s="1">
        <v>37.044155000000003</v>
      </c>
    </row>
    <row r="1922" spans="1:3" x14ac:dyDescent="0.3">
      <c r="A1922" s="1" t="s">
        <v>507</v>
      </c>
      <c r="B1922" t="s">
        <v>421</v>
      </c>
      <c r="C1922" s="1">
        <v>37.122311000000003</v>
      </c>
    </row>
    <row r="1923" spans="1:3" x14ac:dyDescent="0.3">
      <c r="A1923" s="1" t="s">
        <v>507</v>
      </c>
      <c r="B1923" t="s">
        <v>422</v>
      </c>
      <c r="C1923" s="1">
        <v>37.219996999999999</v>
      </c>
    </row>
    <row r="1924" spans="1:3" x14ac:dyDescent="0.3">
      <c r="A1924" s="1" t="s">
        <v>507</v>
      </c>
      <c r="B1924" t="s">
        <v>423</v>
      </c>
      <c r="C1924" s="1">
        <v>38.630001</v>
      </c>
    </row>
    <row r="1925" spans="1:3" x14ac:dyDescent="0.3">
      <c r="A1925" s="1" t="s">
        <v>507</v>
      </c>
      <c r="B1925" t="s">
        <v>424</v>
      </c>
      <c r="C1925" s="1">
        <v>37.889999000000003</v>
      </c>
    </row>
    <row r="1926" spans="1:3" x14ac:dyDescent="0.3">
      <c r="A1926" s="1" t="s">
        <v>507</v>
      </c>
      <c r="B1926" t="s">
        <v>425</v>
      </c>
      <c r="C1926" s="1">
        <v>38.439999</v>
      </c>
    </row>
    <row r="1927" spans="1:3" x14ac:dyDescent="0.3">
      <c r="A1927" s="1" t="s">
        <v>507</v>
      </c>
      <c r="B1927" t="s">
        <v>426</v>
      </c>
      <c r="C1927" s="1">
        <v>38.080002</v>
      </c>
    </row>
    <row r="1928" spans="1:3" x14ac:dyDescent="0.3">
      <c r="A1928" s="1" t="s">
        <v>507</v>
      </c>
      <c r="B1928" t="s">
        <v>427</v>
      </c>
      <c r="C1928" s="1">
        <v>37.950001</v>
      </c>
    </row>
    <row r="1929" spans="1:3" x14ac:dyDescent="0.3">
      <c r="A1929" s="1" t="s">
        <v>507</v>
      </c>
      <c r="B1929" t="s">
        <v>428</v>
      </c>
      <c r="C1929" s="1">
        <v>38.520000000000003</v>
      </c>
    </row>
    <row r="1930" spans="1:3" x14ac:dyDescent="0.3">
      <c r="A1930" s="1" t="s">
        <v>507</v>
      </c>
      <c r="B1930" t="s">
        <v>429</v>
      </c>
      <c r="C1930" s="1">
        <v>38.540000999999997</v>
      </c>
    </row>
    <row r="1931" spans="1:3" x14ac:dyDescent="0.3">
      <c r="A1931" s="1" t="s">
        <v>507</v>
      </c>
      <c r="B1931" t="s">
        <v>430</v>
      </c>
      <c r="C1931" s="1">
        <v>38.400002000000001</v>
      </c>
    </row>
    <row r="1932" spans="1:3" x14ac:dyDescent="0.3">
      <c r="A1932" s="1" t="s">
        <v>507</v>
      </c>
      <c r="B1932" t="s">
        <v>431</v>
      </c>
      <c r="C1932" s="1">
        <v>39.290000999999997</v>
      </c>
    </row>
    <row r="1933" spans="1:3" x14ac:dyDescent="0.3">
      <c r="A1933" s="1" t="s">
        <v>507</v>
      </c>
      <c r="B1933" t="s">
        <v>432</v>
      </c>
      <c r="C1933" s="1">
        <v>40.060001</v>
      </c>
    </row>
    <row r="1934" spans="1:3" x14ac:dyDescent="0.3">
      <c r="A1934" s="1" t="s">
        <v>507</v>
      </c>
      <c r="B1934" t="s">
        <v>433</v>
      </c>
      <c r="C1934" s="1">
        <v>38.869999</v>
      </c>
    </row>
    <row r="1935" spans="1:3" x14ac:dyDescent="0.3">
      <c r="A1935" s="1" t="s">
        <v>507</v>
      </c>
      <c r="B1935" t="s">
        <v>434</v>
      </c>
      <c r="C1935" s="1">
        <v>38.349997999999999</v>
      </c>
    </row>
    <row r="1936" spans="1:3" x14ac:dyDescent="0.3">
      <c r="A1936" s="1" t="s">
        <v>507</v>
      </c>
      <c r="B1936" t="s">
        <v>435</v>
      </c>
      <c r="C1936" s="1">
        <v>39.290000999999997</v>
      </c>
    </row>
    <row r="1937" spans="1:3" x14ac:dyDescent="0.3">
      <c r="A1937" s="1" t="s">
        <v>507</v>
      </c>
      <c r="B1937" t="s">
        <v>436</v>
      </c>
      <c r="C1937" s="1">
        <v>39.479999999999997</v>
      </c>
    </row>
    <row r="1938" spans="1:3" x14ac:dyDescent="0.3">
      <c r="A1938" s="1" t="s">
        <v>507</v>
      </c>
      <c r="B1938" t="s">
        <v>437</v>
      </c>
      <c r="C1938" s="1">
        <v>41.419998</v>
      </c>
    </row>
    <row r="1939" spans="1:3" x14ac:dyDescent="0.3">
      <c r="A1939" s="1" t="s">
        <v>507</v>
      </c>
      <c r="B1939" t="s">
        <v>438</v>
      </c>
      <c r="C1939" s="1">
        <v>40.810001</v>
      </c>
    </row>
    <row r="1940" spans="1:3" x14ac:dyDescent="0.3">
      <c r="A1940" s="1" t="s">
        <v>507</v>
      </c>
      <c r="B1940" t="s">
        <v>439</v>
      </c>
      <c r="C1940" s="1">
        <v>40.509998000000003</v>
      </c>
    </row>
    <row r="1941" spans="1:3" x14ac:dyDescent="0.3">
      <c r="A1941" s="1" t="s">
        <v>507</v>
      </c>
      <c r="B1941" t="s">
        <v>440</v>
      </c>
      <c r="C1941" s="1">
        <v>38.150002000000001</v>
      </c>
    </row>
    <row r="1942" spans="1:3" x14ac:dyDescent="0.3">
      <c r="A1942" s="1" t="s">
        <v>507</v>
      </c>
      <c r="B1942" t="s">
        <v>441</v>
      </c>
      <c r="C1942" s="1">
        <v>38.32</v>
      </c>
    </row>
    <row r="1943" spans="1:3" x14ac:dyDescent="0.3">
      <c r="A1943" s="1" t="s">
        <v>507</v>
      </c>
      <c r="B1943" t="s">
        <v>442</v>
      </c>
      <c r="C1943" s="1">
        <v>38.479999999999997</v>
      </c>
    </row>
    <row r="1944" spans="1:3" x14ac:dyDescent="0.3">
      <c r="A1944" s="1" t="s">
        <v>507</v>
      </c>
      <c r="B1944" t="s">
        <v>443</v>
      </c>
      <c r="C1944" s="1">
        <v>37.270000000000003</v>
      </c>
    </row>
    <row r="1945" spans="1:3" x14ac:dyDescent="0.3">
      <c r="A1945" s="1" t="s">
        <v>507</v>
      </c>
      <c r="B1945" t="s">
        <v>444</v>
      </c>
      <c r="C1945" s="1">
        <v>38.389999000000003</v>
      </c>
    </row>
    <row r="1946" spans="1:3" x14ac:dyDescent="0.3">
      <c r="A1946" s="1" t="s">
        <v>507</v>
      </c>
      <c r="B1946" t="s">
        <v>445</v>
      </c>
      <c r="C1946" s="1">
        <v>37.689999</v>
      </c>
    </row>
    <row r="1947" spans="1:3" x14ac:dyDescent="0.3">
      <c r="A1947" s="1" t="s">
        <v>507</v>
      </c>
      <c r="B1947" t="s">
        <v>446</v>
      </c>
      <c r="C1947" s="1">
        <v>38.549999</v>
      </c>
    </row>
    <row r="1948" spans="1:3" x14ac:dyDescent="0.3">
      <c r="A1948" s="1" t="s">
        <v>507</v>
      </c>
      <c r="B1948" t="s">
        <v>447</v>
      </c>
      <c r="C1948" s="1">
        <v>38.610000999999997</v>
      </c>
    </row>
    <row r="1949" spans="1:3" x14ac:dyDescent="0.3">
      <c r="A1949" s="1" t="s">
        <v>507</v>
      </c>
      <c r="B1949" t="s">
        <v>448</v>
      </c>
      <c r="C1949" s="1">
        <v>37.380001</v>
      </c>
    </row>
    <row r="1950" spans="1:3" x14ac:dyDescent="0.3">
      <c r="A1950" s="1" t="s">
        <v>507</v>
      </c>
      <c r="B1950" t="s">
        <v>449</v>
      </c>
      <c r="C1950" s="1">
        <v>37.159999999999997</v>
      </c>
    </row>
    <row r="1951" spans="1:3" x14ac:dyDescent="0.3">
      <c r="A1951" s="1" t="s">
        <v>507</v>
      </c>
      <c r="B1951" t="s">
        <v>450</v>
      </c>
      <c r="C1951" s="1">
        <v>37.979999999999997</v>
      </c>
    </row>
    <row r="1952" spans="1:3" x14ac:dyDescent="0.3">
      <c r="A1952" s="1" t="s">
        <v>507</v>
      </c>
      <c r="B1952" t="s">
        <v>451</v>
      </c>
      <c r="C1952" s="1">
        <v>38.310001</v>
      </c>
    </row>
    <row r="1953" spans="1:3" x14ac:dyDescent="0.3">
      <c r="A1953" s="1" t="s">
        <v>507</v>
      </c>
      <c r="B1953" t="s">
        <v>452</v>
      </c>
      <c r="C1953" s="1">
        <v>38.630001</v>
      </c>
    </row>
    <row r="1954" spans="1:3" x14ac:dyDescent="0.3">
      <c r="A1954" s="1" t="s">
        <v>507</v>
      </c>
      <c r="B1954" t="s">
        <v>453</v>
      </c>
      <c r="C1954" s="1">
        <v>37.799999</v>
      </c>
    </row>
    <row r="1955" spans="1:3" x14ac:dyDescent="0.3">
      <c r="A1955" s="1" t="s">
        <v>507</v>
      </c>
      <c r="B1955" t="s">
        <v>454</v>
      </c>
      <c r="C1955" s="1">
        <v>37.799999</v>
      </c>
    </row>
    <row r="1956" spans="1:3" x14ac:dyDescent="0.3">
      <c r="A1956" s="1" t="s">
        <v>507</v>
      </c>
      <c r="B1956" t="s">
        <v>455</v>
      </c>
      <c r="C1956" s="1">
        <v>38.150002000000001</v>
      </c>
    </row>
    <row r="1957" spans="1:3" x14ac:dyDescent="0.3">
      <c r="A1957" s="1" t="s">
        <v>507</v>
      </c>
      <c r="B1957" t="s">
        <v>456</v>
      </c>
      <c r="C1957" s="1">
        <v>38.029998999999997</v>
      </c>
    </row>
    <row r="1958" spans="1:3" x14ac:dyDescent="0.3">
      <c r="A1958" s="1" t="s">
        <v>507</v>
      </c>
      <c r="B1958" t="s">
        <v>457</v>
      </c>
      <c r="C1958" s="1">
        <v>38.130001</v>
      </c>
    </row>
    <row r="1959" spans="1:3" x14ac:dyDescent="0.3">
      <c r="A1959" s="1" t="s">
        <v>507</v>
      </c>
      <c r="B1959" t="s">
        <v>458</v>
      </c>
      <c r="C1959" s="1">
        <v>37.340000000000003</v>
      </c>
    </row>
    <row r="1960" spans="1:3" x14ac:dyDescent="0.3">
      <c r="A1960" s="1" t="s">
        <v>507</v>
      </c>
      <c r="B1960" t="s">
        <v>459</v>
      </c>
      <c r="C1960" s="1">
        <v>37.919998</v>
      </c>
    </row>
    <row r="1961" spans="1:3" x14ac:dyDescent="0.3">
      <c r="A1961" s="1" t="s">
        <v>507</v>
      </c>
      <c r="B1961" t="s">
        <v>460</v>
      </c>
      <c r="C1961" s="1">
        <v>37.43</v>
      </c>
    </row>
    <row r="1962" spans="1:3" x14ac:dyDescent="0.3">
      <c r="A1962" s="1" t="s">
        <v>507</v>
      </c>
      <c r="B1962" t="s">
        <v>461</v>
      </c>
      <c r="C1962" s="1">
        <v>37.18</v>
      </c>
    </row>
    <row r="1963" spans="1:3" x14ac:dyDescent="0.3">
      <c r="A1963" s="1" t="s">
        <v>507</v>
      </c>
      <c r="B1963" t="s">
        <v>462</v>
      </c>
      <c r="C1963" s="1">
        <v>38.299999</v>
      </c>
    </row>
    <row r="1964" spans="1:3" x14ac:dyDescent="0.3">
      <c r="A1964" s="1" t="s">
        <v>507</v>
      </c>
      <c r="B1964" t="s">
        <v>463</v>
      </c>
      <c r="C1964" s="1">
        <v>38.759998000000003</v>
      </c>
    </row>
    <row r="1965" spans="1:3" x14ac:dyDescent="0.3">
      <c r="A1965" s="1" t="s">
        <v>507</v>
      </c>
      <c r="B1965" t="s">
        <v>464</v>
      </c>
      <c r="C1965" s="1">
        <v>38.380001</v>
      </c>
    </row>
    <row r="1966" spans="1:3" x14ac:dyDescent="0.3">
      <c r="A1966" s="1" t="s">
        <v>507</v>
      </c>
      <c r="B1966" t="s">
        <v>465</v>
      </c>
      <c r="C1966" s="1">
        <v>38.639999000000003</v>
      </c>
    </row>
    <row r="1967" spans="1:3" x14ac:dyDescent="0.3">
      <c r="A1967" s="1" t="s">
        <v>507</v>
      </c>
      <c r="B1967" t="s">
        <v>466</v>
      </c>
      <c r="C1967" s="1">
        <v>38.770000000000003</v>
      </c>
    </row>
    <row r="1968" spans="1:3" x14ac:dyDescent="0.3">
      <c r="A1968" s="1" t="s">
        <v>507</v>
      </c>
      <c r="B1968" t="s">
        <v>467</v>
      </c>
      <c r="C1968" s="1">
        <v>38.490001999999997</v>
      </c>
    </row>
    <row r="1969" spans="1:3" x14ac:dyDescent="0.3">
      <c r="A1969" s="1" t="s">
        <v>507</v>
      </c>
      <c r="B1969" t="s">
        <v>468</v>
      </c>
      <c r="C1969" s="1">
        <v>37.389999000000003</v>
      </c>
    </row>
    <row r="1970" spans="1:3" x14ac:dyDescent="0.3">
      <c r="A1970" s="1" t="s">
        <v>507</v>
      </c>
      <c r="B1970" t="s">
        <v>469</v>
      </c>
      <c r="C1970" s="1">
        <v>36.549999</v>
      </c>
    </row>
    <row r="1971" spans="1:3" x14ac:dyDescent="0.3">
      <c r="A1971" s="1" t="s">
        <v>507</v>
      </c>
      <c r="B1971" t="s">
        <v>470</v>
      </c>
      <c r="C1971" s="1">
        <v>36.869999</v>
      </c>
    </row>
    <row r="1972" spans="1:3" x14ac:dyDescent="0.3">
      <c r="A1972" s="1" t="s">
        <v>507</v>
      </c>
      <c r="B1972" t="s">
        <v>471</v>
      </c>
      <c r="C1972" s="1">
        <v>36.880001</v>
      </c>
    </row>
    <row r="1973" spans="1:3" x14ac:dyDescent="0.3">
      <c r="A1973" s="1" t="s">
        <v>507</v>
      </c>
      <c r="B1973" t="s">
        <v>472</v>
      </c>
      <c r="C1973" s="1">
        <v>35.900002000000001</v>
      </c>
    </row>
    <row r="1974" spans="1:3" x14ac:dyDescent="0.3">
      <c r="A1974" s="1" t="s">
        <v>507</v>
      </c>
      <c r="B1974" t="s">
        <v>473</v>
      </c>
      <c r="C1974" s="1">
        <v>36.340000000000003</v>
      </c>
    </row>
    <row r="1975" spans="1:3" x14ac:dyDescent="0.3">
      <c r="A1975" s="1" t="s">
        <v>507</v>
      </c>
      <c r="B1975" t="s">
        <v>474</v>
      </c>
      <c r="C1975" s="1">
        <v>35.590000000000003</v>
      </c>
    </row>
    <row r="1976" spans="1:3" x14ac:dyDescent="0.3">
      <c r="A1976" s="1" t="s">
        <v>507</v>
      </c>
      <c r="B1976" t="s">
        <v>475</v>
      </c>
      <c r="C1976" s="1">
        <v>35.669998</v>
      </c>
    </row>
    <row r="1977" spans="1:3" x14ac:dyDescent="0.3">
      <c r="A1977" s="1" t="s">
        <v>507</v>
      </c>
      <c r="B1977" t="s">
        <v>476</v>
      </c>
      <c r="C1977" s="1">
        <v>36.189999</v>
      </c>
    </row>
    <row r="1978" spans="1:3" x14ac:dyDescent="0.3">
      <c r="A1978" s="1" t="s">
        <v>507</v>
      </c>
      <c r="B1978" t="s">
        <v>477</v>
      </c>
      <c r="C1978" s="1">
        <v>35.950001</v>
      </c>
    </row>
    <row r="1979" spans="1:3" x14ac:dyDescent="0.3">
      <c r="A1979" s="1" t="s">
        <v>507</v>
      </c>
      <c r="B1979" t="s">
        <v>478</v>
      </c>
      <c r="C1979" s="1">
        <v>36.380001</v>
      </c>
    </row>
    <row r="1980" spans="1:3" x14ac:dyDescent="0.3">
      <c r="A1980" s="1" t="s">
        <v>507</v>
      </c>
      <c r="B1980" t="s">
        <v>479</v>
      </c>
      <c r="C1980" s="1">
        <v>36.130001</v>
      </c>
    </row>
    <row r="1981" spans="1:3" x14ac:dyDescent="0.3">
      <c r="A1981" s="1" t="s">
        <v>507</v>
      </c>
      <c r="B1981" t="s">
        <v>480</v>
      </c>
      <c r="C1981" s="1">
        <v>35.450001</v>
      </c>
    </row>
    <row r="1982" spans="1:3" x14ac:dyDescent="0.3">
      <c r="A1982" s="1" t="s">
        <v>507</v>
      </c>
      <c r="B1982" t="s">
        <v>481</v>
      </c>
      <c r="C1982" s="1">
        <v>35.900002000000001</v>
      </c>
    </row>
    <row r="1983" spans="1:3" x14ac:dyDescent="0.3">
      <c r="A1983" s="1" t="s">
        <v>507</v>
      </c>
      <c r="B1983" t="s">
        <v>482</v>
      </c>
      <c r="C1983" s="1">
        <v>35.520000000000003</v>
      </c>
    </row>
    <row r="1984" spans="1:3" x14ac:dyDescent="0.3">
      <c r="A1984" s="1" t="s">
        <v>507</v>
      </c>
      <c r="B1984" t="s">
        <v>483</v>
      </c>
      <c r="C1984" s="1">
        <v>36.590000000000003</v>
      </c>
    </row>
    <row r="1985" spans="1:3" x14ac:dyDescent="0.3">
      <c r="A1985" s="1" t="s">
        <v>507</v>
      </c>
      <c r="B1985" t="s">
        <v>484</v>
      </c>
      <c r="C1985" s="1">
        <v>37.520000000000003</v>
      </c>
    </row>
    <row r="1986" spans="1:3" x14ac:dyDescent="0.3">
      <c r="A1986" s="1" t="s">
        <v>507</v>
      </c>
      <c r="B1986" t="s">
        <v>485</v>
      </c>
      <c r="C1986" s="1">
        <v>37.720001000000003</v>
      </c>
    </row>
    <row r="1987" spans="1:3" x14ac:dyDescent="0.3">
      <c r="A1987" s="1" t="s">
        <v>507</v>
      </c>
      <c r="B1987" t="s">
        <v>486</v>
      </c>
      <c r="C1987" s="1">
        <v>37.099997999999999</v>
      </c>
    </row>
    <row r="1988" spans="1:3" x14ac:dyDescent="0.3">
      <c r="A1988" s="1" t="s">
        <v>507</v>
      </c>
      <c r="B1988" t="s">
        <v>487</v>
      </c>
      <c r="C1988" s="1">
        <v>36.919998</v>
      </c>
    </row>
    <row r="1989" spans="1:3" x14ac:dyDescent="0.3">
      <c r="A1989" s="1" t="s">
        <v>507</v>
      </c>
      <c r="B1989" t="s">
        <v>488</v>
      </c>
      <c r="C1989" s="1">
        <v>36.490001999999997</v>
      </c>
    </row>
    <row r="1990" spans="1:3" x14ac:dyDescent="0.3">
      <c r="A1990" s="1" t="s">
        <v>507</v>
      </c>
      <c r="B1990" t="s">
        <v>489</v>
      </c>
      <c r="C1990" s="1">
        <v>36.130001</v>
      </c>
    </row>
    <row r="1991" spans="1:3" x14ac:dyDescent="0.3">
      <c r="A1991" s="1" t="s">
        <v>507</v>
      </c>
      <c r="B1991" t="s">
        <v>490</v>
      </c>
      <c r="C1991" s="1">
        <v>36.770000000000003</v>
      </c>
    </row>
    <row r="1992" spans="1:3" x14ac:dyDescent="0.3">
      <c r="A1992" s="1" t="s">
        <v>507</v>
      </c>
      <c r="B1992" t="s">
        <v>491</v>
      </c>
      <c r="C1992" s="1">
        <v>36.919998</v>
      </c>
    </row>
    <row r="1993" spans="1:3" x14ac:dyDescent="0.3">
      <c r="A1993" s="1" t="s">
        <v>507</v>
      </c>
      <c r="B1993" t="s">
        <v>492</v>
      </c>
      <c r="C1993" s="1">
        <v>36.810001</v>
      </c>
    </row>
    <row r="1994" spans="1:3" x14ac:dyDescent="0.3">
      <c r="A1994" s="1" t="s">
        <v>507</v>
      </c>
      <c r="B1994" t="s">
        <v>493</v>
      </c>
      <c r="C1994" s="1">
        <v>37.57</v>
      </c>
    </row>
    <row r="1995" spans="1:3" x14ac:dyDescent="0.3">
      <c r="A1995" s="1" t="s">
        <v>507</v>
      </c>
      <c r="B1995" t="s">
        <v>494</v>
      </c>
      <c r="C1995" s="1">
        <v>37.310001</v>
      </c>
    </row>
    <row r="1996" spans="1:3" x14ac:dyDescent="0.3">
      <c r="A1996" s="1" t="s">
        <v>507</v>
      </c>
      <c r="B1996" t="s">
        <v>495</v>
      </c>
      <c r="C1996" s="1">
        <v>36.020000000000003</v>
      </c>
    </row>
    <row r="1997" spans="1:3" x14ac:dyDescent="0.3">
      <c r="A1997" s="1" t="s">
        <v>507</v>
      </c>
      <c r="B1997" t="s">
        <v>496</v>
      </c>
      <c r="C1997" s="1">
        <v>36.790000999999997</v>
      </c>
    </row>
    <row r="1998" spans="1:3" x14ac:dyDescent="0.3">
      <c r="A1998" s="1" t="s">
        <v>507</v>
      </c>
      <c r="B1998" t="s">
        <v>497</v>
      </c>
      <c r="C1998" s="1">
        <v>37.330002</v>
      </c>
    </row>
    <row r="1999" spans="1:3" x14ac:dyDescent="0.3">
      <c r="A1999" s="1" t="s">
        <v>507</v>
      </c>
      <c r="B1999" t="s">
        <v>498</v>
      </c>
      <c r="C1999" s="1">
        <v>37.409999999999997</v>
      </c>
    </row>
    <row r="2000" spans="1:3" x14ac:dyDescent="0.3">
      <c r="A2000" s="1" t="s">
        <v>507</v>
      </c>
      <c r="B2000" t="s">
        <v>499</v>
      </c>
      <c r="C2000" s="1">
        <v>38.709999000000003</v>
      </c>
    </row>
    <row r="2001" spans="1:3" x14ac:dyDescent="0.3">
      <c r="A2001" s="1" t="s">
        <v>507</v>
      </c>
      <c r="B2001" t="s">
        <v>500</v>
      </c>
      <c r="C2001" s="1">
        <v>39.290000999999997</v>
      </c>
    </row>
    <row r="2002" spans="1:3" x14ac:dyDescent="0.3">
      <c r="A2002" s="1" t="s">
        <v>507</v>
      </c>
      <c r="B2002" t="s">
        <v>501</v>
      </c>
      <c r="C2002" s="1">
        <v>39.25</v>
      </c>
    </row>
    <row r="2003" spans="1:3" x14ac:dyDescent="0.3">
      <c r="A2003" s="1" t="s">
        <v>507</v>
      </c>
      <c r="B2003" t="s">
        <v>502</v>
      </c>
      <c r="C2003" s="1">
        <v>36.5</v>
      </c>
    </row>
    <row r="2004" spans="1:3" x14ac:dyDescent="0.3">
      <c r="A2004" s="1" t="s">
        <v>507</v>
      </c>
      <c r="B2004" t="s">
        <v>503</v>
      </c>
      <c r="C2004" s="1">
        <v>36.549999</v>
      </c>
    </row>
    <row r="2005" spans="1:3" x14ac:dyDescent="0.3">
      <c r="A2005" s="1" t="s">
        <v>507</v>
      </c>
      <c r="B2005" t="s">
        <v>504</v>
      </c>
      <c r="C2005" s="1">
        <v>36.240001999999997</v>
      </c>
    </row>
    <row r="2006" spans="1:3" x14ac:dyDescent="0.3">
      <c r="A2006" s="1" t="s">
        <v>508</v>
      </c>
      <c r="B2006" t="s">
        <v>4</v>
      </c>
      <c r="C2006" s="1">
        <v>20.338234</v>
      </c>
    </row>
    <row r="2007" spans="1:3" x14ac:dyDescent="0.3">
      <c r="A2007" s="1" t="s">
        <v>508</v>
      </c>
      <c r="B2007" t="s">
        <v>5</v>
      </c>
      <c r="C2007" s="1">
        <v>19.758482000000001</v>
      </c>
    </row>
    <row r="2008" spans="1:3" x14ac:dyDescent="0.3">
      <c r="A2008" s="1" t="s">
        <v>508</v>
      </c>
      <c r="B2008" t="s">
        <v>6</v>
      </c>
      <c r="C2008" s="1">
        <v>19.196294999999999</v>
      </c>
    </row>
    <row r="2009" spans="1:3" x14ac:dyDescent="0.3">
      <c r="A2009" s="1" t="s">
        <v>508</v>
      </c>
      <c r="B2009" t="s">
        <v>7</v>
      </c>
      <c r="C2009" s="1">
        <v>19.208006000000001</v>
      </c>
    </row>
    <row r="2010" spans="1:3" x14ac:dyDescent="0.3">
      <c r="A2010" s="1" t="s">
        <v>508</v>
      </c>
      <c r="B2010" t="s">
        <v>8</v>
      </c>
      <c r="C2010" s="1">
        <v>18.704381999999999</v>
      </c>
    </row>
    <row r="2011" spans="1:3" x14ac:dyDescent="0.3">
      <c r="A2011" s="1" t="s">
        <v>508</v>
      </c>
      <c r="B2011" t="s">
        <v>9</v>
      </c>
      <c r="C2011" s="1">
        <v>19.149446000000001</v>
      </c>
    </row>
    <row r="2012" spans="1:3" x14ac:dyDescent="0.3">
      <c r="A2012" s="1" t="s">
        <v>508</v>
      </c>
      <c r="B2012" t="s">
        <v>10</v>
      </c>
      <c r="C2012" s="1">
        <v>19.137733000000001</v>
      </c>
    </row>
    <row r="2013" spans="1:3" x14ac:dyDescent="0.3">
      <c r="A2013" s="1" t="s">
        <v>508</v>
      </c>
      <c r="B2013" t="s">
        <v>11</v>
      </c>
      <c r="C2013" s="1">
        <v>18.844929</v>
      </c>
    </row>
    <row r="2014" spans="1:3" x14ac:dyDescent="0.3">
      <c r="A2014" s="1" t="s">
        <v>508</v>
      </c>
      <c r="B2014" t="s">
        <v>12</v>
      </c>
      <c r="C2014" s="1">
        <v>19.038179</v>
      </c>
    </row>
    <row r="2015" spans="1:3" x14ac:dyDescent="0.3">
      <c r="A2015" s="1" t="s">
        <v>508</v>
      </c>
      <c r="B2015" t="s">
        <v>13</v>
      </c>
      <c r="C2015" s="1">
        <v>18.481850000000001</v>
      </c>
    </row>
    <row r="2016" spans="1:3" x14ac:dyDescent="0.3">
      <c r="A2016" s="1" t="s">
        <v>508</v>
      </c>
      <c r="B2016" t="s">
        <v>14</v>
      </c>
      <c r="C2016" s="1">
        <v>18.440857000000001</v>
      </c>
    </row>
    <row r="2017" spans="1:3" x14ac:dyDescent="0.3">
      <c r="A2017" s="1" t="s">
        <v>508</v>
      </c>
      <c r="B2017" t="s">
        <v>15</v>
      </c>
      <c r="C2017" s="1">
        <v>18.704381999999999</v>
      </c>
    </row>
    <row r="2018" spans="1:3" x14ac:dyDescent="0.3">
      <c r="A2018" s="1" t="s">
        <v>508</v>
      </c>
      <c r="B2018" t="s">
        <v>16</v>
      </c>
      <c r="C2018" s="1">
        <v>19.213861000000001</v>
      </c>
    </row>
    <row r="2019" spans="1:3" x14ac:dyDescent="0.3">
      <c r="A2019" s="1" t="s">
        <v>508</v>
      </c>
      <c r="B2019" t="s">
        <v>17</v>
      </c>
      <c r="C2019" s="1">
        <v>18.815649000000001</v>
      </c>
    </row>
    <row r="2020" spans="1:3" x14ac:dyDescent="0.3">
      <c r="A2020" s="1" t="s">
        <v>508</v>
      </c>
      <c r="B2020" t="s">
        <v>18</v>
      </c>
      <c r="C2020" s="1">
        <v>19.366121</v>
      </c>
    </row>
    <row r="2021" spans="1:3" x14ac:dyDescent="0.3">
      <c r="A2021" s="1" t="s">
        <v>508</v>
      </c>
      <c r="B2021" t="s">
        <v>19</v>
      </c>
      <c r="C2021" s="1">
        <v>19.278276000000002</v>
      </c>
    </row>
    <row r="2022" spans="1:3" x14ac:dyDescent="0.3">
      <c r="A2022" s="1" t="s">
        <v>508</v>
      </c>
      <c r="B2022" t="s">
        <v>20</v>
      </c>
      <c r="C2022" s="1">
        <v>18.956194</v>
      </c>
    </row>
    <row r="2023" spans="1:3" x14ac:dyDescent="0.3">
      <c r="A2023" s="1" t="s">
        <v>508</v>
      </c>
      <c r="B2023" t="s">
        <v>21</v>
      </c>
      <c r="C2023" s="1">
        <v>18.803936</v>
      </c>
    </row>
    <row r="2024" spans="1:3" x14ac:dyDescent="0.3">
      <c r="A2024" s="1" t="s">
        <v>508</v>
      </c>
      <c r="B2024" t="s">
        <v>22</v>
      </c>
      <c r="C2024" s="1">
        <v>18.944483000000002</v>
      </c>
    </row>
    <row r="2025" spans="1:3" x14ac:dyDescent="0.3">
      <c r="A2025" s="1" t="s">
        <v>508</v>
      </c>
      <c r="B2025" t="s">
        <v>23</v>
      </c>
      <c r="C2025" s="1">
        <v>19.049892</v>
      </c>
    </row>
    <row r="2026" spans="1:3" x14ac:dyDescent="0.3">
      <c r="A2026" s="1" t="s">
        <v>508</v>
      </c>
      <c r="B2026" t="s">
        <v>24</v>
      </c>
      <c r="C2026" s="1">
        <v>19.688206000000001</v>
      </c>
    </row>
    <row r="2027" spans="1:3" x14ac:dyDescent="0.3">
      <c r="A2027" s="1" t="s">
        <v>508</v>
      </c>
      <c r="B2027" t="s">
        <v>25</v>
      </c>
      <c r="C2027" s="1">
        <v>19.957585999999999</v>
      </c>
    </row>
    <row r="2028" spans="1:3" x14ac:dyDescent="0.3">
      <c r="A2028" s="1" t="s">
        <v>508</v>
      </c>
      <c r="B2028" t="s">
        <v>26</v>
      </c>
      <c r="C2028" s="1">
        <v>19.969297000000001</v>
      </c>
    </row>
    <row r="2029" spans="1:3" x14ac:dyDescent="0.3">
      <c r="A2029" s="1" t="s">
        <v>508</v>
      </c>
      <c r="B2029" t="s">
        <v>27</v>
      </c>
      <c r="C2029" s="1">
        <v>19.711632000000002</v>
      </c>
    </row>
    <row r="2030" spans="1:3" x14ac:dyDescent="0.3">
      <c r="A2030" s="1" t="s">
        <v>508</v>
      </c>
      <c r="B2030" t="s">
        <v>28</v>
      </c>
      <c r="C2030" s="1">
        <v>20.016148000000001</v>
      </c>
    </row>
    <row r="2031" spans="1:3" x14ac:dyDescent="0.3">
      <c r="A2031" s="1" t="s">
        <v>508</v>
      </c>
      <c r="B2031" t="s">
        <v>29</v>
      </c>
      <c r="C2031" s="1">
        <v>20.683743</v>
      </c>
    </row>
    <row r="2032" spans="1:3" x14ac:dyDescent="0.3">
      <c r="A2032" s="1" t="s">
        <v>508</v>
      </c>
      <c r="B2032" t="s">
        <v>30</v>
      </c>
      <c r="C2032" s="1">
        <v>20.964835999999998</v>
      </c>
    </row>
    <row r="2033" spans="1:3" x14ac:dyDescent="0.3">
      <c r="A2033" s="1" t="s">
        <v>508</v>
      </c>
      <c r="B2033" t="s">
        <v>31</v>
      </c>
      <c r="C2033" s="1">
        <v>21.339625999999999</v>
      </c>
    </row>
    <row r="2034" spans="1:3" x14ac:dyDescent="0.3">
      <c r="A2034" s="1" t="s">
        <v>508</v>
      </c>
      <c r="B2034" t="s">
        <v>32</v>
      </c>
      <c r="C2034" s="1">
        <v>21.380617000000001</v>
      </c>
    </row>
    <row r="2035" spans="1:3" x14ac:dyDescent="0.3">
      <c r="A2035" s="1" t="s">
        <v>508</v>
      </c>
      <c r="B2035" t="s">
        <v>33</v>
      </c>
      <c r="C2035" s="1">
        <v>21.778831</v>
      </c>
    </row>
    <row r="2036" spans="1:3" x14ac:dyDescent="0.3">
      <c r="A2036" s="1" t="s">
        <v>508</v>
      </c>
      <c r="B2036" t="s">
        <v>34</v>
      </c>
      <c r="C2036" s="1">
        <v>22.188761</v>
      </c>
    </row>
    <row r="2037" spans="1:3" x14ac:dyDescent="0.3">
      <c r="A2037" s="1" t="s">
        <v>508</v>
      </c>
      <c r="B2037" t="s">
        <v>35</v>
      </c>
      <c r="C2037" s="1">
        <v>22.510846999999998</v>
      </c>
    </row>
    <row r="2038" spans="1:3" x14ac:dyDescent="0.3">
      <c r="A2038" s="1" t="s">
        <v>508</v>
      </c>
      <c r="B2038" t="s">
        <v>36</v>
      </c>
      <c r="C2038" s="1">
        <v>22.522558</v>
      </c>
    </row>
    <row r="2039" spans="1:3" x14ac:dyDescent="0.3">
      <c r="A2039" s="1" t="s">
        <v>508</v>
      </c>
      <c r="B2039" t="s">
        <v>37</v>
      </c>
      <c r="C2039" s="1">
        <v>22.276603999999999</v>
      </c>
    </row>
    <row r="2040" spans="1:3" x14ac:dyDescent="0.3">
      <c r="A2040" s="1" t="s">
        <v>508</v>
      </c>
      <c r="B2040" t="s">
        <v>38</v>
      </c>
      <c r="C2040" s="1">
        <v>21.890101999999999</v>
      </c>
    </row>
    <row r="2041" spans="1:3" x14ac:dyDescent="0.3">
      <c r="A2041" s="1" t="s">
        <v>508</v>
      </c>
      <c r="B2041" t="s">
        <v>39</v>
      </c>
      <c r="C2041" s="1">
        <v>21.292777999999998</v>
      </c>
    </row>
    <row r="2042" spans="1:3" x14ac:dyDescent="0.3">
      <c r="A2042" s="1" t="s">
        <v>508</v>
      </c>
      <c r="B2042" t="s">
        <v>40</v>
      </c>
      <c r="C2042" s="1">
        <v>20.730595000000001</v>
      </c>
    </row>
    <row r="2043" spans="1:3" x14ac:dyDescent="0.3">
      <c r="A2043" s="1" t="s">
        <v>508</v>
      </c>
      <c r="B2043" t="s">
        <v>41</v>
      </c>
      <c r="C2043" s="1">
        <v>20.168406999999998</v>
      </c>
    </row>
    <row r="2044" spans="1:3" x14ac:dyDescent="0.3">
      <c r="A2044" s="1" t="s">
        <v>508</v>
      </c>
      <c r="B2044" t="s">
        <v>42</v>
      </c>
      <c r="C2044" s="1">
        <v>19.899025000000002</v>
      </c>
    </row>
    <row r="2045" spans="1:3" x14ac:dyDescent="0.3">
      <c r="A2045" s="1" t="s">
        <v>508</v>
      </c>
      <c r="B2045" t="s">
        <v>43</v>
      </c>
      <c r="C2045" s="1">
        <v>19.811185999999999</v>
      </c>
    </row>
    <row r="2046" spans="1:3" x14ac:dyDescent="0.3">
      <c r="A2046" s="1" t="s">
        <v>508</v>
      </c>
      <c r="B2046" t="s">
        <v>44</v>
      </c>
      <c r="C2046" s="1">
        <v>19.863890000000001</v>
      </c>
    </row>
    <row r="2047" spans="1:3" x14ac:dyDescent="0.3">
      <c r="A2047" s="1" t="s">
        <v>508</v>
      </c>
      <c r="B2047" t="s">
        <v>45</v>
      </c>
      <c r="C2047" s="1">
        <v>20.133272000000002</v>
      </c>
    </row>
    <row r="2048" spans="1:3" x14ac:dyDescent="0.3">
      <c r="A2048" s="1" t="s">
        <v>508</v>
      </c>
      <c r="B2048" t="s">
        <v>46</v>
      </c>
      <c r="C2048" s="1">
        <v>20.068853000000001</v>
      </c>
    </row>
    <row r="2049" spans="1:3" x14ac:dyDescent="0.3">
      <c r="A2049" s="1" t="s">
        <v>508</v>
      </c>
      <c r="B2049" t="s">
        <v>47</v>
      </c>
      <c r="C2049" s="1">
        <v>19.676493000000001</v>
      </c>
    </row>
    <row r="2050" spans="1:3" x14ac:dyDescent="0.3">
      <c r="A2050" s="1" t="s">
        <v>508</v>
      </c>
      <c r="B2050" t="s">
        <v>48</v>
      </c>
      <c r="C2050" s="1">
        <v>18.511129</v>
      </c>
    </row>
    <row r="2051" spans="1:3" x14ac:dyDescent="0.3">
      <c r="A2051" s="1" t="s">
        <v>508</v>
      </c>
      <c r="B2051" t="s">
        <v>49</v>
      </c>
      <c r="C2051" s="1">
        <v>18.27103</v>
      </c>
    </row>
    <row r="2052" spans="1:3" x14ac:dyDescent="0.3">
      <c r="A2052" s="1" t="s">
        <v>508</v>
      </c>
      <c r="B2052" t="s">
        <v>50</v>
      </c>
      <c r="C2052" s="1">
        <v>18.423287999999999</v>
      </c>
    </row>
    <row r="2053" spans="1:3" x14ac:dyDescent="0.3">
      <c r="A2053" s="1" t="s">
        <v>508</v>
      </c>
      <c r="B2053" t="s">
        <v>51</v>
      </c>
      <c r="C2053" s="1">
        <v>18.493561</v>
      </c>
    </row>
    <row r="2054" spans="1:3" x14ac:dyDescent="0.3">
      <c r="A2054" s="1" t="s">
        <v>508</v>
      </c>
      <c r="B2054" t="s">
        <v>52</v>
      </c>
      <c r="C2054" s="1">
        <v>18.165621000000002</v>
      </c>
    </row>
    <row r="2055" spans="1:3" x14ac:dyDescent="0.3">
      <c r="A2055" s="1" t="s">
        <v>508</v>
      </c>
      <c r="B2055" t="s">
        <v>53</v>
      </c>
      <c r="C2055" s="1">
        <v>18.434999000000001</v>
      </c>
    </row>
    <row r="2056" spans="1:3" x14ac:dyDescent="0.3">
      <c r="A2056" s="1" t="s">
        <v>508</v>
      </c>
      <c r="B2056" t="s">
        <v>54</v>
      </c>
      <c r="C2056" s="1">
        <v>18.675101999999999</v>
      </c>
    </row>
    <row r="2057" spans="1:3" x14ac:dyDescent="0.3">
      <c r="A2057" s="1" t="s">
        <v>508</v>
      </c>
      <c r="B2057" t="s">
        <v>55</v>
      </c>
      <c r="C2057" s="1">
        <v>18.757086000000001</v>
      </c>
    </row>
    <row r="2058" spans="1:3" x14ac:dyDescent="0.3">
      <c r="A2058" s="1" t="s">
        <v>508</v>
      </c>
      <c r="B2058" t="s">
        <v>56</v>
      </c>
      <c r="C2058" s="1">
        <v>18.856642000000001</v>
      </c>
    </row>
    <row r="2059" spans="1:3" x14ac:dyDescent="0.3">
      <c r="A2059" s="1" t="s">
        <v>508</v>
      </c>
      <c r="B2059" t="s">
        <v>57</v>
      </c>
      <c r="C2059" s="1">
        <v>19.260712000000002</v>
      </c>
    </row>
    <row r="2060" spans="1:3" x14ac:dyDescent="0.3">
      <c r="A2060" s="1" t="s">
        <v>508</v>
      </c>
      <c r="B2060" t="s">
        <v>58</v>
      </c>
      <c r="C2060" s="1">
        <v>19.190436999999999</v>
      </c>
    </row>
    <row r="2061" spans="1:3" x14ac:dyDescent="0.3">
      <c r="A2061" s="1" t="s">
        <v>508</v>
      </c>
      <c r="B2061" t="s">
        <v>59</v>
      </c>
      <c r="C2061" s="1">
        <v>19.055748000000001</v>
      </c>
    </row>
    <row r="2062" spans="1:3" x14ac:dyDescent="0.3">
      <c r="A2062" s="1" t="s">
        <v>508</v>
      </c>
      <c r="B2062" t="s">
        <v>60</v>
      </c>
      <c r="C2062" s="1">
        <v>19.032326000000001</v>
      </c>
    </row>
    <row r="2063" spans="1:3" x14ac:dyDescent="0.3">
      <c r="A2063" s="1" t="s">
        <v>508</v>
      </c>
      <c r="B2063" t="s">
        <v>61</v>
      </c>
      <c r="C2063" s="1">
        <v>19.711632000000002</v>
      </c>
    </row>
    <row r="2064" spans="1:3" x14ac:dyDescent="0.3">
      <c r="A2064" s="1" t="s">
        <v>508</v>
      </c>
      <c r="B2064" t="s">
        <v>62</v>
      </c>
      <c r="C2064" s="1">
        <v>19.325129</v>
      </c>
    </row>
    <row r="2065" spans="1:3" x14ac:dyDescent="0.3">
      <c r="A2065" s="1" t="s">
        <v>508</v>
      </c>
      <c r="B2065" t="s">
        <v>63</v>
      </c>
      <c r="C2065" s="1">
        <v>19.225577999999999</v>
      </c>
    </row>
    <row r="2066" spans="1:3" x14ac:dyDescent="0.3">
      <c r="A2066" s="1" t="s">
        <v>508</v>
      </c>
      <c r="B2066" t="s">
        <v>64</v>
      </c>
      <c r="C2066" s="1">
        <v>19.342694999999999</v>
      </c>
    </row>
    <row r="2067" spans="1:3" x14ac:dyDescent="0.3">
      <c r="A2067" s="1" t="s">
        <v>508</v>
      </c>
      <c r="B2067" t="s">
        <v>65</v>
      </c>
      <c r="C2067" s="1">
        <v>20.062995999999998</v>
      </c>
    </row>
    <row r="2068" spans="1:3" x14ac:dyDescent="0.3">
      <c r="A2068" s="1" t="s">
        <v>508</v>
      </c>
      <c r="B2068" t="s">
        <v>66</v>
      </c>
      <c r="C2068" s="1">
        <v>20.432547</v>
      </c>
    </row>
    <row r="2069" spans="1:3" x14ac:dyDescent="0.3">
      <c r="A2069" s="1" t="s">
        <v>508</v>
      </c>
      <c r="B2069" t="s">
        <v>67</v>
      </c>
      <c r="C2069" s="1">
        <v>20.951111000000001</v>
      </c>
    </row>
    <row r="2070" spans="1:3" x14ac:dyDescent="0.3">
      <c r="A2070" s="1" t="s">
        <v>508</v>
      </c>
      <c r="B2070" t="s">
        <v>68</v>
      </c>
      <c r="C2070" s="1">
        <v>20.903427000000001</v>
      </c>
    </row>
    <row r="2071" spans="1:3" x14ac:dyDescent="0.3">
      <c r="A2071" s="1" t="s">
        <v>508</v>
      </c>
      <c r="B2071" t="s">
        <v>69</v>
      </c>
      <c r="C2071" s="1">
        <v>20.194127999999999</v>
      </c>
    </row>
    <row r="2072" spans="1:3" x14ac:dyDescent="0.3">
      <c r="A2072" s="1" t="s">
        <v>508</v>
      </c>
      <c r="B2072" t="s">
        <v>70</v>
      </c>
      <c r="C2072" s="1">
        <v>20.635202</v>
      </c>
    </row>
    <row r="2073" spans="1:3" x14ac:dyDescent="0.3">
      <c r="A2073" s="1" t="s">
        <v>508</v>
      </c>
      <c r="B2073" t="s">
        <v>71</v>
      </c>
      <c r="C2073" s="1">
        <v>21.314696999999999</v>
      </c>
    </row>
    <row r="2074" spans="1:3" x14ac:dyDescent="0.3">
      <c r="A2074" s="1" t="s">
        <v>508</v>
      </c>
      <c r="B2074" t="s">
        <v>72</v>
      </c>
      <c r="C2074" s="1">
        <v>21.427949999999999</v>
      </c>
    </row>
    <row r="2075" spans="1:3" x14ac:dyDescent="0.3">
      <c r="A2075" s="1" t="s">
        <v>508</v>
      </c>
      <c r="B2075" t="s">
        <v>73</v>
      </c>
      <c r="C2075" s="1">
        <v>20.986872000000002</v>
      </c>
    </row>
    <row r="2076" spans="1:3" x14ac:dyDescent="0.3">
      <c r="A2076" s="1" t="s">
        <v>508</v>
      </c>
      <c r="B2076" t="s">
        <v>74</v>
      </c>
      <c r="C2076" s="1">
        <v>21.129925</v>
      </c>
    </row>
    <row r="2077" spans="1:3" x14ac:dyDescent="0.3">
      <c r="A2077" s="1" t="s">
        <v>508</v>
      </c>
      <c r="B2077" t="s">
        <v>75</v>
      </c>
      <c r="C2077" s="1">
        <v>21.004754999999999</v>
      </c>
    </row>
    <row r="2078" spans="1:3" x14ac:dyDescent="0.3">
      <c r="A2078" s="1" t="s">
        <v>508</v>
      </c>
      <c r="B2078" t="s">
        <v>76</v>
      </c>
      <c r="C2078" s="1">
        <v>21.028594999999999</v>
      </c>
    </row>
    <row r="2079" spans="1:3" x14ac:dyDescent="0.3">
      <c r="A2079" s="1" t="s">
        <v>508</v>
      </c>
      <c r="B2079" t="s">
        <v>77</v>
      </c>
      <c r="C2079" s="1">
        <v>20.933228</v>
      </c>
    </row>
    <row r="2080" spans="1:3" x14ac:dyDescent="0.3">
      <c r="A2080" s="1" t="s">
        <v>508</v>
      </c>
      <c r="B2080" t="s">
        <v>78</v>
      </c>
      <c r="C2080" s="1">
        <v>20.617322999999999</v>
      </c>
    </row>
    <row r="2081" spans="1:3" x14ac:dyDescent="0.3">
      <c r="A2081" s="1" t="s">
        <v>508</v>
      </c>
      <c r="B2081" t="s">
        <v>79</v>
      </c>
      <c r="C2081" s="1">
        <v>20.498114000000001</v>
      </c>
    </row>
    <row r="2082" spans="1:3" x14ac:dyDescent="0.3">
      <c r="A2082" s="1" t="s">
        <v>508</v>
      </c>
      <c r="B2082" t="s">
        <v>80</v>
      </c>
      <c r="C2082" s="1">
        <v>20.474271999999999</v>
      </c>
    </row>
    <row r="2083" spans="1:3" x14ac:dyDescent="0.3">
      <c r="A2083" s="1" t="s">
        <v>508</v>
      </c>
      <c r="B2083" t="s">
        <v>81</v>
      </c>
      <c r="C2083" s="1">
        <v>20.217970000000001</v>
      </c>
    </row>
    <row r="2084" spans="1:3" x14ac:dyDescent="0.3">
      <c r="A2084" s="1" t="s">
        <v>508</v>
      </c>
      <c r="B2084" t="s">
        <v>82</v>
      </c>
      <c r="C2084" s="1">
        <v>20.372941999999998</v>
      </c>
    </row>
    <row r="2085" spans="1:3" x14ac:dyDescent="0.3">
      <c r="A2085" s="1" t="s">
        <v>508</v>
      </c>
      <c r="B2085" t="s">
        <v>83</v>
      </c>
      <c r="C2085" s="1">
        <v>20.289494999999999</v>
      </c>
    </row>
    <row r="2086" spans="1:3" x14ac:dyDescent="0.3">
      <c r="A2086" s="1" t="s">
        <v>508</v>
      </c>
      <c r="B2086" t="s">
        <v>84</v>
      </c>
      <c r="C2086" s="1">
        <v>20.128564999999998</v>
      </c>
    </row>
    <row r="2087" spans="1:3" x14ac:dyDescent="0.3">
      <c r="A2087" s="1" t="s">
        <v>508</v>
      </c>
      <c r="B2087" t="s">
        <v>85</v>
      </c>
      <c r="C2087" s="1">
        <v>20.134523000000002</v>
      </c>
    </row>
    <row r="2088" spans="1:3" x14ac:dyDescent="0.3">
      <c r="A2088" s="1" t="s">
        <v>508</v>
      </c>
      <c r="B2088" t="s">
        <v>86</v>
      </c>
      <c r="C2088" s="1">
        <v>20.325258000000002</v>
      </c>
    </row>
    <row r="2089" spans="1:3" x14ac:dyDescent="0.3">
      <c r="A2089" s="1" t="s">
        <v>508</v>
      </c>
      <c r="B2089" t="s">
        <v>87</v>
      </c>
      <c r="C2089" s="1">
        <v>20.378900999999999</v>
      </c>
    </row>
    <row r="2090" spans="1:3" x14ac:dyDescent="0.3">
      <c r="A2090" s="1" t="s">
        <v>508</v>
      </c>
      <c r="B2090" t="s">
        <v>88</v>
      </c>
      <c r="C2090" s="1">
        <v>20.843821999999999</v>
      </c>
    </row>
    <row r="2091" spans="1:3" x14ac:dyDescent="0.3">
      <c r="A2091" s="1" t="s">
        <v>508</v>
      </c>
      <c r="B2091" t="s">
        <v>89</v>
      </c>
      <c r="C2091" s="1">
        <v>20.563679</v>
      </c>
    </row>
    <row r="2092" spans="1:3" x14ac:dyDescent="0.3">
      <c r="A2092" s="1" t="s">
        <v>508</v>
      </c>
      <c r="B2092" t="s">
        <v>90</v>
      </c>
      <c r="C2092" s="1">
        <v>20.742493</v>
      </c>
    </row>
    <row r="2093" spans="1:3" x14ac:dyDescent="0.3">
      <c r="A2093" s="1" t="s">
        <v>508</v>
      </c>
      <c r="B2093" t="s">
        <v>91</v>
      </c>
      <c r="C2093" s="1">
        <v>20.122601</v>
      </c>
    </row>
    <row r="2094" spans="1:3" x14ac:dyDescent="0.3">
      <c r="A2094" s="1" t="s">
        <v>508</v>
      </c>
      <c r="B2094" t="s">
        <v>92</v>
      </c>
      <c r="C2094" s="1">
        <v>19.520592000000001</v>
      </c>
    </row>
    <row r="2095" spans="1:3" x14ac:dyDescent="0.3">
      <c r="A2095" s="1" t="s">
        <v>508</v>
      </c>
      <c r="B2095" t="s">
        <v>93</v>
      </c>
      <c r="C2095" s="1">
        <v>19.884181999999999</v>
      </c>
    </row>
    <row r="2096" spans="1:3" x14ac:dyDescent="0.3">
      <c r="A2096" s="1" t="s">
        <v>508</v>
      </c>
      <c r="B2096" t="s">
        <v>94</v>
      </c>
      <c r="C2096" s="1">
        <v>20.068956</v>
      </c>
    </row>
    <row r="2097" spans="1:3" x14ac:dyDescent="0.3">
      <c r="A2097" s="1" t="s">
        <v>508</v>
      </c>
      <c r="B2097" t="s">
        <v>95</v>
      </c>
      <c r="C2097" s="1">
        <v>20.301418000000002</v>
      </c>
    </row>
    <row r="2098" spans="1:3" x14ac:dyDescent="0.3">
      <c r="A2098" s="1" t="s">
        <v>508</v>
      </c>
      <c r="B2098" t="s">
        <v>96</v>
      </c>
      <c r="C2098" s="1">
        <v>20.098761</v>
      </c>
    </row>
    <row r="2099" spans="1:3" x14ac:dyDescent="0.3">
      <c r="A2099" s="1" t="s">
        <v>508</v>
      </c>
      <c r="B2099" t="s">
        <v>97</v>
      </c>
      <c r="C2099" s="1">
        <v>20.3491</v>
      </c>
    </row>
    <row r="2100" spans="1:3" x14ac:dyDescent="0.3">
      <c r="A2100" s="1" t="s">
        <v>508</v>
      </c>
      <c r="B2100" t="s">
        <v>98</v>
      </c>
      <c r="C2100" s="1">
        <v>20.450430000000001</v>
      </c>
    </row>
    <row r="2101" spans="1:3" x14ac:dyDescent="0.3">
      <c r="A2101" s="1" t="s">
        <v>508</v>
      </c>
      <c r="B2101" t="s">
        <v>99</v>
      </c>
      <c r="C2101" s="1">
        <v>21.028594999999999</v>
      </c>
    </row>
    <row r="2102" spans="1:3" x14ac:dyDescent="0.3">
      <c r="A2102" s="1" t="s">
        <v>508</v>
      </c>
      <c r="B2102" t="s">
        <v>100</v>
      </c>
      <c r="C2102" s="1">
        <v>21.314696999999999</v>
      </c>
    </row>
    <row r="2103" spans="1:3" x14ac:dyDescent="0.3">
      <c r="A2103" s="1" t="s">
        <v>508</v>
      </c>
      <c r="B2103" t="s">
        <v>101</v>
      </c>
      <c r="C2103" s="1">
        <v>21.350462</v>
      </c>
    </row>
    <row r="2104" spans="1:3" x14ac:dyDescent="0.3">
      <c r="A2104" s="1" t="s">
        <v>508</v>
      </c>
      <c r="B2104" t="s">
        <v>102</v>
      </c>
      <c r="C2104" s="1">
        <v>21.55312</v>
      </c>
    </row>
    <row r="2105" spans="1:3" x14ac:dyDescent="0.3">
      <c r="A2105" s="1" t="s">
        <v>508</v>
      </c>
      <c r="B2105" t="s">
        <v>103</v>
      </c>
      <c r="C2105" s="1">
        <v>21.249136</v>
      </c>
    </row>
    <row r="2106" spans="1:3" x14ac:dyDescent="0.3">
      <c r="A2106" s="1" t="s">
        <v>508</v>
      </c>
      <c r="B2106" t="s">
        <v>104</v>
      </c>
      <c r="C2106" s="1">
        <v>21.302779999999998</v>
      </c>
    </row>
    <row r="2107" spans="1:3" x14ac:dyDescent="0.3">
      <c r="A2107" s="1" t="s">
        <v>508</v>
      </c>
      <c r="B2107" t="s">
        <v>105</v>
      </c>
      <c r="C2107" s="1">
        <v>21.153769</v>
      </c>
    </row>
    <row r="2108" spans="1:3" x14ac:dyDescent="0.3">
      <c r="A2108" s="1" t="s">
        <v>508</v>
      </c>
      <c r="B2108" t="s">
        <v>106</v>
      </c>
      <c r="C2108" s="1">
        <v>21.374306000000001</v>
      </c>
    </row>
    <row r="2109" spans="1:3" x14ac:dyDescent="0.3">
      <c r="A2109" s="1" t="s">
        <v>508</v>
      </c>
      <c r="B2109" t="s">
        <v>107</v>
      </c>
      <c r="C2109" s="1">
        <v>20.968990000000002</v>
      </c>
    </row>
    <row r="2110" spans="1:3" x14ac:dyDescent="0.3">
      <c r="A2110" s="1" t="s">
        <v>508</v>
      </c>
      <c r="B2110" t="s">
        <v>108</v>
      </c>
      <c r="C2110" s="1">
        <v>21.410067000000002</v>
      </c>
    </row>
    <row r="2111" spans="1:3" x14ac:dyDescent="0.3">
      <c r="A2111" s="1" t="s">
        <v>508</v>
      </c>
      <c r="B2111" t="s">
        <v>109</v>
      </c>
      <c r="C2111" s="1">
        <v>21.219332000000001</v>
      </c>
    </row>
    <row r="2112" spans="1:3" x14ac:dyDescent="0.3">
      <c r="A2112" s="1" t="s">
        <v>508</v>
      </c>
      <c r="B2112" t="s">
        <v>110</v>
      </c>
      <c r="C2112" s="1">
        <v>20.796137000000002</v>
      </c>
    </row>
    <row r="2113" spans="1:3" x14ac:dyDescent="0.3">
      <c r="A2113" s="1" t="s">
        <v>508</v>
      </c>
      <c r="B2113" t="s">
        <v>111</v>
      </c>
      <c r="C2113" s="1">
        <v>20.736532</v>
      </c>
    </row>
    <row r="2114" spans="1:3" x14ac:dyDescent="0.3">
      <c r="A2114" s="1" t="s">
        <v>508</v>
      </c>
      <c r="B2114" t="s">
        <v>112</v>
      </c>
      <c r="C2114" s="1">
        <v>20.206049</v>
      </c>
    </row>
    <row r="2115" spans="1:3" x14ac:dyDescent="0.3">
      <c r="A2115" s="1" t="s">
        <v>508</v>
      </c>
      <c r="B2115" t="s">
        <v>113</v>
      </c>
      <c r="C2115" s="1">
        <v>20.390823000000001</v>
      </c>
    </row>
    <row r="2116" spans="1:3" x14ac:dyDescent="0.3">
      <c r="A2116" s="1" t="s">
        <v>508</v>
      </c>
      <c r="B2116" t="s">
        <v>114</v>
      </c>
      <c r="C2116" s="1">
        <v>20.897466999999999</v>
      </c>
    </row>
    <row r="2117" spans="1:3" x14ac:dyDescent="0.3">
      <c r="A2117" s="1" t="s">
        <v>508</v>
      </c>
      <c r="B2117" t="s">
        <v>115</v>
      </c>
      <c r="C2117" s="1">
        <v>21.362385</v>
      </c>
    </row>
    <row r="2118" spans="1:3" x14ac:dyDescent="0.3">
      <c r="A2118" s="1" t="s">
        <v>508</v>
      </c>
      <c r="B2118" t="s">
        <v>116</v>
      </c>
      <c r="C2118" s="1">
        <v>21.284897000000001</v>
      </c>
    </row>
    <row r="2119" spans="1:3" x14ac:dyDescent="0.3">
      <c r="A2119" s="1" t="s">
        <v>508</v>
      </c>
      <c r="B2119" t="s">
        <v>117</v>
      </c>
      <c r="C2119" s="1">
        <v>21.451792000000001</v>
      </c>
    </row>
    <row r="2120" spans="1:3" x14ac:dyDescent="0.3">
      <c r="A2120" s="1" t="s">
        <v>508</v>
      </c>
      <c r="B2120" t="s">
        <v>118</v>
      </c>
      <c r="C2120" s="1">
        <v>21.797498999999998</v>
      </c>
    </row>
    <row r="2121" spans="1:3" x14ac:dyDescent="0.3">
      <c r="A2121" s="1" t="s">
        <v>508</v>
      </c>
      <c r="B2121" t="s">
        <v>119</v>
      </c>
      <c r="C2121" s="1">
        <v>21.940550000000002</v>
      </c>
    </row>
    <row r="2122" spans="1:3" x14ac:dyDescent="0.3">
      <c r="A2122" s="1" t="s">
        <v>508</v>
      </c>
      <c r="B2122" t="s">
        <v>120</v>
      </c>
      <c r="C2122" s="1">
        <v>21.541198999999999</v>
      </c>
    </row>
    <row r="2123" spans="1:3" x14ac:dyDescent="0.3">
      <c r="A2123" s="1" t="s">
        <v>508</v>
      </c>
      <c r="B2123" t="s">
        <v>121</v>
      </c>
      <c r="C2123" s="1">
        <v>21.100124000000001</v>
      </c>
    </row>
    <row r="2124" spans="1:3" x14ac:dyDescent="0.3">
      <c r="A2124" s="1" t="s">
        <v>508</v>
      </c>
      <c r="B2124" t="s">
        <v>122</v>
      </c>
      <c r="C2124" s="1">
        <v>20.420625999999999</v>
      </c>
    </row>
    <row r="2125" spans="1:3" x14ac:dyDescent="0.3">
      <c r="A2125" s="1" t="s">
        <v>508</v>
      </c>
      <c r="B2125" t="s">
        <v>123</v>
      </c>
      <c r="C2125" s="1">
        <v>20.843821999999999</v>
      </c>
    </row>
    <row r="2126" spans="1:3" x14ac:dyDescent="0.3">
      <c r="A2126" s="1" t="s">
        <v>508</v>
      </c>
      <c r="B2126" t="s">
        <v>124</v>
      </c>
      <c r="C2126" s="1">
        <v>20.104721000000001</v>
      </c>
    </row>
    <row r="2127" spans="1:3" x14ac:dyDescent="0.3">
      <c r="A2127" s="1" t="s">
        <v>508</v>
      </c>
      <c r="B2127" t="s">
        <v>125</v>
      </c>
      <c r="C2127" s="1">
        <v>20.110683000000002</v>
      </c>
    </row>
    <row r="2128" spans="1:3" x14ac:dyDescent="0.3">
      <c r="A2128" s="1" t="s">
        <v>508</v>
      </c>
      <c r="B2128" t="s">
        <v>126</v>
      </c>
      <c r="C2128" s="1">
        <v>20.331220999999999</v>
      </c>
    </row>
    <row r="2129" spans="1:3" x14ac:dyDescent="0.3">
      <c r="A2129" s="1" t="s">
        <v>508</v>
      </c>
      <c r="B2129" t="s">
        <v>127</v>
      </c>
      <c r="C2129" s="1">
        <v>19.782854</v>
      </c>
    </row>
    <row r="2130" spans="1:3" x14ac:dyDescent="0.3">
      <c r="A2130" s="1" t="s">
        <v>508</v>
      </c>
      <c r="B2130" t="s">
        <v>128</v>
      </c>
      <c r="C2130" s="1">
        <v>19.139122</v>
      </c>
    </row>
    <row r="2131" spans="1:3" x14ac:dyDescent="0.3">
      <c r="A2131" s="1" t="s">
        <v>508</v>
      </c>
      <c r="B2131" t="s">
        <v>129</v>
      </c>
      <c r="C2131" s="1">
        <v>19.282173</v>
      </c>
    </row>
    <row r="2132" spans="1:3" x14ac:dyDescent="0.3">
      <c r="A2132" s="1" t="s">
        <v>508</v>
      </c>
      <c r="B2132" t="s">
        <v>130</v>
      </c>
      <c r="C2132" s="1">
        <v>19.937828</v>
      </c>
    </row>
    <row r="2133" spans="1:3" x14ac:dyDescent="0.3">
      <c r="A2133" s="1" t="s">
        <v>508</v>
      </c>
      <c r="B2133" t="s">
        <v>131</v>
      </c>
      <c r="C2133" s="1">
        <v>20.623283000000001</v>
      </c>
    </row>
    <row r="2134" spans="1:3" x14ac:dyDescent="0.3">
      <c r="A2134" s="1" t="s">
        <v>508</v>
      </c>
      <c r="B2134" t="s">
        <v>132</v>
      </c>
      <c r="C2134" s="1">
        <v>20.921306999999999</v>
      </c>
    </row>
    <row r="2135" spans="1:3" x14ac:dyDescent="0.3">
      <c r="A2135" s="1" t="s">
        <v>508</v>
      </c>
      <c r="B2135" t="s">
        <v>133</v>
      </c>
      <c r="C2135" s="1">
        <v>19.96763</v>
      </c>
    </row>
    <row r="2136" spans="1:3" x14ac:dyDescent="0.3">
      <c r="A2136" s="1" t="s">
        <v>508</v>
      </c>
      <c r="B2136" t="s">
        <v>134</v>
      </c>
      <c r="C2136" s="1">
        <v>19.848419</v>
      </c>
    </row>
    <row r="2137" spans="1:3" x14ac:dyDescent="0.3">
      <c r="A2137" s="1" t="s">
        <v>508</v>
      </c>
      <c r="B2137" t="s">
        <v>135</v>
      </c>
      <c r="C2137" s="1">
        <v>20.170286000000001</v>
      </c>
    </row>
    <row r="2138" spans="1:3" x14ac:dyDescent="0.3">
      <c r="A2138" s="1" t="s">
        <v>508</v>
      </c>
      <c r="B2138" t="s">
        <v>136</v>
      </c>
      <c r="C2138" s="1">
        <v>20.432547</v>
      </c>
    </row>
    <row r="2139" spans="1:3" x14ac:dyDescent="0.3">
      <c r="A2139" s="1" t="s">
        <v>508</v>
      </c>
      <c r="B2139" t="s">
        <v>137</v>
      </c>
      <c r="C2139" s="1">
        <v>19.782854</v>
      </c>
    </row>
    <row r="2140" spans="1:3" x14ac:dyDescent="0.3">
      <c r="A2140" s="1" t="s">
        <v>508</v>
      </c>
      <c r="B2140" t="s">
        <v>138</v>
      </c>
      <c r="C2140" s="1">
        <v>19.812657999999999</v>
      </c>
    </row>
    <row r="2141" spans="1:3" x14ac:dyDescent="0.3">
      <c r="A2141" s="1" t="s">
        <v>508</v>
      </c>
      <c r="B2141" t="s">
        <v>139</v>
      </c>
      <c r="C2141" s="1">
        <v>19.878222000000001</v>
      </c>
    </row>
    <row r="2142" spans="1:3" x14ac:dyDescent="0.3">
      <c r="A2142" s="1" t="s">
        <v>508</v>
      </c>
      <c r="B2142" t="s">
        <v>140</v>
      </c>
      <c r="C2142" s="1">
        <v>5.3892860000000002</v>
      </c>
    </row>
    <row r="2143" spans="1:3" x14ac:dyDescent="0.3">
      <c r="A2143" s="1" t="s">
        <v>508</v>
      </c>
      <c r="B2143" t="s">
        <v>141</v>
      </c>
      <c r="C2143" s="1">
        <v>5.4682250000000003</v>
      </c>
    </row>
    <row r="2144" spans="1:3" x14ac:dyDescent="0.3">
      <c r="A2144" s="1" t="s">
        <v>508</v>
      </c>
      <c r="B2144" t="s">
        <v>142</v>
      </c>
      <c r="C2144" s="1">
        <v>5.4353350000000002</v>
      </c>
    </row>
    <row r="2145" spans="1:3" x14ac:dyDescent="0.3">
      <c r="A2145" s="1" t="s">
        <v>508</v>
      </c>
      <c r="B2145" t="s">
        <v>143</v>
      </c>
      <c r="C2145" s="1">
        <v>5.3711960000000003</v>
      </c>
    </row>
    <row r="2146" spans="1:3" x14ac:dyDescent="0.3">
      <c r="A2146" s="1" t="s">
        <v>508</v>
      </c>
      <c r="B2146" t="s">
        <v>144</v>
      </c>
      <c r="C2146" s="1">
        <v>5.0389900000000001</v>
      </c>
    </row>
    <row r="2147" spans="1:3" x14ac:dyDescent="0.3">
      <c r="A2147" s="1" t="s">
        <v>508</v>
      </c>
      <c r="B2147" t="s">
        <v>145</v>
      </c>
      <c r="C2147" s="1">
        <v>4.9518279999999999</v>
      </c>
    </row>
    <row r="2148" spans="1:3" x14ac:dyDescent="0.3">
      <c r="A2148" s="1" t="s">
        <v>508</v>
      </c>
      <c r="B2148" t="s">
        <v>146</v>
      </c>
      <c r="C2148" s="1">
        <v>5.1080629999999996</v>
      </c>
    </row>
    <row r="2149" spans="1:3" x14ac:dyDescent="0.3">
      <c r="A2149" s="1" t="s">
        <v>508</v>
      </c>
      <c r="B2149" t="s">
        <v>147</v>
      </c>
      <c r="C2149" s="1">
        <v>4.8794659999999999</v>
      </c>
    </row>
    <row r="2150" spans="1:3" x14ac:dyDescent="0.3">
      <c r="A2150" s="1" t="s">
        <v>508</v>
      </c>
      <c r="B2150" t="s">
        <v>148</v>
      </c>
      <c r="C2150" s="1">
        <v>4.8054600000000001</v>
      </c>
    </row>
    <row r="2151" spans="1:3" x14ac:dyDescent="0.3">
      <c r="A2151" s="1" t="s">
        <v>508</v>
      </c>
      <c r="B2151" t="s">
        <v>149</v>
      </c>
      <c r="C2151" s="1">
        <v>4.7544789999999999</v>
      </c>
    </row>
    <row r="2152" spans="1:3" x14ac:dyDescent="0.3">
      <c r="A2152" s="1" t="s">
        <v>508</v>
      </c>
      <c r="B2152" t="s">
        <v>150</v>
      </c>
      <c r="C2152" s="1">
        <v>4.7923039999999997</v>
      </c>
    </row>
    <row r="2153" spans="1:3" x14ac:dyDescent="0.3">
      <c r="A2153" s="1" t="s">
        <v>508</v>
      </c>
      <c r="B2153" t="s">
        <v>151</v>
      </c>
      <c r="C2153" s="1">
        <v>4.7215870000000004</v>
      </c>
    </row>
    <row r="2154" spans="1:3" x14ac:dyDescent="0.3">
      <c r="A2154" s="1" t="s">
        <v>508</v>
      </c>
      <c r="B2154" t="s">
        <v>152</v>
      </c>
      <c r="C2154" s="1">
        <v>4.4897010000000002</v>
      </c>
    </row>
    <row r="2155" spans="1:3" x14ac:dyDescent="0.3">
      <c r="A2155" s="1" t="s">
        <v>508</v>
      </c>
      <c r="B2155" t="s">
        <v>153</v>
      </c>
      <c r="C2155" s="1">
        <v>4.4156950000000004</v>
      </c>
    </row>
    <row r="2156" spans="1:3" x14ac:dyDescent="0.3">
      <c r="A2156" s="1" t="s">
        <v>508</v>
      </c>
      <c r="B2156" t="s">
        <v>154</v>
      </c>
      <c r="C2156" s="1">
        <v>4.0160629999999999</v>
      </c>
    </row>
    <row r="2157" spans="1:3" x14ac:dyDescent="0.3">
      <c r="A2157" s="1" t="s">
        <v>508</v>
      </c>
      <c r="B2157" t="s">
        <v>155</v>
      </c>
      <c r="C2157" s="1">
        <v>4.0242849999999999</v>
      </c>
    </row>
    <row r="2158" spans="1:3" x14ac:dyDescent="0.3">
      <c r="A2158" s="1" t="s">
        <v>508</v>
      </c>
      <c r="B2158" t="s">
        <v>156</v>
      </c>
      <c r="C2158" s="1">
        <v>3.892719</v>
      </c>
    </row>
    <row r="2159" spans="1:3" x14ac:dyDescent="0.3">
      <c r="A2159" s="1" t="s">
        <v>508</v>
      </c>
      <c r="B2159" t="s">
        <v>157</v>
      </c>
      <c r="C2159" s="1">
        <v>3.4601950000000001</v>
      </c>
    </row>
    <row r="2160" spans="1:3" x14ac:dyDescent="0.3">
      <c r="A2160" s="1" t="s">
        <v>508</v>
      </c>
      <c r="B2160" t="s">
        <v>158</v>
      </c>
      <c r="C2160" s="1">
        <v>3.4552610000000001</v>
      </c>
    </row>
    <row r="2161" spans="1:3" x14ac:dyDescent="0.3">
      <c r="A2161" s="1" t="s">
        <v>508</v>
      </c>
      <c r="B2161" t="s">
        <v>159</v>
      </c>
      <c r="C2161" s="1">
        <v>3.405923</v>
      </c>
    </row>
    <row r="2162" spans="1:3" x14ac:dyDescent="0.3">
      <c r="A2162" s="1" t="s">
        <v>508</v>
      </c>
      <c r="B2162" t="s">
        <v>160</v>
      </c>
      <c r="C2162" s="1">
        <v>3.465128</v>
      </c>
    </row>
    <row r="2163" spans="1:3" x14ac:dyDescent="0.3">
      <c r="A2163" s="1" t="s">
        <v>508</v>
      </c>
      <c r="B2163" t="s">
        <v>161</v>
      </c>
      <c r="C2163" s="1">
        <v>3.1575920000000002</v>
      </c>
    </row>
    <row r="2164" spans="1:3" x14ac:dyDescent="0.3">
      <c r="A2164" s="1" t="s">
        <v>508</v>
      </c>
      <c r="B2164" t="s">
        <v>162</v>
      </c>
      <c r="C2164" s="1">
        <v>3.2332429999999999</v>
      </c>
    </row>
    <row r="2165" spans="1:3" x14ac:dyDescent="0.3">
      <c r="A2165" s="1" t="s">
        <v>508</v>
      </c>
      <c r="B2165" t="s">
        <v>163</v>
      </c>
      <c r="C2165" s="1">
        <v>3.2422879999999998</v>
      </c>
    </row>
    <row r="2166" spans="1:3" x14ac:dyDescent="0.3">
      <c r="A2166" s="1" t="s">
        <v>508</v>
      </c>
      <c r="B2166" t="s">
        <v>164</v>
      </c>
      <c r="C2166" s="1">
        <v>4.1803999999999997</v>
      </c>
    </row>
    <row r="2167" spans="1:3" x14ac:dyDescent="0.3">
      <c r="A2167" s="1" t="s">
        <v>508</v>
      </c>
      <c r="B2167" t="s">
        <v>165</v>
      </c>
      <c r="C2167" s="1">
        <v>4.509423</v>
      </c>
    </row>
    <row r="2168" spans="1:3" x14ac:dyDescent="0.3">
      <c r="A2168" s="1" t="s">
        <v>508</v>
      </c>
      <c r="B2168" t="s">
        <v>166</v>
      </c>
      <c r="C2168" s="1">
        <v>4.5747780000000002</v>
      </c>
    </row>
    <row r="2169" spans="1:3" x14ac:dyDescent="0.3">
      <c r="A2169" s="1" t="s">
        <v>508</v>
      </c>
      <c r="B2169" t="s">
        <v>167</v>
      </c>
      <c r="C2169" s="1">
        <v>4.6130890000000004</v>
      </c>
    </row>
    <row r="2170" spans="1:3" x14ac:dyDescent="0.3">
      <c r="A2170" s="1" t="s">
        <v>508</v>
      </c>
      <c r="B2170" t="s">
        <v>168</v>
      </c>
      <c r="C2170" s="1">
        <v>4.3944910000000004</v>
      </c>
    </row>
    <row r="2171" spans="1:3" x14ac:dyDescent="0.3">
      <c r="A2171" s="1" t="s">
        <v>508</v>
      </c>
      <c r="B2171" t="s">
        <v>169</v>
      </c>
      <c r="C2171" s="1">
        <v>4.6468920000000002</v>
      </c>
    </row>
    <row r="2172" spans="1:3" x14ac:dyDescent="0.3">
      <c r="A2172" s="1" t="s">
        <v>508</v>
      </c>
      <c r="B2172" t="s">
        <v>170</v>
      </c>
      <c r="C2172" s="1">
        <v>4.8947859999999999</v>
      </c>
    </row>
    <row r="2173" spans="1:3" x14ac:dyDescent="0.3">
      <c r="A2173" s="1" t="s">
        <v>508</v>
      </c>
      <c r="B2173" t="s">
        <v>171</v>
      </c>
      <c r="C2173" s="1">
        <v>4.5905519999999997</v>
      </c>
    </row>
    <row r="2174" spans="1:3" x14ac:dyDescent="0.3">
      <c r="A2174" s="1" t="s">
        <v>508</v>
      </c>
      <c r="B2174" t="s">
        <v>172</v>
      </c>
      <c r="C2174" s="1">
        <v>4.6581599999999996</v>
      </c>
    </row>
    <row r="2175" spans="1:3" x14ac:dyDescent="0.3">
      <c r="A2175" s="1" t="s">
        <v>508</v>
      </c>
      <c r="B2175" t="s">
        <v>173</v>
      </c>
      <c r="C2175" s="1">
        <v>4.7009780000000001</v>
      </c>
    </row>
    <row r="2176" spans="1:3" x14ac:dyDescent="0.3">
      <c r="A2176" s="1" t="s">
        <v>508</v>
      </c>
      <c r="B2176" t="s">
        <v>174</v>
      </c>
      <c r="C2176" s="1">
        <v>4.9871829999999999</v>
      </c>
    </row>
    <row r="2177" spans="1:3" x14ac:dyDescent="0.3">
      <c r="A2177" s="1" t="s">
        <v>508</v>
      </c>
      <c r="B2177" t="s">
        <v>175</v>
      </c>
      <c r="C2177" s="1">
        <v>5.259868</v>
      </c>
    </row>
    <row r="2178" spans="1:3" x14ac:dyDescent="0.3">
      <c r="A2178" s="1" t="s">
        <v>508</v>
      </c>
      <c r="B2178" t="s">
        <v>176</v>
      </c>
      <c r="C2178" s="1">
        <v>5.259868</v>
      </c>
    </row>
    <row r="2179" spans="1:3" x14ac:dyDescent="0.3">
      <c r="A2179" s="1" t="s">
        <v>508</v>
      </c>
      <c r="B2179" t="s">
        <v>177</v>
      </c>
      <c r="C2179" s="1">
        <v>5.2238100000000003</v>
      </c>
    </row>
    <row r="2180" spans="1:3" x14ac:dyDescent="0.3">
      <c r="A2180" s="1" t="s">
        <v>508</v>
      </c>
      <c r="B2180" t="s">
        <v>178</v>
      </c>
      <c r="C2180" s="1">
        <v>5.1900060000000003</v>
      </c>
    </row>
    <row r="2181" spans="1:3" x14ac:dyDescent="0.3">
      <c r="A2181" s="1" t="s">
        <v>508</v>
      </c>
      <c r="B2181" t="s">
        <v>179</v>
      </c>
      <c r="C2181" s="1">
        <v>4.8497149999999998</v>
      </c>
    </row>
    <row r="2182" spans="1:3" x14ac:dyDescent="0.3">
      <c r="A2182" s="1" t="s">
        <v>508</v>
      </c>
      <c r="B2182" t="s">
        <v>180</v>
      </c>
      <c r="C2182" s="1">
        <v>4.8519680000000003</v>
      </c>
    </row>
    <row r="2183" spans="1:3" x14ac:dyDescent="0.3">
      <c r="A2183" s="1" t="s">
        <v>508</v>
      </c>
      <c r="B2183" t="s">
        <v>181</v>
      </c>
      <c r="C2183" s="1">
        <v>5.2576140000000002</v>
      </c>
    </row>
    <row r="2184" spans="1:3" x14ac:dyDescent="0.3">
      <c r="A2184" s="1" t="s">
        <v>508</v>
      </c>
      <c r="B2184" t="s">
        <v>182</v>
      </c>
      <c r="C2184" s="1">
        <v>5.2508530000000002</v>
      </c>
    </row>
    <row r="2185" spans="1:3" x14ac:dyDescent="0.3">
      <c r="A2185" s="1" t="s">
        <v>508</v>
      </c>
      <c r="B2185" t="s">
        <v>183</v>
      </c>
      <c r="C2185" s="1">
        <v>4.9826759999999997</v>
      </c>
    </row>
    <row r="2186" spans="1:3" x14ac:dyDescent="0.3">
      <c r="A2186" s="1" t="s">
        <v>508</v>
      </c>
      <c r="B2186" t="s">
        <v>184</v>
      </c>
      <c r="C2186" s="1">
        <v>5.0300010000000004</v>
      </c>
    </row>
    <row r="2187" spans="1:3" x14ac:dyDescent="0.3">
      <c r="A2187" s="1" t="s">
        <v>508</v>
      </c>
      <c r="B2187" t="s">
        <v>185</v>
      </c>
      <c r="C2187" s="1">
        <v>5.2193019999999999</v>
      </c>
    </row>
    <row r="2188" spans="1:3" x14ac:dyDescent="0.3">
      <c r="A2188" s="1" t="s">
        <v>508</v>
      </c>
      <c r="B2188" t="s">
        <v>186</v>
      </c>
      <c r="C2188" s="1">
        <v>5.1449340000000001</v>
      </c>
    </row>
    <row r="2189" spans="1:3" x14ac:dyDescent="0.3">
      <c r="A2189" s="1" t="s">
        <v>508</v>
      </c>
      <c r="B2189" t="s">
        <v>187</v>
      </c>
      <c r="C2189" s="1">
        <v>5.2733879999999997</v>
      </c>
    </row>
    <row r="2190" spans="1:3" x14ac:dyDescent="0.3">
      <c r="A2190" s="1" t="s">
        <v>508</v>
      </c>
      <c r="B2190" t="s">
        <v>188</v>
      </c>
      <c r="C2190" s="1">
        <v>5.4739579999999997</v>
      </c>
    </row>
    <row r="2191" spans="1:3" x14ac:dyDescent="0.3">
      <c r="A2191" s="1" t="s">
        <v>508</v>
      </c>
      <c r="B2191" t="s">
        <v>189</v>
      </c>
      <c r="C2191" s="1">
        <v>5.7421340000000001</v>
      </c>
    </row>
    <row r="2192" spans="1:3" x14ac:dyDescent="0.3">
      <c r="A2192" s="1" t="s">
        <v>508</v>
      </c>
      <c r="B2192" t="s">
        <v>190</v>
      </c>
      <c r="C2192" s="1">
        <v>5.7083310000000003</v>
      </c>
    </row>
    <row r="2193" spans="1:3" x14ac:dyDescent="0.3">
      <c r="A2193" s="1" t="s">
        <v>508</v>
      </c>
      <c r="B2193" t="s">
        <v>191</v>
      </c>
      <c r="C2193" s="1">
        <v>5.3364900000000004</v>
      </c>
    </row>
    <row r="2194" spans="1:3" x14ac:dyDescent="0.3">
      <c r="A2194" s="1" t="s">
        <v>508</v>
      </c>
      <c r="B2194" t="s">
        <v>192</v>
      </c>
      <c r="C2194" s="1">
        <v>5.5190299999999999</v>
      </c>
    </row>
    <row r="2195" spans="1:3" x14ac:dyDescent="0.3">
      <c r="A2195" s="1" t="s">
        <v>508</v>
      </c>
      <c r="B2195" t="s">
        <v>193</v>
      </c>
      <c r="C2195" s="1">
        <v>5.6181869999999998</v>
      </c>
    </row>
    <row r="2196" spans="1:3" x14ac:dyDescent="0.3">
      <c r="A2196" s="1" t="s">
        <v>508</v>
      </c>
      <c r="B2196" t="s">
        <v>194</v>
      </c>
      <c r="C2196" s="1">
        <v>5.6046659999999999</v>
      </c>
    </row>
    <row r="2197" spans="1:3" x14ac:dyDescent="0.3">
      <c r="A2197" s="1" t="s">
        <v>508</v>
      </c>
      <c r="B2197" t="s">
        <v>195</v>
      </c>
      <c r="C2197" s="1">
        <v>5.9517179999999996</v>
      </c>
    </row>
    <row r="2198" spans="1:3" x14ac:dyDescent="0.3">
      <c r="A2198" s="1" t="s">
        <v>508</v>
      </c>
      <c r="B2198" t="s">
        <v>196</v>
      </c>
      <c r="C2198" s="1">
        <v>5.809742</v>
      </c>
    </row>
    <row r="2199" spans="1:3" x14ac:dyDescent="0.3">
      <c r="A2199" s="1" t="s">
        <v>508</v>
      </c>
      <c r="B2199" t="s">
        <v>197</v>
      </c>
      <c r="C2199" s="1">
        <v>5.7150910000000001</v>
      </c>
    </row>
    <row r="2200" spans="1:3" x14ac:dyDescent="0.3">
      <c r="A2200" s="1" t="s">
        <v>508</v>
      </c>
      <c r="B2200" t="s">
        <v>198</v>
      </c>
      <c r="C2200" s="1">
        <v>5.5460719999999997</v>
      </c>
    </row>
    <row r="2201" spans="1:3" x14ac:dyDescent="0.3">
      <c r="A2201" s="1" t="s">
        <v>508</v>
      </c>
      <c r="B2201" t="s">
        <v>199</v>
      </c>
      <c r="C2201" s="1">
        <v>5.3455029999999999</v>
      </c>
    </row>
    <row r="2202" spans="1:3" x14ac:dyDescent="0.3">
      <c r="A2202" s="1" t="s">
        <v>508</v>
      </c>
      <c r="B2202" t="s">
        <v>200</v>
      </c>
      <c r="C2202" s="1">
        <v>5.5348040000000003</v>
      </c>
    </row>
    <row r="2203" spans="1:3" x14ac:dyDescent="0.3">
      <c r="A2203" s="1" t="s">
        <v>508</v>
      </c>
      <c r="B2203" t="s">
        <v>201</v>
      </c>
      <c r="C2203" s="1">
        <v>5.881856</v>
      </c>
    </row>
    <row r="2204" spans="1:3" x14ac:dyDescent="0.3">
      <c r="A2204" s="1" t="s">
        <v>508</v>
      </c>
      <c r="B2204" t="s">
        <v>202</v>
      </c>
      <c r="C2204" s="1">
        <v>5.9967889999999997</v>
      </c>
    </row>
    <row r="2205" spans="1:3" x14ac:dyDescent="0.3">
      <c r="A2205" s="1" t="s">
        <v>508</v>
      </c>
      <c r="B2205" t="s">
        <v>203</v>
      </c>
      <c r="C2205" s="1">
        <v>6.1838369999999996</v>
      </c>
    </row>
    <row r="2206" spans="1:3" x14ac:dyDescent="0.3">
      <c r="A2206" s="1" t="s">
        <v>508</v>
      </c>
      <c r="B2206" t="s">
        <v>204</v>
      </c>
      <c r="C2206" s="1">
        <v>6.1094679999999997</v>
      </c>
    </row>
    <row r="2207" spans="1:3" x14ac:dyDescent="0.3">
      <c r="A2207" s="1" t="s">
        <v>508</v>
      </c>
      <c r="B2207" t="s">
        <v>205</v>
      </c>
      <c r="C2207" s="1">
        <v>6.2694739999999998</v>
      </c>
    </row>
    <row r="2208" spans="1:3" x14ac:dyDescent="0.3">
      <c r="A2208" s="1" t="s">
        <v>508</v>
      </c>
      <c r="B2208" t="s">
        <v>206</v>
      </c>
      <c r="C2208" s="1">
        <v>6.5038460000000002</v>
      </c>
    </row>
    <row r="2209" spans="1:3" x14ac:dyDescent="0.3">
      <c r="A2209" s="1" t="s">
        <v>508</v>
      </c>
      <c r="B2209" t="s">
        <v>207</v>
      </c>
      <c r="C2209" s="1">
        <v>6.578214</v>
      </c>
    </row>
    <row r="2210" spans="1:3" x14ac:dyDescent="0.3">
      <c r="A2210" s="1" t="s">
        <v>508</v>
      </c>
      <c r="B2210" t="s">
        <v>208</v>
      </c>
      <c r="C2210" s="1">
        <v>6.6525829999999999</v>
      </c>
    </row>
    <row r="2211" spans="1:3" x14ac:dyDescent="0.3">
      <c r="A2211" s="1" t="s">
        <v>508</v>
      </c>
      <c r="B2211" t="s">
        <v>209</v>
      </c>
      <c r="C2211" s="1">
        <v>6.5737069999999997</v>
      </c>
    </row>
    <row r="2212" spans="1:3" x14ac:dyDescent="0.3">
      <c r="A2212" s="1" t="s">
        <v>508</v>
      </c>
      <c r="B2212" t="s">
        <v>210</v>
      </c>
      <c r="C2212" s="1">
        <v>6.7021620000000004</v>
      </c>
    </row>
    <row r="2213" spans="1:3" x14ac:dyDescent="0.3">
      <c r="A2213" s="1" t="s">
        <v>508</v>
      </c>
      <c r="B2213" t="s">
        <v>211</v>
      </c>
      <c r="C2213" s="1">
        <v>6.7585009999999999</v>
      </c>
    </row>
    <row r="2214" spans="1:3" x14ac:dyDescent="0.3">
      <c r="A2214" s="1" t="s">
        <v>508</v>
      </c>
      <c r="B2214" t="s">
        <v>212</v>
      </c>
      <c r="C2214" s="1">
        <v>7.008648</v>
      </c>
    </row>
    <row r="2215" spans="1:3" x14ac:dyDescent="0.3">
      <c r="A2215" s="1" t="s">
        <v>508</v>
      </c>
      <c r="B2215" t="s">
        <v>213</v>
      </c>
      <c r="C2215" s="1">
        <v>7.0176639999999999</v>
      </c>
    </row>
    <row r="2216" spans="1:3" x14ac:dyDescent="0.3">
      <c r="A2216" s="1" t="s">
        <v>508</v>
      </c>
      <c r="B2216" t="s">
        <v>214</v>
      </c>
      <c r="C2216" s="1">
        <v>7.2633039999999998</v>
      </c>
    </row>
    <row r="2217" spans="1:3" x14ac:dyDescent="0.3">
      <c r="A2217" s="1" t="s">
        <v>508</v>
      </c>
      <c r="B2217" t="s">
        <v>215</v>
      </c>
      <c r="C2217" s="1">
        <v>7.3038679999999996</v>
      </c>
    </row>
    <row r="2218" spans="1:3" x14ac:dyDescent="0.3">
      <c r="A2218" s="1" t="s">
        <v>508</v>
      </c>
      <c r="B2218" t="s">
        <v>216</v>
      </c>
      <c r="C2218" s="1">
        <v>7.2407680000000001</v>
      </c>
    </row>
    <row r="2219" spans="1:3" x14ac:dyDescent="0.3">
      <c r="A2219" s="1" t="s">
        <v>508</v>
      </c>
      <c r="B2219" t="s">
        <v>217</v>
      </c>
      <c r="C2219" s="1">
        <v>7.2452750000000004</v>
      </c>
    </row>
    <row r="2220" spans="1:3" x14ac:dyDescent="0.3">
      <c r="A2220" s="1" t="s">
        <v>508</v>
      </c>
      <c r="B2220" t="s">
        <v>218</v>
      </c>
      <c r="C2220" s="1">
        <v>6.690893</v>
      </c>
    </row>
    <row r="2221" spans="1:3" x14ac:dyDescent="0.3">
      <c r="A2221" s="1" t="s">
        <v>508</v>
      </c>
      <c r="B2221" t="s">
        <v>219</v>
      </c>
      <c r="C2221" s="1">
        <v>6.7134299999999998</v>
      </c>
    </row>
    <row r="2222" spans="1:3" x14ac:dyDescent="0.3">
      <c r="A2222" s="1" t="s">
        <v>508</v>
      </c>
      <c r="B2222" t="s">
        <v>220</v>
      </c>
      <c r="C2222" s="1">
        <v>6.8621670000000003</v>
      </c>
    </row>
    <row r="2223" spans="1:3" x14ac:dyDescent="0.3">
      <c r="A2223" s="1" t="s">
        <v>508</v>
      </c>
      <c r="B2223" t="s">
        <v>221</v>
      </c>
      <c r="C2223" s="1">
        <v>7.2542900000000001</v>
      </c>
    </row>
    <row r="2224" spans="1:3" x14ac:dyDescent="0.3">
      <c r="A2224" s="1" t="s">
        <v>508</v>
      </c>
      <c r="B2224" t="s">
        <v>222</v>
      </c>
      <c r="C2224" s="1">
        <v>8.3798130000000004</v>
      </c>
    </row>
    <row r="2225" spans="1:3" x14ac:dyDescent="0.3">
      <c r="A2225" s="1" t="s">
        <v>508</v>
      </c>
      <c r="B2225" t="s">
        <v>223</v>
      </c>
      <c r="C2225" s="1">
        <v>8.1394640000000003</v>
      </c>
    </row>
    <row r="2226" spans="1:3" x14ac:dyDescent="0.3">
      <c r="A2226" s="1" t="s">
        <v>508</v>
      </c>
      <c r="B2226" t="s">
        <v>224</v>
      </c>
      <c r="C2226" s="1">
        <v>8.1070580000000003</v>
      </c>
    </row>
    <row r="2227" spans="1:3" x14ac:dyDescent="0.3">
      <c r="A2227" s="1" t="s">
        <v>508</v>
      </c>
      <c r="B2227" t="s">
        <v>225</v>
      </c>
      <c r="C2227" s="1">
        <v>8.4797329999999995</v>
      </c>
    </row>
    <row r="2228" spans="1:3" x14ac:dyDescent="0.3">
      <c r="A2228" s="1" t="s">
        <v>508</v>
      </c>
      <c r="B2228" t="s">
        <v>226</v>
      </c>
      <c r="C2228" s="1">
        <v>8.3068989999999996</v>
      </c>
    </row>
    <row r="2229" spans="1:3" x14ac:dyDescent="0.3">
      <c r="A2229" s="1" t="s">
        <v>508</v>
      </c>
      <c r="B2229" t="s">
        <v>227</v>
      </c>
      <c r="C2229" s="1">
        <v>8.1205610000000004</v>
      </c>
    </row>
    <row r="2230" spans="1:3" x14ac:dyDescent="0.3">
      <c r="A2230" s="1" t="s">
        <v>508</v>
      </c>
      <c r="B2230" t="s">
        <v>228</v>
      </c>
      <c r="C2230" s="1">
        <v>8.1502680000000005</v>
      </c>
    </row>
    <row r="2231" spans="1:3" x14ac:dyDescent="0.3">
      <c r="A2231" s="1" t="s">
        <v>508</v>
      </c>
      <c r="B2231" t="s">
        <v>229</v>
      </c>
      <c r="C2231" s="1">
        <v>8.1772720000000003</v>
      </c>
    </row>
    <row r="2232" spans="1:3" x14ac:dyDescent="0.3">
      <c r="A2232" s="1" t="s">
        <v>508</v>
      </c>
      <c r="B2232" t="s">
        <v>230</v>
      </c>
      <c r="C2232" s="1">
        <v>7.8775110000000002</v>
      </c>
    </row>
    <row r="2233" spans="1:3" x14ac:dyDescent="0.3">
      <c r="A2233" s="1" t="s">
        <v>508</v>
      </c>
      <c r="B2233" t="s">
        <v>231</v>
      </c>
      <c r="C2233" s="1">
        <v>8.7208179999999995</v>
      </c>
    </row>
    <row r="2234" spans="1:3" x14ac:dyDescent="0.3">
      <c r="A2234" s="1" t="s">
        <v>508</v>
      </c>
      <c r="B2234" t="s">
        <v>232</v>
      </c>
      <c r="C2234" s="1">
        <v>8.6523050000000001</v>
      </c>
    </row>
    <row r="2235" spans="1:3" x14ac:dyDescent="0.3">
      <c r="A2235" s="1" t="s">
        <v>508</v>
      </c>
      <c r="B2235" t="s">
        <v>233</v>
      </c>
      <c r="C2235" s="1">
        <v>8.4957019999999996</v>
      </c>
    </row>
    <row r="2236" spans="1:3" x14ac:dyDescent="0.3">
      <c r="A2236" s="1" t="s">
        <v>508</v>
      </c>
      <c r="B2236" t="s">
        <v>234</v>
      </c>
      <c r="C2236" s="1">
        <v>8.7423520000000003</v>
      </c>
    </row>
    <row r="2237" spans="1:3" x14ac:dyDescent="0.3">
      <c r="A2237" s="1" t="s">
        <v>508</v>
      </c>
      <c r="B2237" t="s">
        <v>235</v>
      </c>
      <c r="C2237" s="1">
        <v>9.0477270000000001</v>
      </c>
    </row>
    <row r="2238" spans="1:3" x14ac:dyDescent="0.3">
      <c r="A2238" s="1" t="s">
        <v>508</v>
      </c>
      <c r="B2238" t="s">
        <v>236</v>
      </c>
      <c r="C2238" s="1">
        <v>8.5798749999999995</v>
      </c>
    </row>
    <row r="2239" spans="1:3" x14ac:dyDescent="0.3">
      <c r="A2239" s="1" t="s">
        <v>508</v>
      </c>
      <c r="B2239" t="s">
        <v>237</v>
      </c>
      <c r="C2239" s="1">
        <v>8.4800409999999999</v>
      </c>
    </row>
    <row r="2240" spans="1:3" x14ac:dyDescent="0.3">
      <c r="A2240" s="1" t="s">
        <v>508</v>
      </c>
      <c r="B2240" t="s">
        <v>238</v>
      </c>
      <c r="C2240" s="1">
        <v>8.4741689999999998</v>
      </c>
    </row>
    <row r="2241" spans="1:3" x14ac:dyDescent="0.3">
      <c r="A2241" s="1" t="s">
        <v>508</v>
      </c>
      <c r="B2241" t="s">
        <v>239</v>
      </c>
      <c r="C2241" s="1">
        <v>11.657121</v>
      </c>
    </row>
    <row r="2242" spans="1:3" x14ac:dyDescent="0.3">
      <c r="A2242" s="1" t="s">
        <v>508</v>
      </c>
      <c r="B2242" t="s">
        <v>240</v>
      </c>
      <c r="C2242" s="1">
        <v>11.544562000000001</v>
      </c>
    </row>
    <row r="2243" spans="1:3" x14ac:dyDescent="0.3">
      <c r="A2243" s="1" t="s">
        <v>508</v>
      </c>
      <c r="B2243" t="s">
        <v>241</v>
      </c>
      <c r="C2243" s="1">
        <v>11.666907999999999</v>
      </c>
    </row>
    <row r="2244" spans="1:3" x14ac:dyDescent="0.3">
      <c r="A2244" s="1" t="s">
        <v>508</v>
      </c>
      <c r="B2244" t="s">
        <v>242</v>
      </c>
      <c r="C2244" s="1">
        <v>11.882237</v>
      </c>
    </row>
    <row r="2245" spans="1:3" x14ac:dyDescent="0.3">
      <c r="A2245" s="1" t="s">
        <v>508</v>
      </c>
      <c r="B2245" t="s">
        <v>243</v>
      </c>
      <c r="C2245" s="1">
        <v>11.940963</v>
      </c>
    </row>
    <row r="2246" spans="1:3" x14ac:dyDescent="0.3">
      <c r="A2246" s="1" t="s">
        <v>508</v>
      </c>
      <c r="B2246" t="s">
        <v>244</v>
      </c>
      <c r="C2246" s="1">
        <v>11.852874</v>
      </c>
    </row>
    <row r="2247" spans="1:3" x14ac:dyDescent="0.3">
      <c r="A2247" s="1" t="s">
        <v>508</v>
      </c>
      <c r="B2247" t="s">
        <v>245</v>
      </c>
      <c r="C2247" s="1">
        <v>11.794148</v>
      </c>
    </row>
    <row r="2248" spans="1:3" x14ac:dyDescent="0.3">
      <c r="A2248" s="1" t="s">
        <v>508</v>
      </c>
      <c r="B2248" t="s">
        <v>246</v>
      </c>
      <c r="C2248" s="1">
        <v>11.892023999999999</v>
      </c>
    </row>
    <row r="2249" spans="1:3" x14ac:dyDescent="0.3">
      <c r="A2249" s="1" t="s">
        <v>508</v>
      </c>
      <c r="B2249" t="s">
        <v>247</v>
      </c>
      <c r="C2249" s="1">
        <v>11.857767000000001</v>
      </c>
    </row>
    <row r="2250" spans="1:3" x14ac:dyDescent="0.3">
      <c r="A2250" s="1" t="s">
        <v>508</v>
      </c>
      <c r="B2250" t="s">
        <v>248</v>
      </c>
      <c r="C2250" s="1">
        <v>11.813723</v>
      </c>
    </row>
    <row r="2251" spans="1:3" x14ac:dyDescent="0.3">
      <c r="A2251" s="1" t="s">
        <v>508</v>
      </c>
      <c r="B2251" t="s">
        <v>249</v>
      </c>
      <c r="C2251" s="1">
        <v>11.852874</v>
      </c>
    </row>
    <row r="2252" spans="1:3" x14ac:dyDescent="0.3">
      <c r="A2252" s="1" t="s">
        <v>508</v>
      </c>
      <c r="B2252" t="s">
        <v>250</v>
      </c>
      <c r="C2252" s="1">
        <v>11.843086</v>
      </c>
    </row>
    <row r="2253" spans="1:3" x14ac:dyDescent="0.3">
      <c r="A2253" s="1" t="s">
        <v>508</v>
      </c>
      <c r="B2253" t="s">
        <v>251</v>
      </c>
      <c r="C2253" s="1">
        <v>11.843086</v>
      </c>
    </row>
    <row r="2254" spans="1:3" x14ac:dyDescent="0.3">
      <c r="A2254" s="1" t="s">
        <v>508</v>
      </c>
      <c r="B2254" t="s">
        <v>252</v>
      </c>
      <c r="C2254" s="1">
        <v>11.901813000000001</v>
      </c>
    </row>
    <row r="2255" spans="1:3" x14ac:dyDescent="0.3">
      <c r="A2255" s="1" t="s">
        <v>508</v>
      </c>
      <c r="B2255" t="s">
        <v>253</v>
      </c>
      <c r="C2255" s="1">
        <v>11.980112999999999</v>
      </c>
    </row>
    <row r="2256" spans="1:3" x14ac:dyDescent="0.3">
      <c r="A2256" s="1" t="s">
        <v>508</v>
      </c>
      <c r="B2256" t="s">
        <v>254</v>
      </c>
      <c r="C2256" s="1">
        <v>11.906706</v>
      </c>
    </row>
    <row r="2257" spans="1:3" x14ac:dyDescent="0.3">
      <c r="A2257" s="1" t="s">
        <v>508</v>
      </c>
      <c r="B2257" t="s">
        <v>255</v>
      </c>
      <c r="C2257" s="1">
        <v>11.706059</v>
      </c>
    </row>
    <row r="2258" spans="1:3" x14ac:dyDescent="0.3">
      <c r="A2258" s="1" t="s">
        <v>508</v>
      </c>
      <c r="B2258" t="s">
        <v>256</v>
      </c>
      <c r="C2258" s="1">
        <v>11.779467</v>
      </c>
    </row>
    <row r="2259" spans="1:3" x14ac:dyDescent="0.3">
      <c r="A2259" s="1" t="s">
        <v>508</v>
      </c>
      <c r="B2259" t="s">
        <v>257</v>
      </c>
      <c r="C2259" s="1">
        <v>11.754996999999999</v>
      </c>
    </row>
    <row r="2260" spans="1:3" x14ac:dyDescent="0.3">
      <c r="A2260" s="1" t="s">
        <v>508</v>
      </c>
      <c r="B2260" t="s">
        <v>258</v>
      </c>
      <c r="C2260" s="1">
        <v>11.892023999999999</v>
      </c>
    </row>
    <row r="2261" spans="1:3" x14ac:dyDescent="0.3">
      <c r="A2261" s="1" t="s">
        <v>508</v>
      </c>
      <c r="B2261" t="s">
        <v>259</v>
      </c>
      <c r="C2261" s="1">
        <v>11.857767000000001</v>
      </c>
    </row>
    <row r="2262" spans="1:3" x14ac:dyDescent="0.3">
      <c r="A2262" s="1" t="s">
        <v>508</v>
      </c>
      <c r="B2262" t="s">
        <v>260</v>
      </c>
      <c r="C2262" s="1">
        <v>11.9116</v>
      </c>
    </row>
    <row r="2263" spans="1:3" x14ac:dyDescent="0.3">
      <c r="A2263" s="1" t="s">
        <v>508</v>
      </c>
      <c r="B2263" t="s">
        <v>261</v>
      </c>
      <c r="C2263" s="1">
        <v>11.735421000000001</v>
      </c>
    </row>
    <row r="2264" spans="1:3" x14ac:dyDescent="0.3">
      <c r="A2264" s="1" t="s">
        <v>508</v>
      </c>
      <c r="B2264" t="s">
        <v>262</v>
      </c>
      <c r="C2264" s="1">
        <v>11.588607</v>
      </c>
    </row>
    <row r="2265" spans="1:3" x14ac:dyDescent="0.3">
      <c r="A2265" s="1" t="s">
        <v>508</v>
      </c>
      <c r="B2265" t="s">
        <v>263</v>
      </c>
      <c r="C2265" s="1">
        <v>11.353702999999999</v>
      </c>
    </row>
    <row r="2266" spans="1:3" x14ac:dyDescent="0.3">
      <c r="A2266" s="1" t="s">
        <v>508</v>
      </c>
      <c r="B2266" t="s">
        <v>264</v>
      </c>
      <c r="C2266" s="1">
        <v>11.246036999999999</v>
      </c>
    </row>
    <row r="2267" spans="1:3" x14ac:dyDescent="0.3">
      <c r="A2267" s="1" t="s">
        <v>508</v>
      </c>
      <c r="B2267" t="s">
        <v>265</v>
      </c>
      <c r="C2267" s="1">
        <v>11.304765</v>
      </c>
    </row>
    <row r="2268" spans="1:3" x14ac:dyDescent="0.3">
      <c r="A2268" s="1" t="s">
        <v>508</v>
      </c>
      <c r="B2268" t="s">
        <v>266</v>
      </c>
      <c r="C2268" s="1">
        <v>11.280294</v>
      </c>
    </row>
    <row r="2269" spans="1:3" x14ac:dyDescent="0.3">
      <c r="A2269" s="1" t="s">
        <v>508</v>
      </c>
      <c r="B2269" t="s">
        <v>267</v>
      </c>
      <c r="C2269" s="1">
        <v>11.255826000000001</v>
      </c>
    </row>
    <row r="2270" spans="1:3" x14ac:dyDescent="0.3">
      <c r="A2270" s="1" t="s">
        <v>508</v>
      </c>
      <c r="B2270" t="s">
        <v>268</v>
      </c>
      <c r="C2270" s="1">
        <v>11.192206000000001</v>
      </c>
    </row>
    <row r="2271" spans="1:3" x14ac:dyDescent="0.3">
      <c r="A2271" s="1" t="s">
        <v>508</v>
      </c>
      <c r="B2271" t="s">
        <v>269</v>
      </c>
      <c r="C2271" s="1">
        <v>11.285189000000001</v>
      </c>
    </row>
    <row r="2272" spans="1:3" x14ac:dyDescent="0.3">
      <c r="A2272" s="1" t="s">
        <v>508</v>
      </c>
      <c r="B2272" t="s">
        <v>270</v>
      </c>
      <c r="C2272" s="1">
        <v>11.206887</v>
      </c>
    </row>
    <row r="2273" spans="1:3" x14ac:dyDescent="0.3">
      <c r="A2273" s="1" t="s">
        <v>508</v>
      </c>
      <c r="B2273" t="s">
        <v>271</v>
      </c>
      <c r="C2273" s="1">
        <v>11.23625</v>
      </c>
    </row>
    <row r="2274" spans="1:3" x14ac:dyDescent="0.3">
      <c r="A2274" s="1" t="s">
        <v>508</v>
      </c>
      <c r="B2274" t="s">
        <v>272</v>
      </c>
      <c r="C2274" s="1">
        <v>11.143268000000001</v>
      </c>
    </row>
    <row r="2275" spans="1:3" x14ac:dyDescent="0.3">
      <c r="A2275" s="1" t="s">
        <v>508</v>
      </c>
      <c r="B2275" t="s">
        <v>273</v>
      </c>
      <c r="C2275" s="1">
        <v>11.128586</v>
      </c>
    </row>
    <row r="2276" spans="1:3" x14ac:dyDescent="0.3">
      <c r="A2276" s="1" t="s">
        <v>508</v>
      </c>
      <c r="B2276" t="s">
        <v>274</v>
      </c>
      <c r="C2276" s="1">
        <v>11.197100000000001</v>
      </c>
    </row>
    <row r="2277" spans="1:3" x14ac:dyDescent="0.3">
      <c r="A2277" s="1" t="s">
        <v>508</v>
      </c>
      <c r="B2277" t="s">
        <v>275</v>
      </c>
      <c r="C2277" s="1">
        <v>11.162843000000001</v>
      </c>
    </row>
    <row r="2278" spans="1:3" x14ac:dyDescent="0.3">
      <c r="A2278" s="1" t="s">
        <v>508</v>
      </c>
      <c r="B2278" t="s">
        <v>276</v>
      </c>
      <c r="C2278" s="1">
        <v>11.23625</v>
      </c>
    </row>
    <row r="2279" spans="1:3" x14ac:dyDescent="0.3">
      <c r="A2279" s="1" t="s">
        <v>508</v>
      </c>
      <c r="B2279" t="s">
        <v>277</v>
      </c>
      <c r="C2279" s="1">
        <v>11.255826000000001</v>
      </c>
    </row>
    <row r="2280" spans="1:3" x14ac:dyDescent="0.3">
      <c r="A2280" s="1" t="s">
        <v>508</v>
      </c>
      <c r="B2280" t="s">
        <v>278</v>
      </c>
      <c r="C2280" s="1">
        <v>11.280294</v>
      </c>
    </row>
    <row r="2281" spans="1:3" x14ac:dyDescent="0.3">
      <c r="A2281" s="1" t="s">
        <v>508</v>
      </c>
      <c r="B2281" t="s">
        <v>279</v>
      </c>
      <c r="C2281" s="1">
        <v>11.29987</v>
      </c>
    </row>
    <row r="2282" spans="1:3" x14ac:dyDescent="0.3">
      <c r="A2282" s="1" t="s">
        <v>508</v>
      </c>
      <c r="B2282" t="s">
        <v>280</v>
      </c>
      <c r="C2282" s="1">
        <v>11.353702999999999</v>
      </c>
    </row>
    <row r="2283" spans="1:3" x14ac:dyDescent="0.3">
      <c r="A2283" s="1" t="s">
        <v>508</v>
      </c>
      <c r="B2283" t="s">
        <v>281</v>
      </c>
      <c r="C2283" s="1">
        <v>11.422216000000001</v>
      </c>
    </row>
    <row r="2284" spans="1:3" x14ac:dyDescent="0.3">
      <c r="A2284" s="1" t="s">
        <v>508</v>
      </c>
      <c r="B2284" t="s">
        <v>282</v>
      </c>
      <c r="C2284" s="1">
        <v>11.353702999999999</v>
      </c>
    </row>
    <row r="2285" spans="1:3" x14ac:dyDescent="0.3">
      <c r="A2285" s="1" t="s">
        <v>508</v>
      </c>
      <c r="B2285" t="s">
        <v>283</v>
      </c>
      <c r="C2285" s="1">
        <v>11.353702999999999</v>
      </c>
    </row>
    <row r="2286" spans="1:3" x14ac:dyDescent="0.3">
      <c r="A2286" s="1" t="s">
        <v>508</v>
      </c>
      <c r="B2286" t="s">
        <v>284</v>
      </c>
      <c r="C2286" s="1">
        <v>11.334127000000001</v>
      </c>
    </row>
    <row r="2287" spans="1:3" x14ac:dyDescent="0.3">
      <c r="A2287" s="1" t="s">
        <v>508</v>
      </c>
      <c r="B2287" t="s">
        <v>285</v>
      </c>
      <c r="C2287" s="1">
        <v>11.392854</v>
      </c>
    </row>
    <row r="2288" spans="1:3" x14ac:dyDescent="0.3">
      <c r="A2288" s="1" t="s">
        <v>508</v>
      </c>
      <c r="B2288" t="s">
        <v>286</v>
      </c>
      <c r="C2288" s="1">
        <v>11.451579000000001</v>
      </c>
    </row>
    <row r="2289" spans="1:3" x14ac:dyDescent="0.3">
      <c r="A2289" s="1" t="s">
        <v>508</v>
      </c>
      <c r="B2289" t="s">
        <v>287</v>
      </c>
      <c r="C2289" s="1">
        <v>11.451579000000001</v>
      </c>
    </row>
    <row r="2290" spans="1:3" x14ac:dyDescent="0.3">
      <c r="A2290" s="1" t="s">
        <v>508</v>
      </c>
      <c r="B2290" t="s">
        <v>288</v>
      </c>
      <c r="C2290" s="1">
        <v>11.5152</v>
      </c>
    </row>
    <row r="2291" spans="1:3" x14ac:dyDescent="0.3">
      <c r="A2291" s="1" t="s">
        <v>508</v>
      </c>
      <c r="B2291" t="s">
        <v>289</v>
      </c>
      <c r="C2291" s="1">
        <v>11.294976</v>
      </c>
    </row>
    <row r="2292" spans="1:3" x14ac:dyDescent="0.3">
      <c r="A2292" s="1" t="s">
        <v>508</v>
      </c>
      <c r="B2292" t="s">
        <v>290</v>
      </c>
      <c r="C2292" s="1">
        <v>11.329233</v>
      </c>
    </row>
    <row r="2293" spans="1:3" x14ac:dyDescent="0.3">
      <c r="A2293" s="1" t="s">
        <v>508</v>
      </c>
      <c r="B2293" t="s">
        <v>291</v>
      </c>
      <c r="C2293" s="1">
        <v>11.353702999999999</v>
      </c>
    </row>
    <row r="2294" spans="1:3" x14ac:dyDescent="0.3">
      <c r="A2294" s="1" t="s">
        <v>508</v>
      </c>
      <c r="B2294" t="s">
        <v>292</v>
      </c>
      <c r="C2294" s="1">
        <v>11.255826000000001</v>
      </c>
    </row>
    <row r="2295" spans="1:3" x14ac:dyDescent="0.3">
      <c r="A2295" s="1" t="s">
        <v>508</v>
      </c>
      <c r="B2295" t="s">
        <v>293</v>
      </c>
      <c r="C2295" s="1">
        <v>11.246036999999999</v>
      </c>
    </row>
    <row r="2296" spans="1:3" x14ac:dyDescent="0.3">
      <c r="A2296" s="1" t="s">
        <v>508</v>
      </c>
      <c r="B2296" t="s">
        <v>294</v>
      </c>
      <c r="C2296" s="1">
        <v>11.255826000000001</v>
      </c>
    </row>
    <row r="2297" spans="1:3" x14ac:dyDescent="0.3">
      <c r="A2297" s="1" t="s">
        <v>508</v>
      </c>
      <c r="B2297" t="s">
        <v>295</v>
      </c>
      <c r="C2297" s="1">
        <v>11.500518</v>
      </c>
    </row>
    <row r="2298" spans="1:3" x14ac:dyDescent="0.3">
      <c r="A2298" s="1" t="s">
        <v>508</v>
      </c>
      <c r="B2298" t="s">
        <v>296</v>
      </c>
      <c r="C2298" s="1">
        <v>11.309658000000001</v>
      </c>
    </row>
    <row r="2299" spans="1:3" x14ac:dyDescent="0.3">
      <c r="A2299" s="1" t="s">
        <v>508</v>
      </c>
      <c r="B2299" t="s">
        <v>297</v>
      </c>
      <c r="C2299" s="1">
        <v>11.255826000000001</v>
      </c>
    </row>
    <row r="2300" spans="1:3" x14ac:dyDescent="0.3">
      <c r="A2300" s="1" t="s">
        <v>508</v>
      </c>
      <c r="B2300" t="s">
        <v>298</v>
      </c>
      <c r="C2300" s="1">
        <v>11.451579000000001</v>
      </c>
    </row>
    <row r="2301" spans="1:3" x14ac:dyDescent="0.3">
      <c r="A2301" s="1" t="s">
        <v>508</v>
      </c>
      <c r="B2301" t="s">
        <v>299</v>
      </c>
      <c r="C2301" s="1">
        <v>11.280294</v>
      </c>
    </row>
    <row r="2302" spans="1:3" x14ac:dyDescent="0.3">
      <c r="A2302" s="1" t="s">
        <v>508</v>
      </c>
      <c r="B2302" t="s">
        <v>300</v>
      </c>
      <c r="C2302" s="1">
        <v>11.353702999999999</v>
      </c>
    </row>
    <row r="2303" spans="1:3" x14ac:dyDescent="0.3">
      <c r="A2303" s="1" t="s">
        <v>508</v>
      </c>
      <c r="B2303" t="s">
        <v>301</v>
      </c>
      <c r="C2303" s="1">
        <v>11.304765</v>
      </c>
    </row>
    <row r="2304" spans="1:3" x14ac:dyDescent="0.3">
      <c r="A2304" s="1" t="s">
        <v>508</v>
      </c>
      <c r="B2304" t="s">
        <v>302</v>
      </c>
      <c r="C2304" s="1">
        <v>11.334127000000001</v>
      </c>
    </row>
    <row r="2305" spans="1:3" x14ac:dyDescent="0.3">
      <c r="A2305" s="1" t="s">
        <v>508</v>
      </c>
      <c r="B2305" t="s">
        <v>303</v>
      </c>
      <c r="C2305" s="1">
        <v>11.324339</v>
      </c>
    </row>
    <row r="2306" spans="1:3" x14ac:dyDescent="0.3">
      <c r="A2306" s="1" t="s">
        <v>508</v>
      </c>
      <c r="B2306" t="s">
        <v>304</v>
      </c>
      <c r="C2306" s="1">
        <v>11.432003999999999</v>
      </c>
    </row>
    <row r="2307" spans="1:3" x14ac:dyDescent="0.3">
      <c r="A2307" s="1" t="s">
        <v>508</v>
      </c>
      <c r="B2307" t="s">
        <v>305</v>
      </c>
      <c r="C2307" s="1">
        <v>11.294976</v>
      </c>
    </row>
    <row r="2308" spans="1:3" x14ac:dyDescent="0.3">
      <c r="A2308" s="1" t="s">
        <v>508</v>
      </c>
      <c r="B2308" t="s">
        <v>306</v>
      </c>
      <c r="C2308" s="1">
        <v>11.280294</v>
      </c>
    </row>
    <row r="2309" spans="1:3" x14ac:dyDescent="0.3">
      <c r="A2309" s="1" t="s">
        <v>508</v>
      </c>
      <c r="B2309" t="s">
        <v>307</v>
      </c>
      <c r="C2309" s="1">
        <v>11.68159</v>
      </c>
    </row>
    <row r="2310" spans="1:3" x14ac:dyDescent="0.3">
      <c r="A2310" s="1" t="s">
        <v>508</v>
      </c>
      <c r="B2310" t="s">
        <v>308</v>
      </c>
      <c r="C2310" s="1">
        <v>11.657121</v>
      </c>
    </row>
    <row r="2311" spans="1:3" x14ac:dyDescent="0.3">
      <c r="A2311" s="1" t="s">
        <v>508</v>
      </c>
      <c r="B2311" t="s">
        <v>309</v>
      </c>
      <c r="C2311" s="1">
        <v>11.569031000000001</v>
      </c>
    </row>
    <row r="2312" spans="1:3" x14ac:dyDescent="0.3">
      <c r="A2312" s="1" t="s">
        <v>508</v>
      </c>
      <c r="B2312" t="s">
        <v>310</v>
      </c>
      <c r="C2312" s="1">
        <v>11.40264</v>
      </c>
    </row>
    <row r="2313" spans="1:3" x14ac:dyDescent="0.3">
      <c r="A2313" s="1" t="s">
        <v>508</v>
      </c>
      <c r="B2313" t="s">
        <v>311</v>
      </c>
      <c r="C2313" s="1">
        <v>11.363490000000001</v>
      </c>
    </row>
    <row r="2314" spans="1:3" x14ac:dyDescent="0.3">
      <c r="A2314" s="1" t="s">
        <v>508</v>
      </c>
      <c r="B2314" t="s">
        <v>312</v>
      </c>
      <c r="C2314" s="1">
        <v>11.40264</v>
      </c>
    </row>
    <row r="2315" spans="1:3" x14ac:dyDescent="0.3">
      <c r="A2315" s="1" t="s">
        <v>508</v>
      </c>
      <c r="B2315" t="s">
        <v>313</v>
      </c>
      <c r="C2315" s="1">
        <v>11.353702999999999</v>
      </c>
    </row>
    <row r="2316" spans="1:3" x14ac:dyDescent="0.3">
      <c r="A2316" s="1" t="s">
        <v>508</v>
      </c>
      <c r="B2316" t="s">
        <v>314</v>
      </c>
      <c r="C2316" s="1">
        <v>11.255826000000001</v>
      </c>
    </row>
    <row r="2317" spans="1:3" x14ac:dyDescent="0.3">
      <c r="A2317" s="1" t="s">
        <v>508</v>
      </c>
      <c r="B2317" t="s">
        <v>315</v>
      </c>
      <c r="C2317" s="1">
        <v>11.275401</v>
      </c>
    </row>
    <row r="2318" spans="1:3" x14ac:dyDescent="0.3">
      <c r="A2318" s="1" t="s">
        <v>508</v>
      </c>
      <c r="B2318" t="s">
        <v>316</v>
      </c>
      <c r="C2318" s="1">
        <v>11.128586</v>
      </c>
    </row>
    <row r="2319" spans="1:3" x14ac:dyDescent="0.3">
      <c r="A2319" s="1" t="s">
        <v>508</v>
      </c>
      <c r="B2319" t="s">
        <v>317</v>
      </c>
      <c r="C2319" s="1">
        <v>11.216675</v>
      </c>
    </row>
    <row r="2320" spans="1:3" x14ac:dyDescent="0.3">
      <c r="A2320" s="1" t="s">
        <v>508</v>
      </c>
      <c r="B2320" t="s">
        <v>318</v>
      </c>
      <c r="C2320" s="1">
        <v>11.250932000000001</v>
      </c>
    </row>
    <row r="2321" spans="1:3" x14ac:dyDescent="0.3">
      <c r="A2321" s="1" t="s">
        <v>508</v>
      </c>
      <c r="B2321" t="s">
        <v>319</v>
      </c>
      <c r="C2321" s="1">
        <v>10.418979999999999</v>
      </c>
    </row>
    <row r="2322" spans="1:3" x14ac:dyDescent="0.3">
      <c r="A2322" s="1" t="s">
        <v>508</v>
      </c>
      <c r="B2322" t="s">
        <v>320</v>
      </c>
      <c r="C2322" s="1">
        <v>10.237907</v>
      </c>
    </row>
    <row r="2323" spans="1:3" x14ac:dyDescent="0.3">
      <c r="A2323" s="1" t="s">
        <v>508</v>
      </c>
      <c r="B2323" t="s">
        <v>321</v>
      </c>
      <c r="C2323" s="1">
        <v>10.130243</v>
      </c>
    </row>
    <row r="2324" spans="1:3" x14ac:dyDescent="0.3">
      <c r="A2324" s="1" t="s">
        <v>508</v>
      </c>
      <c r="B2324" t="s">
        <v>322</v>
      </c>
      <c r="C2324" s="1">
        <v>10.575583</v>
      </c>
    </row>
    <row r="2325" spans="1:3" x14ac:dyDescent="0.3">
      <c r="A2325" s="1" t="s">
        <v>508</v>
      </c>
      <c r="B2325" t="s">
        <v>323</v>
      </c>
      <c r="C2325" s="1">
        <v>10.169394</v>
      </c>
    </row>
    <row r="2326" spans="1:3" x14ac:dyDescent="0.3">
      <c r="A2326" s="1" t="s">
        <v>508</v>
      </c>
      <c r="B2326" t="s">
        <v>324</v>
      </c>
      <c r="C2326" s="1">
        <v>10.355359999999999</v>
      </c>
    </row>
    <row r="2327" spans="1:3" x14ac:dyDescent="0.3">
      <c r="A2327" s="1" t="s">
        <v>508</v>
      </c>
      <c r="B2327" t="s">
        <v>325</v>
      </c>
      <c r="C2327" s="1">
        <v>9.9295960000000001</v>
      </c>
    </row>
    <row r="2328" spans="1:3" x14ac:dyDescent="0.3">
      <c r="A2328" s="1" t="s">
        <v>508</v>
      </c>
      <c r="B2328" t="s">
        <v>326</v>
      </c>
      <c r="C2328" s="1">
        <v>9.7739720000000005</v>
      </c>
    </row>
    <row r="2329" spans="1:3" x14ac:dyDescent="0.3">
      <c r="A2329" s="1" t="s">
        <v>508</v>
      </c>
      <c r="B2329" t="s">
        <v>327</v>
      </c>
      <c r="C2329" s="1">
        <v>9.9687470000000005</v>
      </c>
    </row>
    <row r="2330" spans="1:3" x14ac:dyDescent="0.3">
      <c r="A2330" s="1" t="s">
        <v>508</v>
      </c>
      <c r="B2330" t="s">
        <v>328</v>
      </c>
      <c r="C2330" s="1">
        <v>9.9198079999999997</v>
      </c>
    </row>
    <row r="2331" spans="1:3" x14ac:dyDescent="0.3">
      <c r="A2331" s="1" t="s">
        <v>508</v>
      </c>
      <c r="B2331" t="s">
        <v>329</v>
      </c>
      <c r="C2331" s="1">
        <v>9.9247029999999992</v>
      </c>
    </row>
    <row r="2332" spans="1:3" x14ac:dyDescent="0.3">
      <c r="A2332" s="1" t="s">
        <v>508</v>
      </c>
      <c r="B2332" t="s">
        <v>330</v>
      </c>
      <c r="C2332" s="1">
        <v>9.87087</v>
      </c>
    </row>
    <row r="2333" spans="1:3" x14ac:dyDescent="0.3">
      <c r="A2333" s="1" t="s">
        <v>508</v>
      </c>
      <c r="B2333" t="s">
        <v>331</v>
      </c>
      <c r="C2333" s="1">
        <v>9.9247029999999992</v>
      </c>
    </row>
    <row r="2334" spans="1:3" x14ac:dyDescent="0.3">
      <c r="A2334" s="1" t="s">
        <v>508</v>
      </c>
      <c r="B2334" t="s">
        <v>332</v>
      </c>
      <c r="C2334" s="1">
        <v>9.9051270000000002</v>
      </c>
    </row>
    <row r="2335" spans="1:3" x14ac:dyDescent="0.3">
      <c r="A2335" s="1" t="s">
        <v>508</v>
      </c>
      <c r="B2335" t="s">
        <v>333</v>
      </c>
      <c r="C2335" s="1">
        <v>10.051942</v>
      </c>
    </row>
    <row r="2336" spans="1:3" x14ac:dyDescent="0.3">
      <c r="A2336" s="1" t="s">
        <v>508</v>
      </c>
      <c r="B2336" t="s">
        <v>334</v>
      </c>
      <c r="C2336" s="1">
        <v>10.472811999999999</v>
      </c>
    </row>
    <row r="2337" spans="1:3" x14ac:dyDescent="0.3">
      <c r="A2337" s="1" t="s">
        <v>508</v>
      </c>
      <c r="B2337" t="s">
        <v>335</v>
      </c>
      <c r="C2337" s="1">
        <v>10.746866000000001</v>
      </c>
    </row>
    <row r="2338" spans="1:3" x14ac:dyDescent="0.3">
      <c r="A2338" s="1" t="s">
        <v>508</v>
      </c>
      <c r="B2338" t="s">
        <v>336</v>
      </c>
      <c r="C2338" s="1">
        <v>10.629415</v>
      </c>
    </row>
    <row r="2339" spans="1:3" x14ac:dyDescent="0.3">
      <c r="A2339" s="1" t="s">
        <v>508</v>
      </c>
      <c r="B2339" t="s">
        <v>337</v>
      </c>
      <c r="C2339" s="1">
        <v>10.639201999999999</v>
      </c>
    </row>
    <row r="2340" spans="1:3" x14ac:dyDescent="0.3">
      <c r="A2340" s="1" t="s">
        <v>508</v>
      </c>
      <c r="B2340" t="s">
        <v>338</v>
      </c>
      <c r="C2340" s="1">
        <v>10.697927999999999</v>
      </c>
    </row>
    <row r="2341" spans="1:3" x14ac:dyDescent="0.3">
      <c r="A2341" s="1" t="s">
        <v>508</v>
      </c>
      <c r="B2341" t="s">
        <v>339</v>
      </c>
      <c r="C2341" s="1">
        <v>10.590263</v>
      </c>
    </row>
    <row r="2342" spans="1:3" x14ac:dyDescent="0.3">
      <c r="A2342" s="1" t="s">
        <v>508</v>
      </c>
      <c r="B2342" t="s">
        <v>340</v>
      </c>
      <c r="C2342" s="1">
        <v>10.702823</v>
      </c>
    </row>
    <row r="2343" spans="1:3" x14ac:dyDescent="0.3">
      <c r="A2343" s="1" t="s">
        <v>508</v>
      </c>
      <c r="B2343" t="s">
        <v>341</v>
      </c>
      <c r="C2343" s="1">
        <v>10.595158</v>
      </c>
    </row>
    <row r="2344" spans="1:3" x14ac:dyDescent="0.3">
      <c r="A2344" s="1" t="s">
        <v>508</v>
      </c>
      <c r="B2344" t="s">
        <v>342</v>
      </c>
      <c r="C2344" s="1">
        <v>10.565795</v>
      </c>
    </row>
    <row r="2345" spans="1:3" x14ac:dyDescent="0.3">
      <c r="A2345" s="1" t="s">
        <v>508</v>
      </c>
      <c r="B2345" t="s">
        <v>343</v>
      </c>
      <c r="C2345" s="1">
        <v>10.668564999999999</v>
      </c>
    </row>
    <row r="2346" spans="1:3" x14ac:dyDescent="0.3">
      <c r="A2346" s="1" t="s">
        <v>508</v>
      </c>
      <c r="B2346" t="s">
        <v>344</v>
      </c>
      <c r="C2346" s="1">
        <v>10.712609</v>
      </c>
    </row>
    <row r="2347" spans="1:3" x14ac:dyDescent="0.3">
      <c r="A2347" s="1" t="s">
        <v>508</v>
      </c>
      <c r="B2347" t="s">
        <v>345</v>
      </c>
      <c r="C2347" s="1">
        <v>10.854531</v>
      </c>
    </row>
    <row r="2348" spans="1:3" x14ac:dyDescent="0.3">
      <c r="A2348" s="1" t="s">
        <v>508</v>
      </c>
      <c r="B2348" t="s">
        <v>346</v>
      </c>
      <c r="C2348" s="1">
        <v>10.668564999999999</v>
      </c>
    </row>
    <row r="2349" spans="1:3" x14ac:dyDescent="0.3">
      <c r="A2349" s="1" t="s">
        <v>508</v>
      </c>
      <c r="B2349" t="s">
        <v>347</v>
      </c>
      <c r="C2349" s="1">
        <v>10.487494</v>
      </c>
    </row>
    <row r="2350" spans="1:3" x14ac:dyDescent="0.3">
      <c r="A2350" s="1" t="s">
        <v>508</v>
      </c>
      <c r="B2350" t="s">
        <v>348</v>
      </c>
      <c r="C2350" s="1">
        <v>10.448342</v>
      </c>
    </row>
    <row r="2351" spans="1:3" x14ac:dyDescent="0.3">
      <c r="A2351" s="1" t="s">
        <v>508</v>
      </c>
      <c r="B2351" t="s">
        <v>349</v>
      </c>
      <c r="C2351" s="1">
        <v>10.521750000000001</v>
      </c>
    </row>
    <row r="2352" spans="1:3" x14ac:dyDescent="0.3">
      <c r="A2352" s="1" t="s">
        <v>508</v>
      </c>
      <c r="B2352" t="s">
        <v>350</v>
      </c>
      <c r="C2352" s="1">
        <v>10.707716</v>
      </c>
    </row>
    <row r="2353" spans="1:3" x14ac:dyDescent="0.3">
      <c r="A2353" s="1" t="s">
        <v>508</v>
      </c>
      <c r="B2353" t="s">
        <v>351</v>
      </c>
      <c r="C2353" s="1">
        <v>10.869211999999999</v>
      </c>
    </row>
    <row r="2354" spans="1:3" x14ac:dyDescent="0.3">
      <c r="A2354" s="1" t="s">
        <v>508</v>
      </c>
      <c r="B2354" t="s">
        <v>352</v>
      </c>
      <c r="C2354" s="1">
        <v>10.712609</v>
      </c>
    </row>
    <row r="2355" spans="1:3" x14ac:dyDescent="0.3">
      <c r="A2355" s="1" t="s">
        <v>508</v>
      </c>
      <c r="B2355" t="s">
        <v>353</v>
      </c>
      <c r="C2355" s="1">
        <v>10.918151</v>
      </c>
    </row>
    <row r="2356" spans="1:3" x14ac:dyDescent="0.3">
      <c r="A2356" s="1" t="s">
        <v>508</v>
      </c>
      <c r="B2356" t="s">
        <v>354</v>
      </c>
      <c r="C2356" s="1">
        <v>10.609838999999999</v>
      </c>
    </row>
    <row r="2357" spans="1:3" x14ac:dyDescent="0.3">
      <c r="A2357" s="1" t="s">
        <v>508</v>
      </c>
      <c r="B2357" t="s">
        <v>355</v>
      </c>
      <c r="C2357" s="1">
        <v>10.663671000000001</v>
      </c>
    </row>
    <row r="2358" spans="1:3" x14ac:dyDescent="0.3">
      <c r="A2358" s="1" t="s">
        <v>508</v>
      </c>
      <c r="B2358" t="s">
        <v>356</v>
      </c>
      <c r="C2358" s="1">
        <v>10.556006</v>
      </c>
    </row>
    <row r="2359" spans="1:3" x14ac:dyDescent="0.3">
      <c r="A2359" s="1" t="s">
        <v>508</v>
      </c>
      <c r="B2359" t="s">
        <v>357</v>
      </c>
      <c r="C2359" s="1">
        <v>10.600052</v>
      </c>
    </row>
    <row r="2360" spans="1:3" x14ac:dyDescent="0.3">
      <c r="A2360" s="1" t="s">
        <v>508</v>
      </c>
      <c r="B2360" t="s">
        <v>358</v>
      </c>
      <c r="C2360" s="1">
        <v>10.668564999999999</v>
      </c>
    </row>
    <row r="2361" spans="1:3" x14ac:dyDescent="0.3">
      <c r="A2361" s="1" t="s">
        <v>508</v>
      </c>
      <c r="B2361" t="s">
        <v>359</v>
      </c>
      <c r="C2361" s="1">
        <v>10.62452</v>
      </c>
    </row>
    <row r="2362" spans="1:3" x14ac:dyDescent="0.3">
      <c r="A2362" s="1" t="s">
        <v>508</v>
      </c>
      <c r="B2362" t="s">
        <v>360</v>
      </c>
      <c r="C2362" s="1">
        <v>10.830062</v>
      </c>
    </row>
    <row r="2363" spans="1:3" x14ac:dyDescent="0.3">
      <c r="A2363" s="1" t="s">
        <v>508</v>
      </c>
      <c r="B2363" t="s">
        <v>361</v>
      </c>
      <c r="C2363" s="1">
        <v>10.658778</v>
      </c>
    </row>
    <row r="2364" spans="1:3" x14ac:dyDescent="0.3">
      <c r="A2364" s="1" t="s">
        <v>508</v>
      </c>
      <c r="B2364" t="s">
        <v>362</v>
      </c>
      <c r="C2364" s="1">
        <v>11.016026999999999</v>
      </c>
    </row>
    <row r="2365" spans="1:3" x14ac:dyDescent="0.3">
      <c r="A2365" s="1" t="s">
        <v>508</v>
      </c>
      <c r="B2365" t="s">
        <v>363</v>
      </c>
      <c r="C2365" s="1">
        <v>11.128586</v>
      </c>
    </row>
    <row r="2366" spans="1:3" x14ac:dyDescent="0.3">
      <c r="A2366" s="1" t="s">
        <v>508</v>
      </c>
      <c r="B2366" t="s">
        <v>364</v>
      </c>
      <c r="C2366" s="1">
        <v>11.060072999999999</v>
      </c>
    </row>
    <row r="2367" spans="1:3" x14ac:dyDescent="0.3">
      <c r="A2367" s="1" t="s">
        <v>508</v>
      </c>
      <c r="B2367" t="s">
        <v>365</v>
      </c>
      <c r="C2367" s="1">
        <v>11.016026999999999</v>
      </c>
    </row>
    <row r="2368" spans="1:3" x14ac:dyDescent="0.3">
      <c r="A2368" s="1" t="s">
        <v>508</v>
      </c>
      <c r="B2368" t="s">
        <v>366</v>
      </c>
      <c r="C2368" s="1">
        <v>10.653884</v>
      </c>
    </row>
    <row r="2369" spans="1:3" x14ac:dyDescent="0.3">
      <c r="A2369" s="1" t="s">
        <v>508</v>
      </c>
      <c r="B2369" t="s">
        <v>367</v>
      </c>
      <c r="C2369" s="1">
        <v>10.374935000000001</v>
      </c>
    </row>
    <row r="2370" spans="1:3" x14ac:dyDescent="0.3">
      <c r="A2370" s="1" t="s">
        <v>508</v>
      </c>
      <c r="B2370" t="s">
        <v>368</v>
      </c>
      <c r="C2370" s="1">
        <v>10.340678</v>
      </c>
    </row>
    <row r="2371" spans="1:3" x14ac:dyDescent="0.3">
      <c r="A2371" s="1" t="s">
        <v>508</v>
      </c>
      <c r="B2371" t="s">
        <v>369</v>
      </c>
      <c r="C2371" s="1">
        <v>10.502174</v>
      </c>
    </row>
    <row r="2372" spans="1:3" x14ac:dyDescent="0.3">
      <c r="A2372" s="1" t="s">
        <v>508</v>
      </c>
      <c r="B2372" t="s">
        <v>370</v>
      </c>
      <c r="C2372" s="1">
        <v>10.409192000000001</v>
      </c>
    </row>
    <row r="2373" spans="1:3" x14ac:dyDescent="0.3">
      <c r="A2373" s="1" t="s">
        <v>508</v>
      </c>
      <c r="B2373" t="s">
        <v>371</v>
      </c>
      <c r="C2373" s="1">
        <v>10.423873</v>
      </c>
    </row>
    <row r="2374" spans="1:3" x14ac:dyDescent="0.3">
      <c r="A2374" s="1" t="s">
        <v>508</v>
      </c>
      <c r="B2374" t="s">
        <v>372</v>
      </c>
      <c r="C2374" s="1">
        <v>10.409192000000001</v>
      </c>
    </row>
    <row r="2375" spans="1:3" x14ac:dyDescent="0.3">
      <c r="A2375" s="1" t="s">
        <v>508</v>
      </c>
      <c r="B2375" t="s">
        <v>373</v>
      </c>
      <c r="C2375" s="1">
        <v>10.477706</v>
      </c>
    </row>
    <row r="2376" spans="1:3" x14ac:dyDescent="0.3">
      <c r="A2376" s="1" t="s">
        <v>508</v>
      </c>
      <c r="B2376" t="s">
        <v>374</v>
      </c>
      <c r="C2376" s="1">
        <v>10.374935000000001</v>
      </c>
    </row>
    <row r="2377" spans="1:3" x14ac:dyDescent="0.3">
      <c r="A2377" s="1" t="s">
        <v>508</v>
      </c>
      <c r="B2377" t="s">
        <v>375</v>
      </c>
      <c r="C2377" s="1">
        <v>10.526643999999999</v>
      </c>
    </row>
    <row r="2378" spans="1:3" x14ac:dyDescent="0.3">
      <c r="A2378" s="1" t="s">
        <v>508</v>
      </c>
      <c r="B2378" t="s">
        <v>376</v>
      </c>
      <c r="C2378" s="1">
        <v>10.526643999999999</v>
      </c>
    </row>
    <row r="2379" spans="1:3" x14ac:dyDescent="0.3">
      <c r="A2379" s="1" t="s">
        <v>508</v>
      </c>
      <c r="B2379" t="s">
        <v>377</v>
      </c>
      <c r="C2379" s="1">
        <v>10.409192000000001</v>
      </c>
    </row>
    <row r="2380" spans="1:3" x14ac:dyDescent="0.3">
      <c r="A2380" s="1" t="s">
        <v>508</v>
      </c>
      <c r="B2380" t="s">
        <v>378</v>
      </c>
      <c r="C2380" s="1">
        <v>10.404298000000001</v>
      </c>
    </row>
    <row r="2381" spans="1:3" x14ac:dyDescent="0.3">
      <c r="A2381" s="1" t="s">
        <v>508</v>
      </c>
      <c r="B2381" t="s">
        <v>379</v>
      </c>
      <c r="C2381" s="1">
        <v>10.590263</v>
      </c>
    </row>
    <row r="2382" spans="1:3" x14ac:dyDescent="0.3">
      <c r="A2382" s="1" t="s">
        <v>508</v>
      </c>
      <c r="B2382" t="s">
        <v>380</v>
      </c>
      <c r="C2382" s="1">
        <v>10.707716</v>
      </c>
    </row>
    <row r="2383" spans="1:3" x14ac:dyDescent="0.3">
      <c r="A2383" s="1" t="s">
        <v>508</v>
      </c>
      <c r="B2383" t="s">
        <v>381</v>
      </c>
      <c r="C2383" s="1">
        <v>11.157947999999999</v>
      </c>
    </row>
    <row r="2384" spans="1:3" x14ac:dyDescent="0.3">
      <c r="A2384" s="1" t="s">
        <v>508</v>
      </c>
      <c r="B2384" t="s">
        <v>382</v>
      </c>
      <c r="C2384" s="1">
        <v>10.981771</v>
      </c>
    </row>
    <row r="2385" spans="1:3" x14ac:dyDescent="0.3">
      <c r="A2385" s="1" t="s">
        <v>508</v>
      </c>
      <c r="B2385" t="s">
        <v>383</v>
      </c>
      <c r="C2385" s="1">
        <v>11.113904</v>
      </c>
    </row>
    <row r="2386" spans="1:3" x14ac:dyDescent="0.3">
      <c r="A2386" s="1" t="s">
        <v>508</v>
      </c>
      <c r="B2386" t="s">
        <v>384</v>
      </c>
      <c r="C2386" s="1">
        <v>11.216675</v>
      </c>
    </row>
    <row r="2387" spans="1:3" x14ac:dyDescent="0.3">
      <c r="A2387" s="1" t="s">
        <v>508</v>
      </c>
      <c r="B2387" t="s">
        <v>385</v>
      </c>
      <c r="C2387" s="1">
        <v>10.962194999999999</v>
      </c>
    </row>
    <row r="2388" spans="1:3" x14ac:dyDescent="0.3">
      <c r="A2388" s="1" t="s">
        <v>508</v>
      </c>
      <c r="B2388" t="s">
        <v>386</v>
      </c>
      <c r="C2388" s="1">
        <v>10.874105999999999</v>
      </c>
    </row>
    <row r="2389" spans="1:3" x14ac:dyDescent="0.3">
      <c r="A2389" s="1" t="s">
        <v>508</v>
      </c>
      <c r="B2389" t="s">
        <v>387</v>
      </c>
      <c r="C2389" s="1">
        <v>10.756653999999999</v>
      </c>
    </row>
    <row r="2390" spans="1:3" x14ac:dyDescent="0.3">
      <c r="A2390" s="1" t="s">
        <v>508</v>
      </c>
      <c r="B2390" t="s">
        <v>388</v>
      </c>
      <c r="C2390" s="1">
        <v>10.64899</v>
      </c>
    </row>
    <row r="2391" spans="1:3" x14ac:dyDescent="0.3">
      <c r="A2391" s="1" t="s">
        <v>508</v>
      </c>
      <c r="B2391" t="s">
        <v>389</v>
      </c>
      <c r="C2391" s="1">
        <v>10.570688000000001</v>
      </c>
    </row>
    <row r="2392" spans="1:3" x14ac:dyDescent="0.3">
      <c r="A2392" s="1" t="s">
        <v>508</v>
      </c>
      <c r="B2392" t="s">
        <v>390</v>
      </c>
      <c r="C2392" s="1">
        <v>10.507069</v>
      </c>
    </row>
    <row r="2393" spans="1:3" x14ac:dyDescent="0.3">
      <c r="A2393" s="1" t="s">
        <v>508</v>
      </c>
      <c r="B2393" t="s">
        <v>391</v>
      </c>
      <c r="C2393" s="1">
        <v>10.340678</v>
      </c>
    </row>
    <row r="2394" spans="1:3" x14ac:dyDescent="0.3">
      <c r="A2394" s="1" t="s">
        <v>508</v>
      </c>
      <c r="B2394" t="s">
        <v>392</v>
      </c>
      <c r="C2394" s="1">
        <v>10.325996</v>
      </c>
    </row>
    <row r="2395" spans="1:3" x14ac:dyDescent="0.3">
      <c r="A2395" s="1" t="s">
        <v>508</v>
      </c>
      <c r="B2395" t="s">
        <v>393</v>
      </c>
      <c r="C2395" s="1">
        <v>10.179181</v>
      </c>
    </row>
    <row r="2396" spans="1:3" x14ac:dyDescent="0.3">
      <c r="A2396" s="1" t="s">
        <v>508</v>
      </c>
      <c r="B2396" t="s">
        <v>394</v>
      </c>
      <c r="C2396" s="1">
        <v>10.130243</v>
      </c>
    </row>
    <row r="2397" spans="1:3" x14ac:dyDescent="0.3">
      <c r="A2397" s="1" t="s">
        <v>508</v>
      </c>
      <c r="B2397" t="s">
        <v>395</v>
      </c>
      <c r="C2397" s="1">
        <v>10.027471999999999</v>
      </c>
    </row>
    <row r="2398" spans="1:3" x14ac:dyDescent="0.3">
      <c r="A2398" s="1" t="s">
        <v>508</v>
      </c>
      <c r="B2398" t="s">
        <v>396</v>
      </c>
      <c r="C2398" s="1">
        <v>9.9736390000000004</v>
      </c>
    </row>
    <row r="2399" spans="1:3" x14ac:dyDescent="0.3">
      <c r="A2399" s="1" t="s">
        <v>508</v>
      </c>
      <c r="B2399" t="s">
        <v>397</v>
      </c>
      <c r="C2399" s="1">
        <v>10.174288000000001</v>
      </c>
    </row>
    <row r="2400" spans="1:3" x14ac:dyDescent="0.3">
      <c r="A2400" s="1" t="s">
        <v>508</v>
      </c>
      <c r="B2400" t="s">
        <v>398</v>
      </c>
      <c r="C2400" s="1">
        <v>10.022577999999999</v>
      </c>
    </row>
    <row r="2401" spans="1:3" x14ac:dyDescent="0.3">
      <c r="A2401" s="1" t="s">
        <v>508</v>
      </c>
      <c r="B2401" t="s">
        <v>399</v>
      </c>
      <c r="C2401" s="1">
        <v>10.438554999999999</v>
      </c>
    </row>
    <row r="2402" spans="1:3" x14ac:dyDescent="0.3">
      <c r="A2402" s="1" t="s">
        <v>508</v>
      </c>
      <c r="B2402" t="s">
        <v>400</v>
      </c>
      <c r="C2402" s="1">
        <v>10.125349999999999</v>
      </c>
    </row>
    <row r="2403" spans="1:3" x14ac:dyDescent="0.3">
      <c r="A2403" s="1" t="s">
        <v>508</v>
      </c>
      <c r="B2403" t="s">
        <v>401</v>
      </c>
      <c r="C2403" s="1">
        <v>10.208545000000001</v>
      </c>
    </row>
    <row r="2404" spans="1:3" x14ac:dyDescent="0.3">
      <c r="A2404" s="1" t="s">
        <v>508</v>
      </c>
      <c r="B2404" t="s">
        <v>402</v>
      </c>
      <c r="C2404" s="1">
        <v>9.9589590000000001</v>
      </c>
    </row>
    <row r="2405" spans="1:3" x14ac:dyDescent="0.3">
      <c r="A2405" s="1" t="s">
        <v>508</v>
      </c>
      <c r="B2405" t="s">
        <v>403</v>
      </c>
      <c r="C2405" s="1">
        <v>9.9051270000000002</v>
      </c>
    </row>
    <row r="2406" spans="1:3" x14ac:dyDescent="0.3">
      <c r="A2406" s="1" t="s">
        <v>508</v>
      </c>
      <c r="B2406" t="s">
        <v>404</v>
      </c>
      <c r="C2406" s="1">
        <v>10.521750000000001</v>
      </c>
    </row>
    <row r="2407" spans="1:3" x14ac:dyDescent="0.3">
      <c r="A2407" s="1" t="s">
        <v>508</v>
      </c>
      <c r="B2407" t="s">
        <v>405</v>
      </c>
      <c r="C2407" s="1">
        <v>10.477706</v>
      </c>
    </row>
    <row r="2408" spans="1:3" x14ac:dyDescent="0.3">
      <c r="A2408" s="1" t="s">
        <v>508</v>
      </c>
      <c r="B2408" t="s">
        <v>406</v>
      </c>
      <c r="C2408" s="1">
        <v>10.301527</v>
      </c>
    </row>
    <row r="2409" spans="1:3" x14ac:dyDescent="0.3">
      <c r="A2409" s="1" t="s">
        <v>508</v>
      </c>
      <c r="B2409" t="s">
        <v>407</v>
      </c>
      <c r="C2409" s="1">
        <v>10.619626999999999</v>
      </c>
    </row>
    <row r="2410" spans="1:3" x14ac:dyDescent="0.3">
      <c r="A2410" s="1" t="s">
        <v>508</v>
      </c>
      <c r="B2410" t="s">
        <v>408</v>
      </c>
      <c r="C2410" s="1">
        <v>10.556006</v>
      </c>
    </row>
    <row r="2411" spans="1:3" x14ac:dyDescent="0.3">
      <c r="A2411" s="1" t="s">
        <v>508</v>
      </c>
      <c r="B2411" t="s">
        <v>409</v>
      </c>
      <c r="C2411" s="1">
        <v>10.551113000000001</v>
      </c>
    </row>
    <row r="2412" spans="1:3" x14ac:dyDescent="0.3">
      <c r="A2412" s="1" t="s">
        <v>508</v>
      </c>
      <c r="B2412" t="s">
        <v>410</v>
      </c>
      <c r="C2412" s="1">
        <v>10.316209000000001</v>
      </c>
    </row>
    <row r="2413" spans="1:3" x14ac:dyDescent="0.3">
      <c r="A2413" s="1" t="s">
        <v>508</v>
      </c>
      <c r="B2413" t="s">
        <v>411</v>
      </c>
      <c r="C2413" s="1">
        <v>10.076411</v>
      </c>
    </row>
    <row r="2414" spans="1:3" x14ac:dyDescent="0.3">
      <c r="A2414" s="1" t="s">
        <v>508</v>
      </c>
      <c r="B2414" t="s">
        <v>412</v>
      </c>
      <c r="C2414" s="1">
        <v>10.144924</v>
      </c>
    </row>
    <row r="2415" spans="1:3" x14ac:dyDescent="0.3">
      <c r="A2415" s="1" t="s">
        <v>508</v>
      </c>
      <c r="B2415" t="s">
        <v>413</v>
      </c>
      <c r="C2415" s="1">
        <v>9.8659759999999999</v>
      </c>
    </row>
    <row r="2416" spans="1:3" x14ac:dyDescent="0.3">
      <c r="A2416" s="1" t="s">
        <v>508</v>
      </c>
      <c r="B2416" t="s">
        <v>414</v>
      </c>
      <c r="C2416" s="1">
        <v>10.125349999999999</v>
      </c>
    </row>
    <row r="2417" spans="1:3" x14ac:dyDescent="0.3">
      <c r="A2417" s="1" t="s">
        <v>508</v>
      </c>
      <c r="B2417" t="s">
        <v>415</v>
      </c>
      <c r="C2417" s="1">
        <v>10.110668</v>
      </c>
    </row>
    <row r="2418" spans="1:3" x14ac:dyDescent="0.3">
      <c r="A2418" s="1" t="s">
        <v>508</v>
      </c>
      <c r="B2418" t="s">
        <v>416</v>
      </c>
      <c r="C2418" s="1">
        <v>10.125349999999999</v>
      </c>
    </row>
    <row r="2419" spans="1:3" x14ac:dyDescent="0.3">
      <c r="A2419" s="1" t="s">
        <v>508</v>
      </c>
      <c r="B2419" t="s">
        <v>417</v>
      </c>
      <c r="C2419" s="1">
        <v>10.066623</v>
      </c>
    </row>
    <row r="2420" spans="1:3" x14ac:dyDescent="0.3">
      <c r="A2420" s="1" t="s">
        <v>508</v>
      </c>
      <c r="B2420" t="s">
        <v>418</v>
      </c>
      <c r="C2420" s="1">
        <v>10.1645</v>
      </c>
    </row>
    <row r="2421" spans="1:3" x14ac:dyDescent="0.3">
      <c r="A2421" s="1" t="s">
        <v>508</v>
      </c>
      <c r="B2421" t="s">
        <v>419</v>
      </c>
      <c r="C2421" s="1">
        <v>10.28</v>
      </c>
    </row>
    <row r="2422" spans="1:3" x14ac:dyDescent="0.3">
      <c r="A2422" s="1" t="s">
        <v>508</v>
      </c>
      <c r="B2422" t="s">
        <v>420</v>
      </c>
      <c r="C2422" s="1">
        <v>10.505000000000001</v>
      </c>
    </row>
    <row r="2423" spans="1:3" x14ac:dyDescent="0.3">
      <c r="A2423" s="1" t="s">
        <v>508</v>
      </c>
      <c r="B2423" t="s">
        <v>421</v>
      </c>
      <c r="C2423" s="1">
        <v>10.83</v>
      </c>
    </row>
    <row r="2424" spans="1:3" x14ac:dyDescent="0.3">
      <c r="A2424" s="1" t="s">
        <v>508</v>
      </c>
      <c r="B2424" t="s">
        <v>422</v>
      </c>
      <c r="C2424" s="1">
        <v>10.945</v>
      </c>
    </row>
    <row r="2425" spans="1:3" x14ac:dyDescent="0.3">
      <c r="A2425" s="1" t="s">
        <v>508</v>
      </c>
      <c r="B2425" t="s">
        <v>423</v>
      </c>
      <c r="C2425" s="1">
        <v>11.13</v>
      </c>
    </row>
    <row r="2426" spans="1:3" x14ac:dyDescent="0.3">
      <c r="A2426" s="1" t="s">
        <v>508</v>
      </c>
      <c r="B2426" t="s">
        <v>424</v>
      </c>
      <c r="C2426" s="1">
        <v>10.95</v>
      </c>
    </row>
    <row r="2427" spans="1:3" x14ac:dyDescent="0.3">
      <c r="A2427" s="1" t="s">
        <v>508</v>
      </c>
      <c r="B2427" t="s">
        <v>425</v>
      </c>
      <c r="C2427" s="1">
        <v>10.994999999999999</v>
      </c>
    </row>
    <row r="2428" spans="1:3" x14ac:dyDescent="0.3">
      <c r="A2428" s="1" t="s">
        <v>508</v>
      </c>
      <c r="B2428" t="s">
        <v>426</v>
      </c>
      <c r="C2428" s="1">
        <v>11.095000000000001</v>
      </c>
    </row>
    <row r="2429" spans="1:3" x14ac:dyDescent="0.3">
      <c r="A2429" s="1" t="s">
        <v>508</v>
      </c>
      <c r="B2429" t="s">
        <v>427</v>
      </c>
      <c r="C2429" s="1">
        <v>11.01</v>
      </c>
    </row>
    <row r="2430" spans="1:3" x14ac:dyDescent="0.3">
      <c r="A2430" s="1" t="s">
        <v>508</v>
      </c>
      <c r="B2430" t="s">
        <v>428</v>
      </c>
      <c r="C2430" s="1">
        <v>11.265000000000001</v>
      </c>
    </row>
    <row r="2431" spans="1:3" x14ac:dyDescent="0.3">
      <c r="A2431" s="1" t="s">
        <v>508</v>
      </c>
      <c r="B2431" t="s">
        <v>429</v>
      </c>
      <c r="C2431" s="1">
        <v>11.06</v>
      </c>
    </row>
    <row r="2432" spans="1:3" x14ac:dyDescent="0.3">
      <c r="A2432" s="1" t="s">
        <v>508</v>
      </c>
      <c r="B2432" t="s">
        <v>430</v>
      </c>
      <c r="C2432" s="1">
        <v>11.115</v>
      </c>
    </row>
    <row r="2433" spans="1:3" x14ac:dyDescent="0.3">
      <c r="A2433" s="1" t="s">
        <v>508</v>
      </c>
      <c r="B2433" t="s">
        <v>431</v>
      </c>
      <c r="C2433" s="1">
        <v>11.914999999999999</v>
      </c>
    </row>
    <row r="2434" spans="1:3" x14ac:dyDescent="0.3">
      <c r="A2434" s="1" t="s">
        <v>508</v>
      </c>
      <c r="B2434" t="s">
        <v>432</v>
      </c>
      <c r="C2434" s="1">
        <v>11.6</v>
      </c>
    </row>
    <row r="2435" spans="1:3" x14ac:dyDescent="0.3">
      <c r="A2435" s="1" t="s">
        <v>508</v>
      </c>
      <c r="B2435" t="s">
        <v>433</v>
      </c>
      <c r="C2435" s="1">
        <v>11.59</v>
      </c>
    </row>
    <row r="2436" spans="1:3" x14ac:dyDescent="0.3">
      <c r="A2436" s="1" t="s">
        <v>508</v>
      </c>
      <c r="B2436" t="s">
        <v>434</v>
      </c>
      <c r="C2436" s="1">
        <v>11.715</v>
      </c>
    </row>
    <row r="2437" spans="1:3" x14ac:dyDescent="0.3">
      <c r="A2437" s="1" t="s">
        <v>508</v>
      </c>
      <c r="B2437" t="s">
        <v>435</v>
      </c>
      <c r="C2437" s="1">
        <v>11.835000000000001</v>
      </c>
    </row>
    <row r="2438" spans="1:3" x14ac:dyDescent="0.3">
      <c r="A2438" s="1" t="s">
        <v>508</v>
      </c>
      <c r="B2438" t="s">
        <v>436</v>
      </c>
      <c r="C2438" s="1">
        <v>12</v>
      </c>
    </row>
    <row r="2439" spans="1:3" x14ac:dyDescent="0.3">
      <c r="A2439" s="1" t="s">
        <v>508</v>
      </c>
      <c r="B2439" t="s">
        <v>437</v>
      </c>
      <c r="C2439" s="1">
        <v>11.96</v>
      </c>
    </row>
    <row r="2440" spans="1:3" x14ac:dyDescent="0.3">
      <c r="A2440" s="1" t="s">
        <v>508</v>
      </c>
      <c r="B2440" t="s">
        <v>438</v>
      </c>
      <c r="C2440" s="1">
        <v>11.955</v>
      </c>
    </row>
    <row r="2441" spans="1:3" x14ac:dyDescent="0.3">
      <c r="A2441" s="1" t="s">
        <v>508</v>
      </c>
      <c r="B2441" t="s">
        <v>439</v>
      </c>
      <c r="C2441" s="1">
        <v>12.12</v>
      </c>
    </row>
    <row r="2442" spans="1:3" x14ac:dyDescent="0.3">
      <c r="A2442" s="1" t="s">
        <v>508</v>
      </c>
      <c r="B2442" t="s">
        <v>440</v>
      </c>
      <c r="C2442" s="1">
        <v>12.125</v>
      </c>
    </row>
    <row r="2443" spans="1:3" x14ac:dyDescent="0.3">
      <c r="A2443" s="1" t="s">
        <v>508</v>
      </c>
      <c r="B2443" t="s">
        <v>441</v>
      </c>
      <c r="C2443" s="1">
        <v>12.115</v>
      </c>
    </row>
    <row r="2444" spans="1:3" x14ac:dyDescent="0.3">
      <c r="A2444" s="1" t="s">
        <v>508</v>
      </c>
      <c r="B2444" t="s">
        <v>442</v>
      </c>
      <c r="C2444" s="1">
        <v>12.185</v>
      </c>
    </row>
    <row r="2445" spans="1:3" x14ac:dyDescent="0.3">
      <c r="A2445" s="1" t="s">
        <v>508</v>
      </c>
      <c r="B2445" t="s">
        <v>443</v>
      </c>
      <c r="C2445" s="1">
        <v>12.005000000000001</v>
      </c>
    </row>
    <row r="2446" spans="1:3" x14ac:dyDescent="0.3">
      <c r="A2446" s="1" t="s">
        <v>508</v>
      </c>
      <c r="B2446" t="s">
        <v>444</v>
      </c>
      <c r="C2446" s="1">
        <v>12.24</v>
      </c>
    </row>
    <row r="2447" spans="1:3" x14ac:dyDescent="0.3">
      <c r="A2447" s="1" t="s">
        <v>508</v>
      </c>
      <c r="B2447" t="s">
        <v>445</v>
      </c>
      <c r="C2447" s="1">
        <v>12.154999999999999</v>
      </c>
    </row>
    <row r="2448" spans="1:3" x14ac:dyDescent="0.3">
      <c r="A2448" s="1" t="s">
        <v>508</v>
      </c>
      <c r="B2448" t="s">
        <v>446</v>
      </c>
      <c r="C2448" s="1">
        <v>12.18</v>
      </c>
    </row>
    <row r="2449" spans="1:3" x14ac:dyDescent="0.3">
      <c r="A2449" s="1" t="s">
        <v>508</v>
      </c>
      <c r="B2449" t="s">
        <v>447</v>
      </c>
      <c r="C2449" s="1">
        <v>12.23</v>
      </c>
    </row>
    <row r="2450" spans="1:3" x14ac:dyDescent="0.3">
      <c r="A2450" s="1" t="s">
        <v>508</v>
      </c>
      <c r="B2450" t="s">
        <v>448</v>
      </c>
      <c r="C2450" s="1">
        <v>12.015000000000001</v>
      </c>
    </row>
    <row r="2451" spans="1:3" x14ac:dyDescent="0.3">
      <c r="A2451" s="1" t="s">
        <v>508</v>
      </c>
      <c r="B2451" t="s">
        <v>449</v>
      </c>
      <c r="C2451" s="1">
        <v>12.06</v>
      </c>
    </row>
    <row r="2452" spans="1:3" x14ac:dyDescent="0.3">
      <c r="A2452" s="1" t="s">
        <v>508</v>
      </c>
      <c r="B2452" t="s">
        <v>450</v>
      </c>
      <c r="C2452" s="1">
        <v>12.135</v>
      </c>
    </row>
    <row r="2453" spans="1:3" x14ac:dyDescent="0.3">
      <c r="A2453" s="1" t="s">
        <v>508</v>
      </c>
      <c r="B2453" t="s">
        <v>451</v>
      </c>
      <c r="C2453" s="1">
        <v>12.01</v>
      </c>
    </row>
    <row r="2454" spans="1:3" x14ac:dyDescent="0.3">
      <c r="A2454" s="1" t="s">
        <v>508</v>
      </c>
      <c r="B2454" t="s">
        <v>452</v>
      </c>
      <c r="C2454" s="1">
        <v>12.225</v>
      </c>
    </row>
    <row r="2455" spans="1:3" x14ac:dyDescent="0.3">
      <c r="A2455" s="1" t="s">
        <v>508</v>
      </c>
      <c r="B2455" t="s">
        <v>453</v>
      </c>
      <c r="C2455" s="1">
        <v>11.99</v>
      </c>
    </row>
    <row r="2456" spans="1:3" x14ac:dyDescent="0.3">
      <c r="A2456" s="1" t="s">
        <v>508</v>
      </c>
      <c r="B2456" t="s">
        <v>454</v>
      </c>
      <c r="C2456" s="1">
        <v>12</v>
      </c>
    </row>
    <row r="2457" spans="1:3" x14ac:dyDescent="0.3">
      <c r="A2457" s="1" t="s">
        <v>508</v>
      </c>
      <c r="B2457" t="s">
        <v>455</v>
      </c>
      <c r="C2457" s="1">
        <v>12.02</v>
      </c>
    </row>
    <row r="2458" spans="1:3" x14ac:dyDescent="0.3">
      <c r="A2458" s="1" t="s">
        <v>508</v>
      </c>
      <c r="B2458" t="s">
        <v>456</v>
      </c>
      <c r="C2458" s="1">
        <v>12.005000000000001</v>
      </c>
    </row>
    <row r="2459" spans="1:3" x14ac:dyDescent="0.3">
      <c r="A2459" s="1" t="s">
        <v>508</v>
      </c>
      <c r="B2459" t="s">
        <v>457</v>
      </c>
      <c r="C2459" s="1">
        <v>12.025</v>
      </c>
    </row>
    <row r="2460" spans="1:3" x14ac:dyDescent="0.3">
      <c r="A2460" s="1" t="s">
        <v>508</v>
      </c>
      <c r="B2460" t="s">
        <v>458</v>
      </c>
      <c r="C2460" s="1">
        <v>12.035</v>
      </c>
    </row>
    <row r="2461" spans="1:3" x14ac:dyDescent="0.3">
      <c r="A2461" s="1" t="s">
        <v>508</v>
      </c>
      <c r="B2461" t="s">
        <v>459</v>
      </c>
      <c r="C2461" s="1">
        <v>12.18</v>
      </c>
    </row>
    <row r="2462" spans="1:3" x14ac:dyDescent="0.3">
      <c r="A2462" s="1" t="s">
        <v>508</v>
      </c>
      <c r="B2462" t="s">
        <v>460</v>
      </c>
      <c r="C2462" s="1">
        <v>12.25</v>
      </c>
    </row>
    <row r="2463" spans="1:3" x14ac:dyDescent="0.3">
      <c r="A2463" s="1" t="s">
        <v>508</v>
      </c>
      <c r="B2463" t="s">
        <v>461</v>
      </c>
      <c r="C2463" s="1">
        <v>12.1</v>
      </c>
    </row>
    <row r="2464" spans="1:3" x14ac:dyDescent="0.3">
      <c r="A2464" s="1" t="s">
        <v>508</v>
      </c>
      <c r="B2464" t="s">
        <v>462</v>
      </c>
      <c r="C2464" s="1">
        <v>12.37</v>
      </c>
    </row>
    <row r="2465" spans="1:3" x14ac:dyDescent="0.3">
      <c r="A2465" s="1" t="s">
        <v>508</v>
      </c>
      <c r="B2465" t="s">
        <v>463</v>
      </c>
      <c r="C2465" s="1">
        <v>12.275</v>
      </c>
    </row>
    <row r="2466" spans="1:3" x14ac:dyDescent="0.3">
      <c r="A2466" s="1" t="s">
        <v>508</v>
      </c>
      <c r="B2466" t="s">
        <v>464</v>
      </c>
      <c r="C2466" s="1">
        <v>12.28</v>
      </c>
    </row>
    <row r="2467" spans="1:3" x14ac:dyDescent="0.3">
      <c r="A2467" s="1" t="s">
        <v>508</v>
      </c>
      <c r="B2467" t="s">
        <v>465</v>
      </c>
      <c r="C2467" s="1">
        <v>12.315</v>
      </c>
    </row>
    <row r="2468" spans="1:3" x14ac:dyDescent="0.3">
      <c r="A2468" s="1" t="s">
        <v>508</v>
      </c>
      <c r="B2468" t="s">
        <v>466</v>
      </c>
      <c r="C2468" s="1">
        <v>12.21</v>
      </c>
    </row>
    <row r="2469" spans="1:3" x14ac:dyDescent="0.3">
      <c r="A2469" s="1" t="s">
        <v>508</v>
      </c>
      <c r="B2469" t="s">
        <v>467</v>
      </c>
      <c r="C2469" s="1">
        <v>12.265000000000001</v>
      </c>
    </row>
    <row r="2470" spans="1:3" x14ac:dyDescent="0.3">
      <c r="A2470" s="1" t="s">
        <v>508</v>
      </c>
      <c r="B2470" t="s">
        <v>468</v>
      </c>
      <c r="C2470" s="1">
        <v>12.095000000000001</v>
      </c>
    </row>
    <row r="2471" spans="1:3" x14ac:dyDescent="0.3">
      <c r="A2471" s="1" t="s">
        <v>508</v>
      </c>
      <c r="B2471" t="s">
        <v>469</v>
      </c>
      <c r="C2471" s="1">
        <v>12.07</v>
      </c>
    </row>
    <row r="2472" spans="1:3" x14ac:dyDescent="0.3">
      <c r="A2472" s="1" t="s">
        <v>508</v>
      </c>
      <c r="B2472" t="s">
        <v>470</v>
      </c>
      <c r="C2472" s="1">
        <v>11.945</v>
      </c>
    </row>
    <row r="2473" spans="1:3" x14ac:dyDescent="0.3">
      <c r="A2473" s="1" t="s">
        <v>508</v>
      </c>
      <c r="B2473" t="s">
        <v>471</v>
      </c>
      <c r="C2473" s="1">
        <v>11.815</v>
      </c>
    </row>
    <row r="2474" spans="1:3" x14ac:dyDescent="0.3">
      <c r="A2474" s="1" t="s">
        <v>508</v>
      </c>
      <c r="B2474" t="s">
        <v>472</v>
      </c>
      <c r="C2474" s="1">
        <v>11.72</v>
      </c>
    </row>
    <row r="2475" spans="1:3" x14ac:dyDescent="0.3">
      <c r="A2475" s="1" t="s">
        <v>508</v>
      </c>
      <c r="B2475" t="s">
        <v>473</v>
      </c>
      <c r="C2475" s="1">
        <v>11.84</v>
      </c>
    </row>
    <row r="2476" spans="1:3" x14ac:dyDescent="0.3">
      <c r="A2476" s="1" t="s">
        <v>508</v>
      </c>
      <c r="B2476" t="s">
        <v>474</v>
      </c>
      <c r="C2476" s="1">
        <v>11.645</v>
      </c>
    </row>
    <row r="2477" spans="1:3" x14ac:dyDescent="0.3">
      <c r="A2477" s="1" t="s">
        <v>508</v>
      </c>
      <c r="B2477" t="s">
        <v>475</v>
      </c>
      <c r="C2477" s="1">
        <v>12.065</v>
      </c>
    </row>
    <row r="2478" spans="1:3" x14ac:dyDescent="0.3">
      <c r="A2478" s="1" t="s">
        <v>508</v>
      </c>
      <c r="B2478" t="s">
        <v>476</v>
      </c>
      <c r="C2478" s="1">
        <v>12.14</v>
      </c>
    </row>
    <row r="2479" spans="1:3" x14ac:dyDescent="0.3">
      <c r="A2479" s="1" t="s">
        <v>508</v>
      </c>
      <c r="B2479" t="s">
        <v>477</v>
      </c>
      <c r="C2479" s="1">
        <v>12.255000000000001</v>
      </c>
    </row>
    <row r="2480" spans="1:3" x14ac:dyDescent="0.3">
      <c r="A2480" s="1" t="s">
        <v>508</v>
      </c>
      <c r="B2480" t="s">
        <v>478</v>
      </c>
      <c r="C2480" s="1">
        <v>12.12</v>
      </c>
    </row>
    <row r="2481" spans="1:3" x14ac:dyDescent="0.3">
      <c r="A2481" s="1" t="s">
        <v>508</v>
      </c>
      <c r="B2481" t="s">
        <v>479</v>
      </c>
      <c r="C2481" s="1">
        <v>12.19</v>
      </c>
    </row>
    <row r="2482" spans="1:3" x14ac:dyDescent="0.3">
      <c r="A2482" s="1" t="s">
        <v>508</v>
      </c>
      <c r="B2482" t="s">
        <v>480</v>
      </c>
      <c r="C2482" s="1">
        <v>12.105</v>
      </c>
    </row>
    <row r="2483" spans="1:3" x14ac:dyDescent="0.3">
      <c r="A2483" s="1" t="s">
        <v>508</v>
      </c>
      <c r="B2483" t="s">
        <v>481</v>
      </c>
      <c r="C2483" s="1">
        <v>12.175000000000001</v>
      </c>
    </row>
    <row r="2484" spans="1:3" x14ac:dyDescent="0.3">
      <c r="A2484" s="1" t="s">
        <v>508</v>
      </c>
      <c r="B2484" t="s">
        <v>482</v>
      </c>
      <c r="C2484" s="1">
        <v>12.16</v>
      </c>
    </row>
    <row r="2485" spans="1:3" x14ac:dyDescent="0.3">
      <c r="A2485" s="1" t="s">
        <v>508</v>
      </c>
      <c r="B2485" t="s">
        <v>483</v>
      </c>
      <c r="C2485" s="1">
        <v>12.215</v>
      </c>
    </row>
    <row r="2486" spans="1:3" x14ac:dyDescent="0.3">
      <c r="A2486" s="1" t="s">
        <v>508</v>
      </c>
      <c r="B2486" t="s">
        <v>484</v>
      </c>
      <c r="C2486" s="1">
        <v>13.28</v>
      </c>
    </row>
    <row r="2487" spans="1:3" x14ac:dyDescent="0.3">
      <c r="A2487" s="1" t="s">
        <v>508</v>
      </c>
      <c r="B2487" t="s">
        <v>485</v>
      </c>
      <c r="C2487" s="1">
        <v>13.535</v>
      </c>
    </row>
    <row r="2488" spans="1:3" x14ac:dyDescent="0.3">
      <c r="A2488" s="1" t="s">
        <v>508</v>
      </c>
      <c r="B2488" t="s">
        <v>486</v>
      </c>
      <c r="C2488" s="1">
        <v>13.52</v>
      </c>
    </row>
    <row r="2489" spans="1:3" x14ac:dyDescent="0.3">
      <c r="A2489" s="1" t="s">
        <v>508</v>
      </c>
      <c r="B2489" t="s">
        <v>487</v>
      </c>
      <c r="C2489" s="1">
        <v>13.52</v>
      </c>
    </row>
    <row r="2490" spans="1:3" x14ac:dyDescent="0.3">
      <c r="A2490" s="1" t="s">
        <v>508</v>
      </c>
      <c r="B2490" t="s">
        <v>488</v>
      </c>
      <c r="C2490" s="1">
        <v>13.425000000000001</v>
      </c>
    </row>
    <row r="2491" spans="1:3" x14ac:dyDescent="0.3">
      <c r="A2491" s="1" t="s">
        <v>508</v>
      </c>
      <c r="B2491" t="s">
        <v>489</v>
      </c>
      <c r="C2491" s="1">
        <v>13.49</v>
      </c>
    </row>
    <row r="2492" spans="1:3" x14ac:dyDescent="0.3">
      <c r="A2492" s="1" t="s">
        <v>508</v>
      </c>
      <c r="B2492" t="s">
        <v>490</v>
      </c>
      <c r="C2492" s="1">
        <v>13.654999999999999</v>
      </c>
    </row>
    <row r="2493" spans="1:3" x14ac:dyDescent="0.3">
      <c r="A2493" s="1" t="s">
        <v>508</v>
      </c>
      <c r="B2493" t="s">
        <v>491</v>
      </c>
      <c r="C2493" s="1">
        <v>13.61</v>
      </c>
    </row>
    <row r="2494" spans="1:3" x14ac:dyDescent="0.3">
      <c r="A2494" s="1" t="s">
        <v>508</v>
      </c>
      <c r="B2494" t="s">
        <v>492</v>
      </c>
      <c r="C2494" s="1">
        <v>13.795</v>
      </c>
    </row>
    <row r="2495" spans="1:3" x14ac:dyDescent="0.3">
      <c r="A2495" s="1" t="s">
        <v>508</v>
      </c>
      <c r="B2495" t="s">
        <v>493</v>
      </c>
      <c r="C2495" s="1">
        <v>13.96</v>
      </c>
    </row>
    <row r="2496" spans="1:3" x14ac:dyDescent="0.3">
      <c r="A2496" s="1" t="s">
        <v>508</v>
      </c>
      <c r="B2496" t="s">
        <v>494</v>
      </c>
      <c r="C2496" s="1">
        <v>13.91</v>
      </c>
    </row>
    <row r="2497" spans="1:3" x14ac:dyDescent="0.3">
      <c r="A2497" s="1" t="s">
        <v>508</v>
      </c>
      <c r="B2497" t="s">
        <v>495</v>
      </c>
      <c r="C2497" s="1">
        <v>13.6</v>
      </c>
    </row>
    <row r="2498" spans="1:3" x14ac:dyDescent="0.3">
      <c r="A2498" s="1" t="s">
        <v>508</v>
      </c>
      <c r="B2498" t="s">
        <v>496</v>
      </c>
      <c r="C2498" s="1">
        <v>13.75</v>
      </c>
    </row>
    <row r="2499" spans="1:3" x14ac:dyDescent="0.3">
      <c r="A2499" s="1" t="s">
        <v>508</v>
      </c>
      <c r="B2499" t="s">
        <v>497</v>
      </c>
      <c r="C2499" s="1">
        <v>13.815</v>
      </c>
    </row>
    <row r="2500" spans="1:3" x14ac:dyDescent="0.3">
      <c r="A2500" s="1" t="s">
        <v>508</v>
      </c>
      <c r="B2500" t="s">
        <v>498</v>
      </c>
      <c r="C2500" s="1">
        <v>13.635</v>
      </c>
    </row>
    <row r="2501" spans="1:3" x14ac:dyDescent="0.3">
      <c r="A2501" s="1" t="s">
        <v>508</v>
      </c>
      <c r="B2501" t="s">
        <v>499</v>
      </c>
      <c r="C2501" s="1">
        <v>13.63</v>
      </c>
    </row>
    <row r="2502" spans="1:3" x14ac:dyDescent="0.3">
      <c r="A2502" s="1" t="s">
        <v>508</v>
      </c>
      <c r="B2502" t="s">
        <v>500</v>
      </c>
      <c r="C2502" s="1">
        <v>13.34</v>
      </c>
    </row>
    <row r="2503" spans="1:3" x14ac:dyDescent="0.3">
      <c r="A2503" s="1" t="s">
        <v>508</v>
      </c>
      <c r="B2503" t="s">
        <v>501</v>
      </c>
      <c r="C2503" s="1">
        <v>13.275</v>
      </c>
    </row>
    <row r="2504" spans="1:3" x14ac:dyDescent="0.3">
      <c r="A2504" s="1" t="s">
        <v>508</v>
      </c>
      <c r="B2504" t="s">
        <v>502</v>
      </c>
      <c r="C2504" s="1">
        <v>13.38</v>
      </c>
    </row>
    <row r="2505" spans="1:3" x14ac:dyDescent="0.3">
      <c r="A2505" s="1" t="s">
        <v>508</v>
      </c>
      <c r="B2505" t="s">
        <v>503</v>
      </c>
      <c r="C2505" s="1">
        <v>13.26</v>
      </c>
    </row>
    <row r="2506" spans="1:3" x14ac:dyDescent="0.3">
      <c r="A2506" s="1" t="s">
        <v>508</v>
      </c>
      <c r="B2506" t="s">
        <v>504</v>
      </c>
      <c r="C2506" s="1">
        <v>13.04</v>
      </c>
    </row>
    <row r="2507" spans="1:3" x14ac:dyDescent="0.3">
      <c r="A2507" s="1" t="s">
        <v>509</v>
      </c>
      <c r="B2507" t="s">
        <v>4</v>
      </c>
      <c r="C2507" s="1">
        <v>5.2876000000000003</v>
      </c>
    </row>
    <row r="2508" spans="1:3" x14ac:dyDescent="0.3">
      <c r="A2508" s="1" t="s">
        <v>509</v>
      </c>
      <c r="B2508" t="s">
        <v>5</v>
      </c>
      <c r="C2508" s="1">
        <v>5.2017709999999999</v>
      </c>
    </row>
    <row r="2509" spans="1:3" x14ac:dyDescent="0.3">
      <c r="A2509" s="1" t="s">
        <v>509</v>
      </c>
      <c r="B2509" t="s">
        <v>6</v>
      </c>
      <c r="C2509" s="1">
        <v>5.1935539999999998</v>
      </c>
    </row>
    <row r="2510" spans="1:3" x14ac:dyDescent="0.3">
      <c r="A2510" s="1" t="s">
        <v>509</v>
      </c>
      <c r="B2510" t="s">
        <v>7</v>
      </c>
      <c r="C2510" s="1">
        <v>5.1725529999999997</v>
      </c>
    </row>
    <row r="2511" spans="1:3" x14ac:dyDescent="0.3">
      <c r="A2511" s="1" t="s">
        <v>509</v>
      </c>
      <c r="B2511" t="s">
        <v>8</v>
      </c>
      <c r="C2511" s="1">
        <v>5.1223340000000004</v>
      </c>
    </row>
    <row r="2512" spans="1:3" x14ac:dyDescent="0.3">
      <c r="A2512" s="1" t="s">
        <v>509</v>
      </c>
      <c r="B2512" t="s">
        <v>9</v>
      </c>
      <c r="C2512" s="1">
        <v>5.1679870000000001</v>
      </c>
    </row>
    <row r="2513" spans="1:3" x14ac:dyDescent="0.3">
      <c r="A2513" s="1" t="s">
        <v>509</v>
      </c>
      <c r="B2513" t="s">
        <v>10</v>
      </c>
      <c r="C2513" s="1">
        <v>5.1807699999999999</v>
      </c>
    </row>
    <row r="2514" spans="1:3" x14ac:dyDescent="0.3">
      <c r="A2514" s="1" t="s">
        <v>509</v>
      </c>
      <c r="B2514" t="s">
        <v>11</v>
      </c>
      <c r="C2514" s="1">
        <v>5.1223340000000004</v>
      </c>
    </row>
    <row r="2515" spans="1:3" x14ac:dyDescent="0.3">
      <c r="A2515" s="1" t="s">
        <v>509</v>
      </c>
      <c r="B2515" t="s">
        <v>12</v>
      </c>
      <c r="C2515" s="1">
        <v>5.1122899999999998</v>
      </c>
    </row>
    <row r="2516" spans="1:3" x14ac:dyDescent="0.3">
      <c r="A2516" s="1" t="s">
        <v>509</v>
      </c>
      <c r="B2516" t="s">
        <v>13</v>
      </c>
      <c r="C2516" s="1">
        <v>4.9205449999999997</v>
      </c>
    </row>
    <row r="2517" spans="1:3" x14ac:dyDescent="0.3">
      <c r="A2517" s="1" t="s">
        <v>509</v>
      </c>
      <c r="B2517" t="s">
        <v>14</v>
      </c>
      <c r="C2517" s="1">
        <v>4.9059359999999996</v>
      </c>
    </row>
    <row r="2518" spans="1:3" x14ac:dyDescent="0.3">
      <c r="A2518" s="1" t="s">
        <v>509</v>
      </c>
      <c r="B2518" t="s">
        <v>15</v>
      </c>
      <c r="C2518" s="1">
        <v>5.0465489999999997</v>
      </c>
    </row>
    <row r="2519" spans="1:3" x14ac:dyDescent="0.3">
      <c r="A2519" s="1" t="s">
        <v>509</v>
      </c>
      <c r="B2519" t="s">
        <v>16</v>
      </c>
      <c r="C2519" s="1">
        <v>5.0602450000000001</v>
      </c>
    </row>
    <row r="2520" spans="1:3" x14ac:dyDescent="0.3">
      <c r="A2520" s="1" t="s">
        <v>509</v>
      </c>
      <c r="B2520" t="s">
        <v>17</v>
      </c>
      <c r="C2520" s="1">
        <v>5.006373</v>
      </c>
    </row>
    <row r="2521" spans="1:3" x14ac:dyDescent="0.3">
      <c r="A2521" s="1" t="s">
        <v>509</v>
      </c>
      <c r="B2521" t="s">
        <v>18</v>
      </c>
      <c r="C2521" s="1">
        <v>5.0702889999999998</v>
      </c>
    </row>
    <row r="2522" spans="1:3" x14ac:dyDescent="0.3">
      <c r="A2522" s="1" t="s">
        <v>509</v>
      </c>
      <c r="B2522" t="s">
        <v>19</v>
      </c>
      <c r="C2522" s="1">
        <v>5.1552040000000003</v>
      </c>
    </row>
    <row r="2523" spans="1:3" x14ac:dyDescent="0.3">
      <c r="A2523" s="1" t="s">
        <v>509</v>
      </c>
      <c r="B2523" t="s">
        <v>20</v>
      </c>
      <c r="C2523" s="1">
        <v>5.0794199999999998</v>
      </c>
    </row>
    <row r="2524" spans="1:3" x14ac:dyDescent="0.3">
      <c r="A2524" s="1" t="s">
        <v>509</v>
      </c>
      <c r="B2524" t="s">
        <v>21</v>
      </c>
      <c r="C2524" s="1">
        <v>5.0702889999999998</v>
      </c>
    </row>
    <row r="2525" spans="1:3" x14ac:dyDescent="0.3">
      <c r="A2525" s="1" t="s">
        <v>509</v>
      </c>
      <c r="B2525" t="s">
        <v>22</v>
      </c>
      <c r="C2525" s="1">
        <v>5.1670740000000004</v>
      </c>
    </row>
    <row r="2526" spans="1:3" x14ac:dyDescent="0.3">
      <c r="A2526" s="1" t="s">
        <v>509</v>
      </c>
      <c r="B2526" t="s">
        <v>23</v>
      </c>
      <c r="C2526" s="1">
        <v>5.0967669999999998</v>
      </c>
    </row>
    <row r="2527" spans="1:3" x14ac:dyDescent="0.3">
      <c r="A2527" s="1" t="s">
        <v>509</v>
      </c>
      <c r="B2527" t="s">
        <v>24</v>
      </c>
      <c r="C2527" s="1">
        <v>5.1643350000000003</v>
      </c>
    </row>
    <row r="2528" spans="1:3" x14ac:dyDescent="0.3">
      <c r="A2528" s="1" t="s">
        <v>509</v>
      </c>
      <c r="B2528" t="s">
        <v>25</v>
      </c>
      <c r="C2528" s="1">
        <v>5.1798570000000002</v>
      </c>
    </row>
    <row r="2529" spans="1:3" x14ac:dyDescent="0.3">
      <c r="A2529" s="1" t="s">
        <v>509</v>
      </c>
      <c r="B2529" t="s">
        <v>26</v>
      </c>
      <c r="C2529" s="1">
        <v>5.1405950000000002</v>
      </c>
    </row>
    <row r="2530" spans="1:3" x14ac:dyDescent="0.3">
      <c r="A2530" s="1" t="s">
        <v>509</v>
      </c>
      <c r="B2530" t="s">
        <v>27</v>
      </c>
      <c r="C2530" s="1">
        <v>5.036505</v>
      </c>
    </row>
    <row r="2531" spans="1:3" x14ac:dyDescent="0.3">
      <c r="A2531" s="1" t="s">
        <v>509</v>
      </c>
      <c r="B2531" t="s">
        <v>28</v>
      </c>
      <c r="C2531" s="1">
        <v>5.1369429999999996</v>
      </c>
    </row>
    <row r="2532" spans="1:3" x14ac:dyDescent="0.3">
      <c r="A2532" s="1" t="s">
        <v>509</v>
      </c>
      <c r="B2532" t="s">
        <v>29</v>
      </c>
      <c r="C2532" s="1">
        <v>5.5094760000000003</v>
      </c>
    </row>
    <row r="2533" spans="1:3" x14ac:dyDescent="0.3">
      <c r="A2533" s="1" t="s">
        <v>509</v>
      </c>
      <c r="B2533" t="s">
        <v>30</v>
      </c>
      <c r="C2533" s="1">
        <v>5.5039980000000002</v>
      </c>
    </row>
    <row r="2534" spans="1:3" x14ac:dyDescent="0.3">
      <c r="A2534" s="1" t="s">
        <v>509</v>
      </c>
      <c r="B2534" t="s">
        <v>31</v>
      </c>
      <c r="C2534" s="1">
        <v>5.771528</v>
      </c>
    </row>
    <row r="2535" spans="1:3" x14ac:dyDescent="0.3">
      <c r="A2535" s="1" t="s">
        <v>509</v>
      </c>
      <c r="B2535" t="s">
        <v>32</v>
      </c>
      <c r="C2535" s="1">
        <v>5.9157929999999999</v>
      </c>
    </row>
    <row r="2536" spans="1:3" x14ac:dyDescent="0.3">
      <c r="A2536" s="1" t="s">
        <v>509</v>
      </c>
      <c r="B2536" t="s">
        <v>33</v>
      </c>
      <c r="C2536" s="1">
        <v>5.9130539999999998</v>
      </c>
    </row>
    <row r="2537" spans="1:3" x14ac:dyDescent="0.3">
      <c r="A2537" s="1" t="s">
        <v>509</v>
      </c>
      <c r="B2537" t="s">
        <v>34</v>
      </c>
      <c r="C2537" s="1">
        <v>5.9833610000000004</v>
      </c>
    </row>
    <row r="2538" spans="1:3" x14ac:dyDescent="0.3">
      <c r="A2538" s="1" t="s">
        <v>509</v>
      </c>
      <c r="B2538" t="s">
        <v>35</v>
      </c>
      <c r="C2538" s="1">
        <v>6.0920160000000001</v>
      </c>
    </row>
    <row r="2539" spans="1:3" x14ac:dyDescent="0.3">
      <c r="A2539" s="1" t="s">
        <v>509</v>
      </c>
      <c r="B2539" t="s">
        <v>36</v>
      </c>
      <c r="C2539" s="1">
        <v>6.0491020000000004</v>
      </c>
    </row>
    <row r="2540" spans="1:3" x14ac:dyDescent="0.3">
      <c r="A2540" s="1" t="s">
        <v>509</v>
      </c>
      <c r="B2540" t="s">
        <v>37</v>
      </c>
      <c r="C2540" s="1">
        <v>5.8847490000000002</v>
      </c>
    </row>
    <row r="2541" spans="1:3" x14ac:dyDescent="0.3">
      <c r="A2541" s="1" t="s">
        <v>509</v>
      </c>
      <c r="B2541" t="s">
        <v>38</v>
      </c>
      <c r="C2541" s="1">
        <v>5.8564439999999998</v>
      </c>
    </row>
    <row r="2542" spans="1:3" x14ac:dyDescent="0.3">
      <c r="A2542" s="1" t="s">
        <v>509</v>
      </c>
      <c r="B2542" t="s">
        <v>39</v>
      </c>
      <c r="C2542" s="1">
        <v>5.9185319999999999</v>
      </c>
    </row>
    <row r="2543" spans="1:3" x14ac:dyDescent="0.3">
      <c r="A2543" s="1" t="s">
        <v>509</v>
      </c>
      <c r="B2543" t="s">
        <v>40</v>
      </c>
      <c r="C2543" s="1">
        <v>5.9660120000000001</v>
      </c>
    </row>
    <row r="2544" spans="1:3" x14ac:dyDescent="0.3">
      <c r="A2544" s="1" t="s">
        <v>509</v>
      </c>
      <c r="B2544" t="s">
        <v>41</v>
      </c>
      <c r="C2544" s="1">
        <v>5.8454870000000003</v>
      </c>
    </row>
    <row r="2545" spans="1:3" x14ac:dyDescent="0.3">
      <c r="A2545" s="1" t="s">
        <v>509</v>
      </c>
      <c r="B2545" t="s">
        <v>42</v>
      </c>
      <c r="C2545" s="1">
        <v>5.8226599999999999</v>
      </c>
    </row>
    <row r="2546" spans="1:3" x14ac:dyDescent="0.3">
      <c r="A2546" s="1" t="s">
        <v>509</v>
      </c>
      <c r="B2546" t="s">
        <v>43</v>
      </c>
      <c r="C2546" s="1">
        <v>5.8518780000000001</v>
      </c>
    </row>
    <row r="2547" spans="1:3" x14ac:dyDescent="0.3">
      <c r="A2547" s="1" t="s">
        <v>509</v>
      </c>
      <c r="B2547" t="s">
        <v>44</v>
      </c>
      <c r="C2547" s="1">
        <v>5.8710529999999999</v>
      </c>
    </row>
    <row r="2548" spans="1:3" x14ac:dyDescent="0.3">
      <c r="A2548" s="1" t="s">
        <v>509</v>
      </c>
      <c r="B2548" t="s">
        <v>45</v>
      </c>
      <c r="C2548" s="1">
        <v>5.8610090000000001</v>
      </c>
    </row>
    <row r="2549" spans="1:3" x14ac:dyDescent="0.3">
      <c r="A2549" s="1" t="s">
        <v>509</v>
      </c>
      <c r="B2549" t="s">
        <v>46</v>
      </c>
      <c r="C2549" s="1">
        <v>5.9367939999999999</v>
      </c>
    </row>
    <row r="2550" spans="1:3" x14ac:dyDescent="0.3">
      <c r="A2550" s="1" t="s">
        <v>509</v>
      </c>
      <c r="B2550" t="s">
        <v>47</v>
      </c>
      <c r="C2550" s="1">
        <v>5.8765309999999999</v>
      </c>
    </row>
    <row r="2551" spans="1:3" x14ac:dyDescent="0.3">
      <c r="A2551" s="1" t="s">
        <v>509</v>
      </c>
      <c r="B2551" t="s">
        <v>48</v>
      </c>
      <c r="C2551" s="1">
        <v>5.7596579999999999</v>
      </c>
    </row>
    <row r="2552" spans="1:3" x14ac:dyDescent="0.3">
      <c r="A2552" s="1" t="s">
        <v>509</v>
      </c>
      <c r="B2552" t="s">
        <v>49</v>
      </c>
      <c r="C2552" s="1">
        <v>5.6318279999999996</v>
      </c>
    </row>
    <row r="2553" spans="1:3" x14ac:dyDescent="0.3">
      <c r="A2553" s="1" t="s">
        <v>509</v>
      </c>
      <c r="B2553" t="s">
        <v>50</v>
      </c>
      <c r="C2553" s="1">
        <v>5.6026100000000003</v>
      </c>
    </row>
    <row r="2554" spans="1:3" x14ac:dyDescent="0.3">
      <c r="A2554" s="1" t="s">
        <v>509</v>
      </c>
      <c r="B2554" t="s">
        <v>51</v>
      </c>
      <c r="C2554" s="1">
        <v>5.6519159999999999</v>
      </c>
    </row>
    <row r="2555" spans="1:3" x14ac:dyDescent="0.3">
      <c r="A2555" s="1" t="s">
        <v>509</v>
      </c>
      <c r="B2555" t="s">
        <v>52</v>
      </c>
      <c r="C2555" s="1">
        <v>5.6135659999999996</v>
      </c>
    </row>
    <row r="2556" spans="1:3" x14ac:dyDescent="0.3">
      <c r="A2556" s="1" t="s">
        <v>509</v>
      </c>
      <c r="B2556" t="s">
        <v>53</v>
      </c>
      <c r="C2556" s="1">
        <v>5.5934790000000003</v>
      </c>
    </row>
    <row r="2557" spans="1:3" x14ac:dyDescent="0.3">
      <c r="A2557" s="1" t="s">
        <v>509</v>
      </c>
      <c r="B2557" t="s">
        <v>54</v>
      </c>
      <c r="C2557" s="1">
        <v>5.744135</v>
      </c>
    </row>
    <row r="2558" spans="1:3" x14ac:dyDescent="0.3">
      <c r="A2558" s="1" t="s">
        <v>509</v>
      </c>
      <c r="B2558" t="s">
        <v>55</v>
      </c>
      <c r="C2558" s="1">
        <v>5.9148800000000001</v>
      </c>
    </row>
    <row r="2559" spans="1:3" x14ac:dyDescent="0.3">
      <c r="A2559" s="1" t="s">
        <v>509</v>
      </c>
      <c r="B2559" t="s">
        <v>56</v>
      </c>
      <c r="C2559" s="1">
        <v>5.8600960000000004</v>
      </c>
    </row>
    <row r="2560" spans="1:3" x14ac:dyDescent="0.3">
      <c r="A2560" s="1" t="s">
        <v>509</v>
      </c>
      <c r="B2560" t="s">
        <v>57</v>
      </c>
      <c r="C2560" s="1">
        <v>5.9121410000000001</v>
      </c>
    </row>
    <row r="2561" spans="1:3" x14ac:dyDescent="0.3">
      <c r="A2561" s="1" t="s">
        <v>509</v>
      </c>
      <c r="B2561" t="s">
        <v>58</v>
      </c>
      <c r="C2561" s="1">
        <v>5.9367939999999999</v>
      </c>
    </row>
    <row r="2562" spans="1:3" x14ac:dyDescent="0.3">
      <c r="A2562" s="1" t="s">
        <v>509</v>
      </c>
      <c r="B2562" t="s">
        <v>59</v>
      </c>
      <c r="C2562" s="1">
        <v>5.9386200000000002</v>
      </c>
    </row>
    <row r="2563" spans="1:3" x14ac:dyDescent="0.3">
      <c r="A2563" s="1" t="s">
        <v>509</v>
      </c>
      <c r="B2563" t="s">
        <v>60</v>
      </c>
      <c r="C2563" s="1">
        <v>5.9349679999999996</v>
      </c>
    </row>
    <row r="2564" spans="1:3" x14ac:dyDescent="0.3">
      <c r="A2564" s="1" t="s">
        <v>509</v>
      </c>
      <c r="B2564" t="s">
        <v>61</v>
      </c>
      <c r="C2564" s="1">
        <v>6.0536669999999999</v>
      </c>
    </row>
    <row r="2565" spans="1:3" x14ac:dyDescent="0.3">
      <c r="A2565" s="1" t="s">
        <v>509</v>
      </c>
      <c r="B2565" t="s">
        <v>62</v>
      </c>
      <c r="C2565" s="1">
        <v>6.1111909999999998</v>
      </c>
    </row>
    <row r="2566" spans="1:3" x14ac:dyDescent="0.3">
      <c r="A2566" s="1" t="s">
        <v>509</v>
      </c>
      <c r="B2566" t="s">
        <v>63</v>
      </c>
      <c r="C2566" s="1">
        <v>6.0080140000000002</v>
      </c>
    </row>
    <row r="2567" spans="1:3" x14ac:dyDescent="0.3">
      <c r="A2567" s="1" t="s">
        <v>509</v>
      </c>
      <c r="B2567" t="s">
        <v>64</v>
      </c>
      <c r="C2567" s="1">
        <v>6.0344930000000003</v>
      </c>
    </row>
    <row r="2568" spans="1:3" x14ac:dyDescent="0.3">
      <c r="A2568" s="1" t="s">
        <v>509</v>
      </c>
      <c r="B2568" t="s">
        <v>65</v>
      </c>
      <c r="C2568" s="1">
        <v>6.1678009999999999</v>
      </c>
    </row>
    <row r="2569" spans="1:3" x14ac:dyDescent="0.3">
      <c r="A2569" s="1" t="s">
        <v>509</v>
      </c>
      <c r="B2569" t="s">
        <v>66</v>
      </c>
      <c r="C2569" s="1">
        <v>6.1431480000000001</v>
      </c>
    </row>
    <row r="2570" spans="1:3" x14ac:dyDescent="0.3">
      <c r="A2570" s="1" t="s">
        <v>509</v>
      </c>
      <c r="B2570" t="s">
        <v>67</v>
      </c>
      <c r="C2570" s="1">
        <v>6.011666</v>
      </c>
    </row>
    <row r="2571" spans="1:3" x14ac:dyDescent="0.3">
      <c r="A2571" s="1" t="s">
        <v>509</v>
      </c>
      <c r="B2571" t="s">
        <v>68</v>
      </c>
      <c r="C2571" s="1">
        <v>6.0007089999999996</v>
      </c>
    </row>
    <row r="2572" spans="1:3" x14ac:dyDescent="0.3">
      <c r="A2572" s="1" t="s">
        <v>509</v>
      </c>
      <c r="B2572" t="s">
        <v>69</v>
      </c>
      <c r="C2572" s="1">
        <v>5.9861000000000004</v>
      </c>
    </row>
    <row r="2573" spans="1:3" x14ac:dyDescent="0.3">
      <c r="A2573" s="1" t="s">
        <v>509</v>
      </c>
      <c r="B2573" t="s">
        <v>70</v>
      </c>
      <c r="C2573" s="1">
        <v>5.9970559999999997</v>
      </c>
    </row>
    <row r="2574" spans="1:3" x14ac:dyDescent="0.3">
      <c r="A2574" s="1" t="s">
        <v>509</v>
      </c>
      <c r="B2574" t="s">
        <v>71</v>
      </c>
      <c r="C2574" s="1">
        <v>6.1276260000000002</v>
      </c>
    </row>
    <row r="2575" spans="1:3" x14ac:dyDescent="0.3">
      <c r="A2575" s="1" t="s">
        <v>509</v>
      </c>
      <c r="B2575" t="s">
        <v>72</v>
      </c>
      <c r="C2575" s="1">
        <v>6.1650619999999998</v>
      </c>
    </row>
    <row r="2576" spans="1:3" x14ac:dyDescent="0.3">
      <c r="A2576" s="1" t="s">
        <v>509</v>
      </c>
      <c r="B2576" t="s">
        <v>73</v>
      </c>
      <c r="C2576" s="1">
        <v>6.203411</v>
      </c>
    </row>
    <row r="2577" spans="1:3" x14ac:dyDescent="0.3">
      <c r="A2577" s="1" t="s">
        <v>509</v>
      </c>
      <c r="B2577" t="s">
        <v>74</v>
      </c>
      <c r="C2577" s="1">
        <v>6.2335419999999999</v>
      </c>
    </row>
    <row r="2578" spans="1:3" x14ac:dyDescent="0.3">
      <c r="A2578" s="1" t="s">
        <v>509</v>
      </c>
      <c r="B2578" t="s">
        <v>75</v>
      </c>
      <c r="C2578" s="1">
        <v>6.1951929999999997</v>
      </c>
    </row>
    <row r="2579" spans="1:3" x14ac:dyDescent="0.3">
      <c r="A2579" s="1" t="s">
        <v>509</v>
      </c>
      <c r="B2579" t="s">
        <v>76</v>
      </c>
      <c r="C2579" s="1">
        <v>6.1842370000000004</v>
      </c>
    </row>
    <row r="2580" spans="1:3" x14ac:dyDescent="0.3">
      <c r="A2580" s="1" t="s">
        <v>509</v>
      </c>
      <c r="B2580" t="s">
        <v>77</v>
      </c>
      <c r="C2580" s="1">
        <v>6.2161939999999998</v>
      </c>
    </row>
    <row r="2581" spans="1:3" x14ac:dyDescent="0.3">
      <c r="A2581" s="1" t="s">
        <v>509</v>
      </c>
      <c r="B2581" t="s">
        <v>78</v>
      </c>
      <c r="C2581" s="1">
        <v>6.0911030000000004</v>
      </c>
    </row>
    <row r="2582" spans="1:3" x14ac:dyDescent="0.3">
      <c r="A2582" s="1" t="s">
        <v>509</v>
      </c>
      <c r="B2582" t="s">
        <v>79</v>
      </c>
      <c r="C2582" s="1">
        <v>6.0719289999999999</v>
      </c>
    </row>
    <row r="2583" spans="1:3" x14ac:dyDescent="0.3">
      <c r="A2583" s="1" t="s">
        <v>509</v>
      </c>
      <c r="B2583" t="s">
        <v>80</v>
      </c>
      <c r="C2583" s="1">
        <v>6.056406</v>
      </c>
    </row>
    <row r="2584" spans="1:3" x14ac:dyDescent="0.3">
      <c r="A2584" s="1" t="s">
        <v>509</v>
      </c>
      <c r="B2584" t="s">
        <v>81</v>
      </c>
      <c r="C2584" s="1">
        <v>5.9733169999999998</v>
      </c>
    </row>
    <row r="2585" spans="1:3" x14ac:dyDescent="0.3">
      <c r="A2585" s="1" t="s">
        <v>509</v>
      </c>
      <c r="B2585" t="s">
        <v>82</v>
      </c>
      <c r="C2585" s="1">
        <v>5.9979699999999996</v>
      </c>
    </row>
    <row r="2586" spans="1:3" x14ac:dyDescent="0.3">
      <c r="A2586" s="1" t="s">
        <v>509</v>
      </c>
      <c r="B2586" t="s">
        <v>83</v>
      </c>
      <c r="C2586" s="1">
        <v>5.948664</v>
      </c>
    </row>
    <row r="2587" spans="1:3" x14ac:dyDescent="0.3">
      <c r="A2587" s="1" t="s">
        <v>509</v>
      </c>
      <c r="B2587" t="s">
        <v>84</v>
      </c>
      <c r="C2587" s="1">
        <v>5.9194449999999996</v>
      </c>
    </row>
    <row r="2588" spans="1:3" x14ac:dyDescent="0.3">
      <c r="A2588" s="1" t="s">
        <v>509</v>
      </c>
      <c r="B2588" t="s">
        <v>85</v>
      </c>
      <c r="C2588" s="1">
        <v>5.9733169999999998</v>
      </c>
    </row>
    <row r="2589" spans="1:3" x14ac:dyDescent="0.3">
      <c r="A2589" s="1" t="s">
        <v>509</v>
      </c>
      <c r="B2589" t="s">
        <v>86</v>
      </c>
      <c r="C2589" s="1">
        <v>5.9861000000000004</v>
      </c>
    </row>
    <row r="2590" spans="1:3" x14ac:dyDescent="0.3">
      <c r="A2590" s="1" t="s">
        <v>509</v>
      </c>
      <c r="B2590" t="s">
        <v>87</v>
      </c>
      <c r="C2590" s="1">
        <v>5.9587079999999997</v>
      </c>
    </row>
    <row r="2591" spans="1:3" x14ac:dyDescent="0.3">
      <c r="A2591" s="1" t="s">
        <v>509</v>
      </c>
      <c r="B2591" t="s">
        <v>88</v>
      </c>
      <c r="C2591" s="1">
        <v>5.972404</v>
      </c>
    </row>
    <row r="2592" spans="1:3" x14ac:dyDescent="0.3">
      <c r="A2592" s="1" t="s">
        <v>509</v>
      </c>
      <c r="B2592" t="s">
        <v>89</v>
      </c>
      <c r="C2592" s="1">
        <v>5.9459249999999999</v>
      </c>
    </row>
    <row r="2593" spans="1:3" x14ac:dyDescent="0.3">
      <c r="A2593" s="1" t="s">
        <v>509</v>
      </c>
      <c r="B2593" t="s">
        <v>90</v>
      </c>
      <c r="C2593" s="1">
        <v>5.8728790000000002</v>
      </c>
    </row>
    <row r="2594" spans="1:3" x14ac:dyDescent="0.3">
      <c r="A2594" s="1" t="s">
        <v>509</v>
      </c>
      <c r="B2594" t="s">
        <v>91</v>
      </c>
      <c r="C2594" s="1">
        <v>5.78979</v>
      </c>
    </row>
    <row r="2595" spans="1:3" x14ac:dyDescent="0.3">
      <c r="A2595" s="1" t="s">
        <v>509</v>
      </c>
      <c r="B2595" t="s">
        <v>92</v>
      </c>
      <c r="C2595" s="1">
        <v>5.7130910000000004</v>
      </c>
    </row>
    <row r="2596" spans="1:3" x14ac:dyDescent="0.3">
      <c r="A2596" s="1" t="s">
        <v>509</v>
      </c>
      <c r="B2596" t="s">
        <v>93</v>
      </c>
      <c r="C2596" s="1">
        <v>5.816268</v>
      </c>
    </row>
    <row r="2597" spans="1:3" x14ac:dyDescent="0.3">
      <c r="A2597" s="1" t="s">
        <v>509</v>
      </c>
      <c r="B2597" t="s">
        <v>94</v>
      </c>
      <c r="C2597" s="1">
        <v>5.8272250000000003</v>
      </c>
    </row>
    <row r="2598" spans="1:3" x14ac:dyDescent="0.3">
      <c r="A2598" s="1" t="s">
        <v>509</v>
      </c>
      <c r="B2598" t="s">
        <v>95</v>
      </c>
      <c r="C2598" s="1">
        <v>5.9742300000000004</v>
      </c>
    </row>
    <row r="2599" spans="1:3" x14ac:dyDescent="0.3">
      <c r="A2599" s="1" t="s">
        <v>509</v>
      </c>
      <c r="B2599" t="s">
        <v>96</v>
      </c>
      <c r="C2599" s="1">
        <v>5.9888389999999996</v>
      </c>
    </row>
    <row r="2600" spans="1:3" x14ac:dyDescent="0.3">
      <c r="A2600" s="1" t="s">
        <v>509</v>
      </c>
      <c r="B2600" t="s">
        <v>97</v>
      </c>
      <c r="C2600" s="1">
        <v>6.0071009999999996</v>
      </c>
    </row>
    <row r="2601" spans="1:3" x14ac:dyDescent="0.3">
      <c r="A2601" s="1" t="s">
        <v>509</v>
      </c>
      <c r="B2601" t="s">
        <v>98</v>
      </c>
      <c r="C2601" s="1">
        <v>6.1732800000000001</v>
      </c>
    </row>
    <row r="2602" spans="1:3" x14ac:dyDescent="0.3">
      <c r="A2602" s="1" t="s">
        <v>509</v>
      </c>
      <c r="B2602" t="s">
        <v>99</v>
      </c>
      <c r="C2602" s="1">
        <v>6.2728039999999998</v>
      </c>
    </row>
    <row r="2603" spans="1:3" x14ac:dyDescent="0.3">
      <c r="A2603" s="1" t="s">
        <v>509</v>
      </c>
      <c r="B2603" t="s">
        <v>100</v>
      </c>
      <c r="C2603" s="1">
        <v>6.4161570000000001</v>
      </c>
    </row>
    <row r="2604" spans="1:3" x14ac:dyDescent="0.3">
      <c r="A2604" s="1" t="s">
        <v>509</v>
      </c>
      <c r="B2604" t="s">
        <v>101</v>
      </c>
      <c r="C2604" s="1">
        <v>6.5083770000000003</v>
      </c>
    </row>
    <row r="2605" spans="1:3" x14ac:dyDescent="0.3">
      <c r="A2605" s="1" t="s">
        <v>509</v>
      </c>
      <c r="B2605" t="s">
        <v>102</v>
      </c>
      <c r="C2605" s="1">
        <v>6.5549439999999999</v>
      </c>
    </row>
    <row r="2606" spans="1:3" x14ac:dyDescent="0.3">
      <c r="A2606" s="1" t="s">
        <v>509</v>
      </c>
      <c r="B2606" t="s">
        <v>103</v>
      </c>
      <c r="C2606" s="1">
        <v>6.572292</v>
      </c>
    </row>
    <row r="2607" spans="1:3" x14ac:dyDescent="0.3">
      <c r="A2607" s="1" t="s">
        <v>509</v>
      </c>
      <c r="B2607" t="s">
        <v>104</v>
      </c>
      <c r="C2607" s="1">
        <v>6.7101660000000001</v>
      </c>
    </row>
    <row r="2608" spans="1:3" x14ac:dyDescent="0.3">
      <c r="A2608" s="1" t="s">
        <v>509</v>
      </c>
      <c r="B2608" t="s">
        <v>105</v>
      </c>
      <c r="C2608" s="1">
        <v>6.704688</v>
      </c>
    </row>
    <row r="2609" spans="1:3" x14ac:dyDescent="0.3">
      <c r="A2609" s="1" t="s">
        <v>509</v>
      </c>
      <c r="B2609" t="s">
        <v>106</v>
      </c>
      <c r="C2609" s="1">
        <v>6.6964699999999997</v>
      </c>
    </row>
    <row r="2610" spans="1:3" x14ac:dyDescent="0.3">
      <c r="A2610" s="1" t="s">
        <v>509</v>
      </c>
      <c r="B2610" t="s">
        <v>107</v>
      </c>
      <c r="C2610" s="1">
        <v>6.6106410000000002</v>
      </c>
    </row>
    <row r="2611" spans="1:3" x14ac:dyDescent="0.3">
      <c r="A2611" s="1" t="s">
        <v>509</v>
      </c>
      <c r="B2611" t="s">
        <v>108</v>
      </c>
      <c r="C2611" s="1">
        <v>6.7877770000000002</v>
      </c>
    </row>
    <row r="2612" spans="1:3" x14ac:dyDescent="0.3">
      <c r="A2612" s="1" t="s">
        <v>509</v>
      </c>
      <c r="B2612" t="s">
        <v>109</v>
      </c>
      <c r="C2612" s="1">
        <v>6.6992089999999997</v>
      </c>
    </row>
    <row r="2613" spans="1:3" x14ac:dyDescent="0.3">
      <c r="A2613" s="1" t="s">
        <v>509</v>
      </c>
      <c r="B2613" t="s">
        <v>110</v>
      </c>
      <c r="C2613" s="1">
        <v>6.6654260000000001</v>
      </c>
    </row>
    <row r="2614" spans="1:3" x14ac:dyDescent="0.3">
      <c r="A2614" s="1" t="s">
        <v>509</v>
      </c>
      <c r="B2614" t="s">
        <v>111</v>
      </c>
      <c r="C2614" s="1">
        <v>6.6444239999999999</v>
      </c>
    </row>
    <row r="2615" spans="1:3" x14ac:dyDescent="0.3">
      <c r="A2615" s="1" t="s">
        <v>509</v>
      </c>
      <c r="B2615" t="s">
        <v>112</v>
      </c>
      <c r="C2615" s="1">
        <v>6.6480769999999998</v>
      </c>
    </row>
    <row r="2616" spans="1:3" x14ac:dyDescent="0.3">
      <c r="A2616" s="1" t="s">
        <v>509</v>
      </c>
      <c r="B2616" t="s">
        <v>113</v>
      </c>
      <c r="C2616" s="1">
        <v>6.6170330000000002</v>
      </c>
    </row>
    <row r="2617" spans="1:3" x14ac:dyDescent="0.3">
      <c r="A2617" s="1" t="s">
        <v>509</v>
      </c>
      <c r="B2617" t="s">
        <v>114</v>
      </c>
      <c r="C2617" s="1">
        <v>6.6005969999999996</v>
      </c>
    </row>
    <row r="2618" spans="1:3" x14ac:dyDescent="0.3">
      <c r="A2618" s="1" t="s">
        <v>509</v>
      </c>
      <c r="B2618" t="s">
        <v>115</v>
      </c>
      <c r="C2618" s="1">
        <v>6.5996839999999999</v>
      </c>
    </row>
    <row r="2619" spans="1:3" x14ac:dyDescent="0.3">
      <c r="A2619" s="1" t="s">
        <v>509</v>
      </c>
      <c r="B2619" t="s">
        <v>116</v>
      </c>
      <c r="C2619" s="1">
        <v>6.5193339999999997</v>
      </c>
    </row>
    <row r="2620" spans="1:3" x14ac:dyDescent="0.3">
      <c r="A2620" s="1" t="s">
        <v>509</v>
      </c>
      <c r="B2620" t="s">
        <v>117</v>
      </c>
      <c r="C2620" s="1">
        <v>6.6015100000000002</v>
      </c>
    </row>
    <row r="2621" spans="1:3" x14ac:dyDescent="0.3">
      <c r="A2621" s="1" t="s">
        <v>509</v>
      </c>
      <c r="B2621" t="s">
        <v>118</v>
      </c>
      <c r="C2621" s="1">
        <v>6.6508159999999998</v>
      </c>
    </row>
    <row r="2622" spans="1:3" x14ac:dyDescent="0.3">
      <c r="A2622" s="1" t="s">
        <v>509</v>
      </c>
      <c r="B2622" t="s">
        <v>119</v>
      </c>
      <c r="C2622" s="1">
        <v>6.6992089999999997</v>
      </c>
    </row>
    <row r="2623" spans="1:3" x14ac:dyDescent="0.3">
      <c r="A2623" s="1" t="s">
        <v>509</v>
      </c>
      <c r="B2623" t="s">
        <v>120</v>
      </c>
      <c r="C2623" s="1">
        <v>6.6690769999999997</v>
      </c>
    </row>
    <row r="2624" spans="1:3" x14ac:dyDescent="0.3">
      <c r="A2624" s="1" t="s">
        <v>509</v>
      </c>
      <c r="B2624" t="s">
        <v>121</v>
      </c>
      <c r="C2624" s="1">
        <v>6.6279890000000004</v>
      </c>
    </row>
    <row r="2625" spans="1:3" x14ac:dyDescent="0.3">
      <c r="A2625" s="1" t="s">
        <v>509</v>
      </c>
      <c r="B2625" t="s">
        <v>122</v>
      </c>
      <c r="C2625" s="1">
        <v>6.5923790000000002</v>
      </c>
    </row>
    <row r="2626" spans="1:3" x14ac:dyDescent="0.3">
      <c r="A2626" s="1" t="s">
        <v>509</v>
      </c>
      <c r="B2626" t="s">
        <v>123</v>
      </c>
      <c r="C2626" s="1">
        <v>6.6279890000000004</v>
      </c>
    </row>
    <row r="2627" spans="1:3" x14ac:dyDescent="0.3">
      <c r="A2627" s="1" t="s">
        <v>509</v>
      </c>
      <c r="B2627" t="s">
        <v>124</v>
      </c>
      <c r="C2627" s="1">
        <v>6.46455</v>
      </c>
    </row>
    <row r="2628" spans="1:3" x14ac:dyDescent="0.3">
      <c r="A2628" s="1" t="s">
        <v>509</v>
      </c>
      <c r="B2628" t="s">
        <v>125</v>
      </c>
      <c r="C2628" s="1">
        <v>6.6316420000000003</v>
      </c>
    </row>
    <row r="2629" spans="1:3" x14ac:dyDescent="0.3">
      <c r="A2629" s="1" t="s">
        <v>509</v>
      </c>
      <c r="B2629" t="s">
        <v>126</v>
      </c>
      <c r="C2629" s="1">
        <v>6.5878139999999998</v>
      </c>
    </row>
    <row r="2630" spans="1:3" x14ac:dyDescent="0.3">
      <c r="A2630" s="1" t="s">
        <v>509</v>
      </c>
      <c r="B2630" t="s">
        <v>127</v>
      </c>
      <c r="C2630" s="1">
        <v>6.4910290000000002</v>
      </c>
    </row>
    <row r="2631" spans="1:3" x14ac:dyDescent="0.3">
      <c r="A2631" s="1" t="s">
        <v>509</v>
      </c>
      <c r="B2631" t="s">
        <v>128</v>
      </c>
      <c r="C2631" s="1">
        <v>6.5056380000000003</v>
      </c>
    </row>
    <row r="2632" spans="1:3" x14ac:dyDescent="0.3">
      <c r="A2632" s="1" t="s">
        <v>509</v>
      </c>
      <c r="B2632" t="s">
        <v>129</v>
      </c>
      <c r="C2632" s="1">
        <v>6.515682</v>
      </c>
    </row>
    <row r="2633" spans="1:3" x14ac:dyDescent="0.3">
      <c r="A2633" s="1" t="s">
        <v>509</v>
      </c>
      <c r="B2633" t="s">
        <v>130</v>
      </c>
      <c r="C2633" s="1">
        <v>6.6060759999999998</v>
      </c>
    </row>
    <row r="2634" spans="1:3" x14ac:dyDescent="0.3">
      <c r="A2634" s="1" t="s">
        <v>509</v>
      </c>
      <c r="B2634" t="s">
        <v>131</v>
      </c>
      <c r="C2634" s="1">
        <v>6.7859509999999998</v>
      </c>
    </row>
    <row r="2635" spans="1:3" x14ac:dyDescent="0.3">
      <c r="A2635" s="1" t="s">
        <v>509</v>
      </c>
      <c r="B2635" t="s">
        <v>132</v>
      </c>
      <c r="C2635" s="1">
        <v>7.2315300000000002</v>
      </c>
    </row>
    <row r="2636" spans="1:3" x14ac:dyDescent="0.3">
      <c r="A2636" s="1" t="s">
        <v>509</v>
      </c>
      <c r="B2636" t="s">
        <v>133</v>
      </c>
      <c r="C2636" s="1">
        <v>7.3301420000000004</v>
      </c>
    </row>
    <row r="2637" spans="1:3" x14ac:dyDescent="0.3">
      <c r="A2637" s="1" t="s">
        <v>509</v>
      </c>
      <c r="B2637" t="s">
        <v>134</v>
      </c>
      <c r="C2637" s="1">
        <v>7.3420120000000004</v>
      </c>
    </row>
    <row r="2638" spans="1:3" x14ac:dyDescent="0.3">
      <c r="A2638" s="1" t="s">
        <v>509</v>
      </c>
      <c r="B2638" t="s">
        <v>135</v>
      </c>
      <c r="C2638" s="1">
        <v>7.3967960000000001</v>
      </c>
    </row>
    <row r="2639" spans="1:3" x14ac:dyDescent="0.3">
      <c r="A2639" s="1" t="s">
        <v>509</v>
      </c>
      <c r="B2639" t="s">
        <v>136</v>
      </c>
      <c r="C2639" s="1">
        <v>7.4451890000000001</v>
      </c>
    </row>
    <row r="2640" spans="1:3" x14ac:dyDescent="0.3">
      <c r="A2640" s="1" t="s">
        <v>509</v>
      </c>
      <c r="B2640" t="s">
        <v>137</v>
      </c>
      <c r="C2640" s="1">
        <v>7.421449</v>
      </c>
    </row>
    <row r="2641" spans="1:3" x14ac:dyDescent="0.3">
      <c r="A2641" s="1" t="s">
        <v>509</v>
      </c>
      <c r="B2641" t="s">
        <v>138</v>
      </c>
      <c r="C2641" s="1">
        <v>7.4278409999999999</v>
      </c>
    </row>
    <row r="2642" spans="1:3" x14ac:dyDescent="0.3">
      <c r="A2642" s="1" t="s">
        <v>509</v>
      </c>
      <c r="B2642" t="s">
        <v>139</v>
      </c>
      <c r="C2642" s="1">
        <v>7.4433629999999997</v>
      </c>
    </row>
    <row r="2643" spans="1:3" x14ac:dyDescent="0.3">
      <c r="A2643" s="1" t="s">
        <v>509</v>
      </c>
      <c r="B2643" t="s">
        <v>140</v>
      </c>
      <c r="C2643" s="1">
        <v>7.3191850000000001</v>
      </c>
    </row>
    <row r="2644" spans="1:3" x14ac:dyDescent="0.3">
      <c r="A2644" s="1" t="s">
        <v>509</v>
      </c>
      <c r="B2644" t="s">
        <v>141</v>
      </c>
      <c r="C2644" s="1">
        <v>7.3995350000000002</v>
      </c>
    </row>
    <row r="2645" spans="1:3" x14ac:dyDescent="0.3">
      <c r="A2645" s="1" t="s">
        <v>509</v>
      </c>
      <c r="B2645" t="s">
        <v>142</v>
      </c>
      <c r="C2645" s="1">
        <v>7.4278409999999999</v>
      </c>
    </row>
    <row r="2646" spans="1:3" x14ac:dyDescent="0.3">
      <c r="A2646" s="1" t="s">
        <v>509</v>
      </c>
      <c r="B2646" t="s">
        <v>143</v>
      </c>
      <c r="C2646" s="1">
        <v>7.4041009999999998</v>
      </c>
    </row>
    <row r="2647" spans="1:3" x14ac:dyDescent="0.3">
      <c r="A2647" s="1" t="s">
        <v>509</v>
      </c>
      <c r="B2647" t="s">
        <v>144</v>
      </c>
      <c r="C2647" s="1">
        <v>7.1886150000000004</v>
      </c>
    </row>
    <row r="2648" spans="1:3" x14ac:dyDescent="0.3">
      <c r="A2648" s="1" t="s">
        <v>509</v>
      </c>
      <c r="B2648" t="s">
        <v>145</v>
      </c>
      <c r="C2648" s="1">
        <v>7.0160450000000001</v>
      </c>
    </row>
    <row r="2649" spans="1:3" x14ac:dyDescent="0.3">
      <c r="A2649" s="1" t="s">
        <v>509</v>
      </c>
      <c r="B2649" t="s">
        <v>146</v>
      </c>
      <c r="C2649" s="1">
        <v>6.959435</v>
      </c>
    </row>
    <row r="2650" spans="1:3" x14ac:dyDescent="0.3">
      <c r="A2650" s="1" t="s">
        <v>509</v>
      </c>
      <c r="B2650" t="s">
        <v>147</v>
      </c>
      <c r="C2650" s="1">
        <v>6.6845999999999997</v>
      </c>
    </row>
    <row r="2651" spans="1:3" x14ac:dyDescent="0.3">
      <c r="A2651" s="1" t="s">
        <v>509</v>
      </c>
      <c r="B2651" t="s">
        <v>148</v>
      </c>
      <c r="C2651" s="1">
        <v>6.4828099999999997</v>
      </c>
    </row>
    <row r="2652" spans="1:3" x14ac:dyDescent="0.3">
      <c r="A2652" s="1" t="s">
        <v>509</v>
      </c>
      <c r="B2652" t="s">
        <v>149</v>
      </c>
      <c r="C2652" s="1">
        <v>6.5595090000000003</v>
      </c>
    </row>
    <row r="2653" spans="1:3" x14ac:dyDescent="0.3">
      <c r="A2653" s="1" t="s">
        <v>509</v>
      </c>
      <c r="B2653" t="s">
        <v>150</v>
      </c>
      <c r="C2653" s="1">
        <v>6.5741180000000004</v>
      </c>
    </row>
    <row r="2654" spans="1:3" x14ac:dyDescent="0.3">
      <c r="A2654" s="1" t="s">
        <v>509</v>
      </c>
      <c r="B2654" t="s">
        <v>151</v>
      </c>
      <c r="C2654" s="1">
        <v>6.5549439999999999</v>
      </c>
    </row>
    <row r="2655" spans="1:3" x14ac:dyDescent="0.3">
      <c r="A2655" s="1" t="s">
        <v>509</v>
      </c>
      <c r="B2655" t="s">
        <v>152</v>
      </c>
      <c r="C2655" s="1">
        <v>6.515682</v>
      </c>
    </row>
    <row r="2656" spans="1:3" x14ac:dyDescent="0.3">
      <c r="A2656" s="1" t="s">
        <v>509</v>
      </c>
      <c r="B2656" t="s">
        <v>153</v>
      </c>
      <c r="C2656" s="1">
        <v>6.2499779999999996</v>
      </c>
    </row>
    <row r="2657" spans="1:3" x14ac:dyDescent="0.3">
      <c r="A2657" s="1" t="s">
        <v>509</v>
      </c>
      <c r="B2657" t="s">
        <v>154</v>
      </c>
      <c r="C2657" s="1">
        <v>5.5697390000000002</v>
      </c>
    </row>
    <row r="2658" spans="1:3" x14ac:dyDescent="0.3">
      <c r="A2658" s="1" t="s">
        <v>509</v>
      </c>
      <c r="B2658" t="s">
        <v>155</v>
      </c>
      <c r="C2658" s="1">
        <v>5.48665</v>
      </c>
    </row>
    <row r="2659" spans="1:3" x14ac:dyDescent="0.3">
      <c r="A2659" s="1" t="s">
        <v>509</v>
      </c>
      <c r="B2659" t="s">
        <v>156</v>
      </c>
      <c r="C2659" s="1">
        <v>5.4145159999999999</v>
      </c>
    </row>
    <row r="2660" spans="1:3" x14ac:dyDescent="0.3">
      <c r="A2660" s="1" t="s">
        <v>509</v>
      </c>
      <c r="B2660" t="s">
        <v>157</v>
      </c>
      <c r="C2660" s="1">
        <v>4.6603190000000003</v>
      </c>
    </row>
    <row r="2661" spans="1:3" x14ac:dyDescent="0.3">
      <c r="A2661" s="1" t="s">
        <v>509</v>
      </c>
      <c r="B2661" t="s">
        <v>158</v>
      </c>
      <c r="C2661" s="1">
        <v>4.5781429999999999</v>
      </c>
    </row>
    <row r="2662" spans="1:3" x14ac:dyDescent="0.3">
      <c r="A2662" s="1" t="s">
        <v>509</v>
      </c>
      <c r="B2662" t="s">
        <v>159</v>
      </c>
      <c r="C2662" s="1">
        <v>4.2316320000000003</v>
      </c>
    </row>
    <row r="2663" spans="1:3" x14ac:dyDescent="0.3">
      <c r="A2663" s="1" t="s">
        <v>509</v>
      </c>
      <c r="B2663" t="s">
        <v>160</v>
      </c>
      <c r="C2663" s="1">
        <v>4.3005690000000003</v>
      </c>
    </row>
    <row r="2664" spans="1:3" x14ac:dyDescent="0.3">
      <c r="A2664" s="1" t="s">
        <v>509</v>
      </c>
      <c r="B2664" t="s">
        <v>161</v>
      </c>
      <c r="C2664" s="1">
        <v>4.2352850000000002</v>
      </c>
    </row>
    <row r="2665" spans="1:3" x14ac:dyDescent="0.3">
      <c r="A2665" s="1" t="s">
        <v>509</v>
      </c>
      <c r="B2665" t="s">
        <v>162</v>
      </c>
      <c r="C2665" s="1">
        <v>4.4909439999999998</v>
      </c>
    </row>
    <row r="2666" spans="1:3" x14ac:dyDescent="0.3">
      <c r="A2666" s="1" t="s">
        <v>509</v>
      </c>
      <c r="B2666" t="s">
        <v>163</v>
      </c>
      <c r="C2666" s="1">
        <v>4.4859229999999997</v>
      </c>
    </row>
    <row r="2667" spans="1:3" x14ac:dyDescent="0.3">
      <c r="A2667" s="1" t="s">
        <v>509</v>
      </c>
      <c r="B2667" t="s">
        <v>164</v>
      </c>
      <c r="C2667" s="1">
        <v>4.1544780000000001</v>
      </c>
    </row>
    <row r="2668" spans="1:3" x14ac:dyDescent="0.3">
      <c r="A2668" s="1" t="s">
        <v>509</v>
      </c>
      <c r="B2668" t="s">
        <v>165</v>
      </c>
      <c r="C2668" s="1">
        <v>4.4283989999999998</v>
      </c>
    </row>
    <row r="2669" spans="1:3" x14ac:dyDescent="0.3">
      <c r="A2669" s="1" t="s">
        <v>509</v>
      </c>
      <c r="B2669" t="s">
        <v>166</v>
      </c>
      <c r="C2669" s="1">
        <v>4.6648849999999999</v>
      </c>
    </row>
    <row r="2670" spans="1:3" x14ac:dyDescent="0.3">
      <c r="A2670" s="1" t="s">
        <v>509</v>
      </c>
      <c r="B2670" t="s">
        <v>167</v>
      </c>
      <c r="C2670" s="1">
        <v>5.1176029999999999</v>
      </c>
    </row>
    <row r="2671" spans="1:3" x14ac:dyDescent="0.3">
      <c r="A2671" s="1" t="s">
        <v>509</v>
      </c>
      <c r="B2671" t="s">
        <v>168</v>
      </c>
      <c r="C2671" s="1">
        <v>5.0016990000000003</v>
      </c>
    </row>
    <row r="2672" spans="1:3" x14ac:dyDescent="0.3">
      <c r="A2672" s="1" t="s">
        <v>509</v>
      </c>
      <c r="B2672" t="s">
        <v>169</v>
      </c>
      <c r="C2672" s="1">
        <v>4.8719270000000003</v>
      </c>
    </row>
    <row r="2673" spans="1:3" x14ac:dyDescent="0.3">
      <c r="A2673" s="1" t="s">
        <v>509</v>
      </c>
      <c r="B2673" t="s">
        <v>170</v>
      </c>
      <c r="C2673" s="1">
        <v>5.0849120000000001</v>
      </c>
    </row>
    <row r="2674" spans="1:3" x14ac:dyDescent="0.3">
      <c r="A2674" s="1" t="s">
        <v>509</v>
      </c>
      <c r="B2674" t="s">
        <v>171</v>
      </c>
      <c r="C2674" s="1">
        <v>4.925421</v>
      </c>
    </row>
    <row r="2675" spans="1:3" x14ac:dyDescent="0.3">
      <c r="A2675" s="1" t="s">
        <v>509</v>
      </c>
      <c r="B2675" t="s">
        <v>172</v>
      </c>
      <c r="C2675" s="1">
        <v>4.8585529999999997</v>
      </c>
    </row>
    <row r="2676" spans="1:3" x14ac:dyDescent="0.3">
      <c r="A2676" s="1" t="s">
        <v>509</v>
      </c>
      <c r="B2676" t="s">
        <v>173</v>
      </c>
      <c r="C2676" s="1">
        <v>4.8342830000000001</v>
      </c>
    </row>
    <row r="2677" spans="1:3" x14ac:dyDescent="0.3">
      <c r="A2677" s="1" t="s">
        <v>509</v>
      </c>
      <c r="B2677" t="s">
        <v>174</v>
      </c>
      <c r="C2677" s="1">
        <v>4.9571209999999999</v>
      </c>
    </row>
    <row r="2678" spans="1:3" x14ac:dyDescent="0.3">
      <c r="A2678" s="1" t="s">
        <v>509</v>
      </c>
      <c r="B2678" t="s">
        <v>175</v>
      </c>
      <c r="C2678" s="1">
        <v>5.2265730000000001</v>
      </c>
    </row>
    <row r="2679" spans="1:3" x14ac:dyDescent="0.3">
      <c r="A2679" s="1" t="s">
        <v>509</v>
      </c>
      <c r="B2679" t="s">
        <v>176</v>
      </c>
      <c r="C2679" s="1">
        <v>5.1304809999999996</v>
      </c>
    </row>
    <row r="2680" spans="1:3" x14ac:dyDescent="0.3">
      <c r="A2680" s="1" t="s">
        <v>509</v>
      </c>
      <c r="B2680" t="s">
        <v>177</v>
      </c>
      <c r="C2680" s="1">
        <v>5.1542570000000003</v>
      </c>
    </row>
    <row r="2681" spans="1:3" x14ac:dyDescent="0.3">
      <c r="A2681" s="1" t="s">
        <v>509</v>
      </c>
      <c r="B2681" t="s">
        <v>178</v>
      </c>
      <c r="C2681" s="1">
        <v>5.2661980000000002</v>
      </c>
    </row>
    <row r="2682" spans="1:3" x14ac:dyDescent="0.3">
      <c r="A2682" s="1" t="s">
        <v>509</v>
      </c>
      <c r="B2682" t="s">
        <v>179</v>
      </c>
      <c r="C2682" s="1">
        <v>4.9561299999999999</v>
      </c>
    </row>
    <row r="2683" spans="1:3" x14ac:dyDescent="0.3">
      <c r="A2683" s="1" t="s">
        <v>509</v>
      </c>
      <c r="B2683" t="s">
        <v>180</v>
      </c>
      <c r="C2683" s="1">
        <v>4.7857419999999999</v>
      </c>
    </row>
    <row r="2684" spans="1:3" x14ac:dyDescent="0.3">
      <c r="A2684" s="1" t="s">
        <v>509</v>
      </c>
      <c r="B2684" t="s">
        <v>181</v>
      </c>
      <c r="C2684" s="1">
        <v>5.0482589999999998</v>
      </c>
    </row>
    <row r="2685" spans="1:3" x14ac:dyDescent="0.3">
      <c r="A2685" s="1" t="s">
        <v>509</v>
      </c>
      <c r="B2685" t="s">
        <v>182</v>
      </c>
      <c r="C2685" s="1">
        <v>5.0452870000000001</v>
      </c>
    </row>
    <row r="2686" spans="1:3" x14ac:dyDescent="0.3">
      <c r="A2686" s="1" t="s">
        <v>509</v>
      </c>
      <c r="B2686" t="s">
        <v>183</v>
      </c>
      <c r="C2686" s="1">
        <v>4.8015920000000003</v>
      </c>
    </row>
    <row r="2687" spans="1:3" x14ac:dyDescent="0.3">
      <c r="A2687" s="1" t="s">
        <v>509</v>
      </c>
      <c r="B2687" t="s">
        <v>184</v>
      </c>
      <c r="C2687" s="1">
        <v>4.9699989999999996</v>
      </c>
    </row>
    <row r="2688" spans="1:3" x14ac:dyDescent="0.3">
      <c r="A2688" s="1" t="s">
        <v>509</v>
      </c>
      <c r="B2688" t="s">
        <v>185</v>
      </c>
      <c r="C2688" s="1">
        <v>5.1572279999999999</v>
      </c>
    </row>
    <row r="2689" spans="1:3" x14ac:dyDescent="0.3">
      <c r="A2689" s="1" t="s">
        <v>509</v>
      </c>
      <c r="B2689" t="s">
        <v>186</v>
      </c>
      <c r="C2689" s="1">
        <v>5.0334000000000003</v>
      </c>
    </row>
    <row r="2690" spans="1:3" x14ac:dyDescent="0.3">
      <c r="A2690" s="1" t="s">
        <v>509</v>
      </c>
      <c r="B2690" t="s">
        <v>187</v>
      </c>
      <c r="C2690" s="1">
        <v>5.1116599999999996</v>
      </c>
    </row>
    <row r="2691" spans="1:3" x14ac:dyDescent="0.3">
      <c r="A2691" s="1" t="s">
        <v>509</v>
      </c>
      <c r="B2691" t="s">
        <v>188</v>
      </c>
      <c r="C2691" s="1">
        <v>5.450456</v>
      </c>
    </row>
    <row r="2692" spans="1:3" x14ac:dyDescent="0.3">
      <c r="A2692" s="1" t="s">
        <v>509</v>
      </c>
      <c r="B2692" t="s">
        <v>189</v>
      </c>
      <c r="C2692" s="1">
        <v>5.9338839999999999</v>
      </c>
    </row>
    <row r="2693" spans="1:3" x14ac:dyDescent="0.3">
      <c r="A2693" s="1" t="s">
        <v>509</v>
      </c>
      <c r="B2693" t="s">
        <v>190</v>
      </c>
      <c r="C2693" s="1">
        <v>5.7922229999999999</v>
      </c>
    </row>
    <row r="2694" spans="1:3" x14ac:dyDescent="0.3">
      <c r="A2694" s="1" t="s">
        <v>509</v>
      </c>
      <c r="B2694" t="s">
        <v>191</v>
      </c>
      <c r="C2694" s="1">
        <v>5.4068680000000002</v>
      </c>
    </row>
    <row r="2695" spans="1:3" x14ac:dyDescent="0.3">
      <c r="A2695" s="1" t="s">
        <v>509</v>
      </c>
      <c r="B2695" t="s">
        <v>192</v>
      </c>
      <c r="C2695" s="1">
        <v>5.5693320000000002</v>
      </c>
    </row>
    <row r="2696" spans="1:3" x14ac:dyDescent="0.3">
      <c r="A2696" s="1" t="s">
        <v>509</v>
      </c>
      <c r="B2696" t="s">
        <v>193</v>
      </c>
      <c r="C2696" s="1">
        <v>5.4524369999999998</v>
      </c>
    </row>
    <row r="2697" spans="1:3" x14ac:dyDescent="0.3">
      <c r="A2697" s="1" t="s">
        <v>509</v>
      </c>
      <c r="B2697" t="s">
        <v>194</v>
      </c>
      <c r="C2697" s="1">
        <v>5.5554620000000003</v>
      </c>
    </row>
    <row r="2698" spans="1:3" x14ac:dyDescent="0.3">
      <c r="A2698" s="1" t="s">
        <v>509</v>
      </c>
      <c r="B2698" t="s">
        <v>195</v>
      </c>
      <c r="C2698" s="1">
        <v>5.570322</v>
      </c>
    </row>
    <row r="2699" spans="1:3" x14ac:dyDescent="0.3">
      <c r="A2699" s="1" t="s">
        <v>509</v>
      </c>
      <c r="B2699" t="s">
        <v>196</v>
      </c>
      <c r="C2699" s="1">
        <v>5.4791840000000001</v>
      </c>
    </row>
    <row r="2700" spans="1:3" x14ac:dyDescent="0.3">
      <c r="A2700" s="1" t="s">
        <v>509</v>
      </c>
      <c r="B2700" t="s">
        <v>197</v>
      </c>
      <c r="C2700" s="1">
        <v>5.5425839999999997</v>
      </c>
    </row>
    <row r="2701" spans="1:3" x14ac:dyDescent="0.3">
      <c r="A2701" s="1" t="s">
        <v>509</v>
      </c>
      <c r="B2701" t="s">
        <v>198</v>
      </c>
      <c r="C2701" s="1">
        <v>5.2770950000000001</v>
      </c>
    </row>
    <row r="2702" spans="1:3" x14ac:dyDescent="0.3">
      <c r="A2702" s="1" t="s">
        <v>509</v>
      </c>
      <c r="B2702" t="s">
        <v>199</v>
      </c>
      <c r="C2702" s="1">
        <v>5.1611909999999996</v>
      </c>
    </row>
    <row r="2703" spans="1:3" x14ac:dyDescent="0.3">
      <c r="A2703" s="1" t="s">
        <v>509</v>
      </c>
      <c r="B2703" t="s">
        <v>200</v>
      </c>
      <c r="C2703" s="1">
        <v>5.147322</v>
      </c>
    </row>
    <row r="2704" spans="1:3" x14ac:dyDescent="0.3">
      <c r="A2704" s="1" t="s">
        <v>509</v>
      </c>
      <c r="B2704" t="s">
        <v>201</v>
      </c>
      <c r="C2704" s="1">
        <v>5.4791840000000001</v>
      </c>
    </row>
    <row r="2705" spans="1:3" x14ac:dyDescent="0.3">
      <c r="A2705" s="1" t="s">
        <v>509</v>
      </c>
      <c r="B2705" t="s">
        <v>202</v>
      </c>
      <c r="C2705" s="1">
        <v>5.4742309999999996</v>
      </c>
    </row>
    <row r="2706" spans="1:3" x14ac:dyDescent="0.3">
      <c r="A2706" s="1" t="s">
        <v>509</v>
      </c>
      <c r="B2706" t="s">
        <v>203</v>
      </c>
      <c r="C2706" s="1">
        <v>5.571313</v>
      </c>
    </row>
    <row r="2707" spans="1:3" x14ac:dyDescent="0.3">
      <c r="A2707" s="1" t="s">
        <v>509</v>
      </c>
      <c r="B2707" t="s">
        <v>204</v>
      </c>
      <c r="C2707" s="1">
        <v>5.4643240000000004</v>
      </c>
    </row>
    <row r="2708" spans="1:3" x14ac:dyDescent="0.3">
      <c r="A2708" s="1" t="s">
        <v>509</v>
      </c>
      <c r="B2708" t="s">
        <v>205</v>
      </c>
      <c r="C2708" s="1">
        <v>5.5356500000000004</v>
      </c>
    </row>
    <row r="2709" spans="1:3" x14ac:dyDescent="0.3">
      <c r="A2709" s="1" t="s">
        <v>509</v>
      </c>
      <c r="B2709" t="s">
        <v>206</v>
      </c>
      <c r="C2709" s="1">
        <v>5.8249139999999997</v>
      </c>
    </row>
    <row r="2710" spans="1:3" x14ac:dyDescent="0.3">
      <c r="A2710" s="1" t="s">
        <v>509</v>
      </c>
      <c r="B2710" t="s">
        <v>207</v>
      </c>
      <c r="C2710" s="1">
        <v>6.0785159999999996</v>
      </c>
    </row>
    <row r="2711" spans="1:3" x14ac:dyDescent="0.3">
      <c r="A2711" s="1" t="s">
        <v>509</v>
      </c>
      <c r="B2711" t="s">
        <v>208</v>
      </c>
      <c r="C2711" s="1">
        <v>6.1538040000000001</v>
      </c>
    </row>
    <row r="2712" spans="1:3" x14ac:dyDescent="0.3">
      <c r="A2712" s="1" t="s">
        <v>509</v>
      </c>
      <c r="B2712" t="s">
        <v>209</v>
      </c>
      <c r="C2712" s="1">
        <v>6.0240309999999999</v>
      </c>
    </row>
    <row r="2713" spans="1:3" x14ac:dyDescent="0.3">
      <c r="A2713" s="1" t="s">
        <v>509</v>
      </c>
      <c r="B2713" t="s">
        <v>210</v>
      </c>
      <c r="C2713" s="1">
        <v>6.1597479999999996</v>
      </c>
    </row>
    <row r="2714" spans="1:3" x14ac:dyDescent="0.3">
      <c r="A2714" s="1" t="s">
        <v>509</v>
      </c>
      <c r="B2714" t="s">
        <v>211</v>
      </c>
      <c r="C2714" s="1">
        <v>6.3578739999999998</v>
      </c>
    </row>
    <row r="2715" spans="1:3" x14ac:dyDescent="0.3">
      <c r="A2715" s="1" t="s">
        <v>509</v>
      </c>
      <c r="B2715" t="s">
        <v>212</v>
      </c>
      <c r="C2715" s="1">
        <v>6.6293069999999998</v>
      </c>
    </row>
    <row r="2716" spans="1:3" x14ac:dyDescent="0.3">
      <c r="A2716" s="1" t="s">
        <v>509</v>
      </c>
      <c r="B2716" t="s">
        <v>213</v>
      </c>
      <c r="C2716" s="1">
        <v>6.6392139999999999</v>
      </c>
    </row>
    <row r="2717" spans="1:3" x14ac:dyDescent="0.3">
      <c r="A2717" s="1" t="s">
        <v>509</v>
      </c>
      <c r="B2717" t="s">
        <v>214</v>
      </c>
      <c r="C2717" s="1">
        <v>6.7610609999999998</v>
      </c>
    </row>
    <row r="2718" spans="1:3" x14ac:dyDescent="0.3">
      <c r="A2718" s="1" t="s">
        <v>509</v>
      </c>
      <c r="B2718" t="s">
        <v>215</v>
      </c>
      <c r="C2718" s="1">
        <v>6.8908339999999999</v>
      </c>
    </row>
    <row r="2719" spans="1:3" x14ac:dyDescent="0.3">
      <c r="A2719" s="1" t="s">
        <v>509</v>
      </c>
      <c r="B2719" t="s">
        <v>216</v>
      </c>
      <c r="C2719" s="1">
        <v>6.7779020000000001</v>
      </c>
    </row>
    <row r="2720" spans="1:3" x14ac:dyDescent="0.3">
      <c r="A2720" s="1" t="s">
        <v>509</v>
      </c>
      <c r="B2720" t="s">
        <v>217</v>
      </c>
      <c r="C2720" s="1">
        <v>6.748183</v>
      </c>
    </row>
    <row r="2721" spans="1:3" x14ac:dyDescent="0.3">
      <c r="A2721" s="1" t="s">
        <v>509</v>
      </c>
      <c r="B2721" t="s">
        <v>218</v>
      </c>
      <c r="C2721" s="1">
        <v>6.3519310000000004</v>
      </c>
    </row>
    <row r="2722" spans="1:3" x14ac:dyDescent="0.3">
      <c r="A2722" s="1" t="s">
        <v>509</v>
      </c>
      <c r="B2722" t="s">
        <v>219</v>
      </c>
      <c r="C2722" s="1">
        <v>6.3816490000000003</v>
      </c>
    </row>
    <row r="2723" spans="1:3" x14ac:dyDescent="0.3">
      <c r="A2723" s="1" t="s">
        <v>509</v>
      </c>
      <c r="B2723" t="s">
        <v>220</v>
      </c>
      <c r="C2723" s="1">
        <v>6.2627740000000003</v>
      </c>
    </row>
    <row r="2724" spans="1:3" x14ac:dyDescent="0.3">
      <c r="A2724" s="1" t="s">
        <v>509</v>
      </c>
      <c r="B2724" t="s">
        <v>221</v>
      </c>
      <c r="C2724" s="1">
        <v>6.4301909999999998</v>
      </c>
    </row>
    <row r="2725" spans="1:3" x14ac:dyDescent="0.3">
      <c r="A2725" s="1" t="s">
        <v>509</v>
      </c>
      <c r="B2725" t="s">
        <v>222</v>
      </c>
      <c r="C2725" s="1">
        <v>6.3628270000000002</v>
      </c>
    </row>
    <row r="2726" spans="1:3" x14ac:dyDescent="0.3">
      <c r="A2726" s="1" t="s">
        <v>509</v>
      </c>
      <c r="B2726" t="s">
        <v>223</v>
      </c>
      <c r="C2726" s="1">
        <v>6.2617830000000003</v>
      </c>
    </row>
    <row r="2727" spans="1:3" x14ac:dyDescent="0.3">
      <c r="A2727" s="1" t="s">
        <v>509</v>
      </c>
      <c r="B2727" t="s">
        <v>224</v>
      </c>
      <c r="C2727" s="1">
        <v>6.1755979999999999</v>
      </c>
    </row>
    <row r="2728" spans="1:3" x14ac:dyDescent="0.3">
      <c r="A2728" s="1" t="s">
        <v>509</v>
      </c>
      <c r="B2728" t="s">
        <v>225</v>
      </c>
      <c r="C2728" s="1">
        <v>6.355893</v>
      </c>
    </row>
    <row r="2729" spans="1:3" x14ac:dyDescent="0.3">
      <c r="A2729" s="1" t="s">
        <v>509</v>
      </c>
      <c r="B2729" t="s">
        <v>226</v>
      </c>
      <c r="C2729" s="1">
        <v>6.1260659999999998</v>
      </c>
    </row>
    <row r="2730" spans="1:3" x14ac:dyDescent="0.3">
      <c r="A2730" s="1" t="s">
        <v>509</v>
      </c>
      <c r="B2730" t="s">
        <v>227</v>
      </c>
      <c r="C2730" s="1">
        <v>6.2102700000000004</v>
      </c>
    </row>
    <row r="2731" spans="1:3" x14ac:dyDescent="0.3">
      <c r="A2731" s="1" t="s">
        <v>509</v>
      </c>
      <c r="B2731" t="s">
        <v>228</v>
      </c>
      <c r="C2731" s="1">
        <v>6.0279939999999996</v>
      </c>
    </row>
    <row r="2732" spans="1:3" x14ac:dyDescent="0.3">
      <c r="A2732" s="1" t="s">
        <v>509</v>
      </c>
      <c r="B2732" t="s">
        <v>229</v>
      </c>
      <c r="C2732" s="1">
        <v>6.1627200000000002</v>
      </c>
    </row>
    <row r="2733" spans="1:3" x14ac:dyDescent="0.3">
      <c r="A2733" s="1" t="s">
        <v>509</v>
      </c>
      <c r="B2733" t="s">
        <v>230</v>
      </c>
      <c r="C2733" s="1">
        <v>6.0904040000000004</v>
      </c>
    </row>
    <row r="2734" spans="1:3" x14ac:dyDescent="0.3">
      <c r="A2734" s="1" t="s">
        <v>509</v>
      </c>
      <c r="B2734" t="s">
        <v>231</v>
      </c>
      <c r="C2734" s="1">
        <v>6.1092250000000003</v>
      </c>
    </row>
    <row r="2735" spans="1:3" x14ac:dyDescent="0.3">
      <c r="A2735" s="1" t="s">
        <v>509</v>
      </c>
      <c r="B2735" t="s">
        <v>232</v>
      </c>
      <c r="C2735" s="1">
        <v>6.2201760000000004</v>
      </c>
    </row>
    <row r="2736" spans="1:3" x14ac:dyDescent="0.3">
      <c r="A2736" s="1" t="s">
        <v>509</v>
      </c>
      <c r="B2736" t="s">
        <v>233</v>
      </c>
      <c r="C2736" s="1">
        <v>6.1518230000000003</v>
      </c>
    </row>
    <row r="2737" spans="1:3" x14ac:dyDescent="0.3">
      <c r="A2737" s="1" t="s">
        <v>509</v>
      </c>
      <c r="B2737" t="s">
        <v>234</v>
      </c>
      <c r="C2737" s="1">
        <v>6.3529210000000003</v>
      </c>
    </row>
    <row r="2738" spans="1:3" x14ac:dyDescent="0.3">
      <c r="A2738" s="1" t="s">
        <v>509</v>
      </c>
      <c r="B2738" t="s">
        <v>235</v>
      </c>
      <c r="C2738" s="1">
        <v>6.3430150000000003</v>
      </c>
    </row>
    <row r="2739" spans="1:3" x14ac:dyDescent="0.3">
      <c r="A2739" s="1" t="s">
        <v>509</v>
      </c>
      <c r="B2739" t="s">
        <v>236</v>
      </c>
      <c r="C2739" s="1">
        <v>6.2905110000000004</v>
      </c>
    </row>
    <row r="2740" spans="1:3" x14ac:dyDescent="0.3">
      <c r="A2740" s="1" t="s">
        <v>509</v>
      </c>
      <c r="B2740" t="s">
        <v>237</v>
      </c>
      <c r="C2740" s="1">
        <v>6.1676729999999997</v>
      </c>
    </row>
    <row r="2741" spans="1:3" x14ac:dyDescent="0.3">
      <c r="A2741" s="1" t="s">
        <v>509</v>
      </c>
      <c r="B2741" t="s">
        <v>238</v>
      </c>
      <c r="C2741" s="1">
        <v>6.2657449999999999</v>
      </c>
    </row>
    <row r="2742" spans="1:3" x14ac:dyDescent="0.3">
      <c r="A2742" s="1" t="s">
        <v>509</v>
      </c>
      <c r="B2742" t="s">
        <v>239</v>
      </c>
      <c r="C2742" s="1">
        <v>6.447031</v>
      </c>
    </row>
    <row r="2743" spans="1:3" x14ac:dyDescent="0.3">
      <c r="A2743" s="1" t="s">
        <v>509</v>
      </c>
      <c r="B2743" t="s">
        <v>240</v>
      </c>
      <c r="C2743" s="1">
        <v>6.5381689999999999</v>
      </c>
    </row>
    <row r="2744" spans="1:3" x14ac:dyDescent="0.3">
      <c r="A2744" s="1" t="s">
        <v>509</v>
      </c>
      <c r="B2744" t="s">
        <v>241</v>
      </c>
      <c r="C2744" s="1">
        <v>6.548076</v>
      </c>
    </row>
    <row r="2745" spans="1:3" x14ac:dyDescent="0.3">
      <c r="A2745" s="1" t="s">
        <v>509</v>
      </c>
      <c r="B2745" t="s">
        <v>242</v>
      </c>
      <c r="C2745" s="1">
        <v>6.5857190000000001</v>
      </c>
    </row>
    <row r="2746" spans="1:3" x14ac:dyDescent="0.3">
      <c r="A2746" s="1" t="s">
        <v>509</v>
      </c>
      <c r="B2746" t="s">
        <v>243</v>
      </c>
      <c r="C2746" s="1">
        <v>6.6639799999999996</v>
      </c>
    </row>
    <row r="2747" spans="1:3" x14ac:dyDescent="0.3">
      <c r="A2747" s="1" t="s">
        <v>509</v>
      </c>
      <c r="B2747" t="s">
        <v>244</v>
      </c>
      <c r="C2747" s="1">
        <v>6.7263890000000002</v>
      </c>
    </row>
    <row r="2748" spans="1:3" x14ac:dyDescent="0.3">
      <c r="A2748" s="1" t="s">
        <v>509</v>
      </c>
      <c r="B2748" t="s">
        <v>245</v>
      </c>
      <c r="C2748" s="1">
        <v>6.8759750000000004</v>
      </c>
    </row>
    <row r="2749" spans="1:3" x14ac:dyDescent="0.3">
      <c r="A2749" s="1" t="s">
        <v>509</v>
      </c>
      <c r="B2749" t="s">
        <v>246</v>
      </c>
      <c r="C2749" s="1">
        <v>6.9354120000000004</v>
      </c>
    </row>
    <row r="2750" spans="1:3" x14ac:dyDescent="0.3">
      <c r="A2750" s="1" t="s">
        <v>509</v>
      </c>
      <c r="B2750" t="s">
        <v>247</v>
      </c>
      <c r="C2750" s="1">
        <v>6.8957870000000003</v>
      </c>
    </row>
    <row r="2751" spans="1:3" x14ac:dyDescent="0.3">
      <c r="A2751" s="1" t="s">
        <v>509</v>
      </c>
      <c r="B2751" t="s">
        <v>248</v>
      </c>
      <c r="C2751" s="1">
        <v>6.8313959999999998</v>
      </c>
    </row>
    <row r="2752" spans="1:3" x14ac:dyDescent="0.3">
      <c r="A2752" s="1" t="s">
        <v>509</v>
      </c>
      <c r="B2752" t="s">
        <v>249</v>
      </c>
      <c r="C2752" s="1">
        <v>6.7343140000000004</v>
      </c>
    </row>
    <row r="2753" spans="1:3" x14ac:dyDescent="0.3">
      <c r="A2753" s="1" t="s">
        <v>509</v>
      </c>
      <c r="B2753" t="s">
        <v>250</v>
      </c>
      <c r="C2753" s="1">
        <v>6.7372860000000001</v>
      </c>
    </row>
    <row r="2754" spans="1:3" x14ac:dyDescent="0.3">
      <c r="A2754" s="1" t="s">
        <v>509</v>
      </c>
      <c r="B2754" t="s">
        <v>251</v>
      </c>
      <c r="C2754" s="1">
        <v>6.7788930000000001</v>
      </c>
    </row>
    <row r="2755" spans="1:3" x14ac:dyDescent="0.3">
      <c r="A2755" s="1" t="s">
        <v>509</v>
      </c>
      <c r="B2755" t="s">
        <v>252</v>
      </c>
      <c r="C2755" s="1">
        <v>6.5520379999999996</v>
      </c>
    </row>
    <row r="2756" spans="1:3" x14ac:dyDescent="0.3">
      <c r="A2756" s="1" t="s">
        <v>509</v>
      </c>
      <c r="B2756" t="s">
        <v>253</v>
      </c>
      <c r="C2756" s="1">
        <v>6.5044880000000003</v>
      </c>
    </row>
    <row r="2757" spans="1:3" x14ac:dyDescent="0.3">
      <c r="A2757" s="1" t="s">
        <v>509</v>
      </c>
      <c r="B2757" t="s">
        <v>254</v>
      </c>
      <c r="C2757" s="1">
        <v>6.6312889999999998</v>
      </c>
    </row>
    <row r="2758" spans="1:3" x14ac:dyDescent="0.3">
      <c r="A2758" s="1" t="s">
        <v>509</v>
      </c>
      <c r="B2758" t="s">
        <v>255</v>
      </c>
      <c r="C2758" s="1">
        <v>6.6441660000000002</v>
      </c>
    </row>
    <row r="2759" spans="1:3" x14ac:dyDescent="0.3">
      <c r="A2759" s="1" t="s">
        <v>509</v>
      </c>
      <c r="B2759" t="s">
        <v>256</v>
      </c>
      <c r="C2759" s="1">
        <v>6.6233630000000003</v>
      </c>
    </row>
    <row r="2760" spans="1:3" x14ac:dyDescent="0.3">
      <c r="A2760" s="1" t="s">
        <v>509</v>
      </c>
      <c r="B2760" t="s">
        <v>257</v>
      </c>
      <c r="C2760" s="1">
        <v>6.6273260000000001</v>
      </c>
    </row>
    <row r="2761" spans="1:3" x14ac:dyDescent="0.3">
      <c r="A2761" s="1" t="s">
        <v>509</v>
      </c>
      <c r="B2761" t="s">
        <v>258</v>
      </c>
      <c r="C2761" s="1">
        <v>6.5520379999999996</v>
      </c>
    </row>
    <row r="2762" spans="1:3" x14ac:dyDescent="0.3">
      <c r="A2762" s="1" t="s">
        <v>509</v>
      </c>
      <c r="B2762" t="s">
        <v>259</v>
      </c>
      <c r="C2762" s="1">
        <v>6.6966710000000003</v>
      </c>
    </row>
    <row r="2763" spans="1:3" x14ac:dyDescent="0.3">
      <c r="A2763" s="1" t="s">
        <v>509</v>
      </c>
      <c r="B2763" t="s">
        <v>260</v>
      </c>
      <c r="C2763" s="1">
        <v>6.8551710000000003</v>
      </c>
    </row>
    <row r="2764" spans="1:3" x14ac:dyDescent="0.3">
      <c r="A2764" s="1" t="s">
        <v>509</v>
      </c>
      <c r="B2764" t="s">
        <v>261</v>
      </c>
      <c r="C2764" s="1">
        <v>6.8472470000000003</v>
      </c>
    </row>
    <row r="2765" spans="1:3" x14ac:dyDescent="0.3">
      <c r="A2765" s="1" t="s">
        <v>509</v>
      </c>
      <c r="B2765" t="s">
        <v>262</v>
      </c>
      <c r="C2765" s="1">
        <v>6.7878080000000001</v>
      </c>
    </row>
    <row r="2766" spans="1:3" x14ac:dyDescent="0.3">
      <c r="A2766" s="1" t="s">
        <v>509</v>
      </c>
      <c r="B2766" t="s">
        <v>263</v>
      </c>
      <c r="C2766" s="1">
        <v>6.7095479999999998</v>
      </c>
    </row>
    <row r="2767" spans="1:3" x14ac:dyDescent="0.3">
      <c r="A2767" s="1" t="s">
        <v>509</v>
      </c>
      <c r="B2767" t="s">
        <v>264</v>
      </c>
      <c r="C2767" s="1">
        <v>6.6818109999999997</v>
      </c>
    </row>
    <row r="2768" spans="1:3" x14ac:dyDescent="0.3">
      <c r="A2768" s="1" t="s">
        <v>509</v>
      </c>
      <c r="B2768" t="s">
        <v>265</v>
      </c>
      <c r="C2768" s="1">
        <v>6.6174200000000001</v>
      </c>
    </row>
    <row r="2769" spans="1:3" x14ac:dyDescent="0.3">
      <c r="A2769" s="1" t="s">
        <v>509</v>
      </c>
      <c r="B2769" t="s">
        <v>266</v>
      </c>
      <c r="C2769" s="1">
        <v>6.6887449999999999</v>
      </c>
    </row>
    <row r="2770" spans="1:3" x14ac:dyDescent="0.3">
      <c r="A2770" s="1" t="s">
        <v>509</v>
      </c>
      <c r="B2770" t="s">
        <v>267</v>
      </c>
      <c r="C2770" s="1">
        <v>6.5381689999999999</v>
      </c>
    </row>
    <row r="2771" spans="1:3" x14ac:dyDescent="0.3">
      <c r="A2771" s="1" t="s">
        <v>509</v>
      </c>
      <c r="B2771" t="s">
        <v>268</v>
      </c>
      <c r="C2771" s="1">
        <v>6.5371790000000001</v>
      </c>
    </row>
    <row r="2772" spans="1:3" x14ac:dyDescent="0.3">
      <c r="A2772" s="1" t="s">
        <v>509</v>
      </c>
      <c r="B2772" t="s">
        <v>269</v>
      </c>
      <c r="C2772" s="1">
        <v>6.648129</v>
      </c>
    </row>
    <row r="2773" spans="1:3" x14ac:dyDescent="0.3">
      <c r="A2773" s="1" t="s">
        <v>509</v>
      </c>
      <c r="B2773" t="s">
        <v>270</v>
      </c>
      <c r="C2773" s="1">
        <v>6.6828010000000004</v>
      </c>
    </row>
    <row r="2774" spans="1:3" x14ac:dyDescent="0.3">
      <c r="A2774" s="1" t="s">
        <v>509</v>
      </c>
      <c r="B2774" t="s">
        <v>271</v>
      </c>
      <c r="C2774" s="1">
        <v>6.7719579999999997</v>
      </c>
    </row>
    <row r="2775" spans="1:3" x14ac:dyDescent="0.3">
      <c r="A2775" s="1" t="s">
        <v>509</v>
      </c>
      <c r="B2775" t="s">
        <v>272</v>
      </c>
      <c r="C2775" s="1">
        <v>6.7075670000000001</v>
      </c>
    </row>
    <row r="2776" spans="1:3" x14ac:dyDescent="0.3">
      <c r="A2776" s="1" t="s">
        <v>509</v>
      </c>
      <c r="B2776" t="s">
        <v>273</v>
      </c>
      <c r="C2776" s="1">
        <v>6.8333769999999996</v>
      </c>
    </row>
    <row r="2777" spans="1:3" x14ac:dyDescent="0.3">
      <c r="A2777" s="1" t="s">
        <v>509</v>
      </c>
      <c r="B2777" t="s">
        <v>274</v>
      </c>
      <c r="C2777" s="1">
        <v>6.6877550000000001</v>
      </c>
    </row>
    <row r="2778" spans="1:3" x14ac:dyDescent="0.3">
      <c r="A2778" s="1" t="s">
        <v>509</v>
      </c>
      <c r="B2778" t="s">
        <v>275</v>
      </c>
      <c r="C2778" s="1">
        <v>6.6530820000000004</v>
      </c>
    </row>
    <row r="2779" spans="1:3" x14ac:dyDescent="0.3">
      <c r="A2779" s="1" t="s">
        <v>509</v>
      </c>
      <c r="B2779" t="s">
        <v>276</v>
      </c>
      <c r="C2779" s="1">
        <v>6.6322789999999996</v>
      </c>
    </row>
    <row r="2780" spans="1:3" x14ac:dyDescent="0.3">
      <c r="A2780" s="1" t="s">
        <v>509</v>
      </c>
      <c r="B2780" t="s">
        <v>277</v>
      </c>
      <c r="C2780" s="1">
        <v>6.6233630000000003</v>
      </c>
    </row>
    <row r="2781" spans="1:3" x14ac:dyDescent="0.3">
      <c r="A2781" s="1" t="s">
        <v>509</v>
      </c>
      <c r="B2781" t="s">
        <v>278</v>
      </c>
      <c r="C2781" s="1">
        <v>6.6213819999999997</v>
      </c>
    </row>
    <row r="2782" spans="1:3" x14ac:dyDescent="0.3">
      <c r="A2782" s="1" t="s">
        <v>509</v>
      </c>
      <c r="B2782" t="s">
        <v>279</v>
      </c>
      <c r="C2782" s="1">
        <v>6.7392669999999999</v>
      </c>
    </row>
    <row r="2783" spans="1:3" x14ac:dyDescent="0.3">
      <c r="A2783" s="1" t="s">
        <v>509</v>
      </c>
      <c r="B2783" t="s">
        <v>280</v>
      </c>
      <c r="C2783" s="1">
        <v>6.607513</v>
      </c>
    </row>
    <row r="2784" spans="1:3" x14ac:dyDescent="0.3">
      <c r="A2784" s="1" t="s">
        <v>509</v>
      </c>
      <c r="B2784" t="s">
        <v>281</v>
      </c>
      <c r="C2784" s="1">
        <v>6.7115299999999998</v>
      </c>
    </row>
    <row r="2785" spans="1:3" x14ac:dyDescent="0.3">
      <c r="A2785" s="1" t="s">
        <v>509</v>
      </c>
      <c r="B2785" t="s">
        <v>282</v>
      </c>
      <c r="C2785" s="1">
        <v>6.7055860000000003</v>
      </c>
    </row>
    <row r="2786" spans="1:3" x14ac:dyDescent="0.3">
      <c r="A2786" s="1" t="s">
        <v>509</v>
      </c>
      <c r="B2786" t="s">
        <v>283</v>
      </c>
      <c r="C2786" s="1">
        <v>6.5748230000000003</v>
      </c>
    </row>
    <row r="2787" spans="1:3" x14ac:dyDescent="0.3">
      <c r="A2787" s="1" t="s">
        <v>509</v>
      </c>
      <c r="B2787" t="s">
        <v>284</v>
      </c>
      <c r="C2787" s="1">
        <v>6.6491199999999999</v>
      </c>
    </row>
    <row r="2788" spans="1:3" x14ac:dyDescent="0.3">
      <c r="A2788" s="1" t="s">
        <v>509</v>
      </c>
      <c r="B2788" t="s">
        <v>285</v>
      </c>
      <c r="C2788" s="1">
        <v>6.5817569999999996</v>
      </c>
    </row>
    <row r="2789" spans="1:3" x14ac:dyDescent="0.3">
      <c r="A2789" s="1" t="s">
        <v>509</v>
      </c>
      <c r="B2789" t="s">
        <v>286</v>
      </c>
      <c r="C2789" s="1">
        <v>6.7224259999999996</v>
      </c>
    </row>
    <row r="2790" spans="1:3" x14ac:dyDescent="0.3">
      <c r="A2790" s="1" t="s">
        <v>509</v>
      </c>
      <c r="B2790" t="s">
        <v>287</v>
      </c>
      <c r="C2790" s="1">
        <v>6.6332700000000004</v>
      </c>
    </row>
    <row r="2791" spans="1:3" x14ac:dyDescent="0.3">
      <c r="A2791" s="1" t="s">
        <v>509</v>
      </c>
      <c r="B2791" t="s">
        <v>288</v>
      </c>
      <c r="C2791" s="1">
        <v>6.5153850000000002</v>
      </c>
    </row>
    <row r="2792" spans="1:3" x14ac:dyDescent="0.3">
      <c r="A2792" s="1" t="s">
        <v>509</v>
      </c>
      <c r="B2792" t="s">
        <v>289</v>
      </c>
      <c r="C2792" s="1">
        <v>6.2261199999999999</v>
      </c>
    </row>
    <row r="2793" spans="1:3" x14ac:dyDescent="0.3">
      <c r="A2793" s="1" t="s">
        <v>509</v>
      </c>
      <c r="B2793" t="s">
        <v>290</v>
      </c>
      <c r="C2793" s="1">
        <v>6.2865489999999999</v>
      </c>
    </row>
    <row r="2794" spans="1:3" x14ac:dyDescent="0.3">
      <c r="A2794" s="1" t="s">
        <v>509</v>
      </c>
      <c r="B2794" t="s">
        <v>291</v>
      </c>
      <c r="C2794" s="1">
        <v>6.2706989999999996</v>
      </c>
    </row>
    <row r="2795" spans="1:3" x14ac:dyDescent="0.3">
      <c r="A2795" s="1" t="s">
        <v>509</v>
      </c>
      <c r="B2795" t="s">
        <v>292</v>
      </c>
      <c r="C2795" s="1">
        <v>6.2102700000000004</v>
      </c>
    </row>
    <row r="2796" spans="1:3" x14ac:dyDescent="0.3">
      <c r="A2796" s="1" t="s">
        <v>509</v>
      </c>
      <c r="B2796" t="s">
        <v>293</v>
      </c>
      <c r="C2796" s="1">
        <v>6.195411</v>
      </c>
    </row>
    <row r="2797" spans="1:3" x14ac:dyDescent="0.3">
      <c r="A2797" s="1" t="s">
        <v>509</v>
      </c>
      <c r="B2797" t="s">
        <v>294</v>
      </c>
      <c r="C2797" s="1">
        <v>6.3994809999999998</v>
      </c>
    </row>
    <row r="2798" spans="1:3" x14ac:dyDescent="0.3">
      <c r="A2798" s="1" t="s">
        <v>509</v>
      </c>
      <c r="B2798" t="s">
        <v>295</v>
      </c>
      <c r="C2798" s="1">
        <v>6.355893</v>
      </c>
    </row>
    <row r="2799" spans="1:3" x14ac:dyDescent="0.3">
      <c r="A2799" s="1" t="s">
        <v>509</v>
      </c>
      <c r="B2799" t="s">
        <v>296</v>
      </c>
      <c r="C2799" s="1">
        <v>6.4262280000000001</v>
      </c>
    </row>
    <row r="2800" spans="1:3" x14ac:dyDescent="0.3">
      <c r="A2800" s="1" t="s">
        <v>509</v>
      </c>
      <c r="B2800" t="s">
        <v>297</v>
      </c>
      <c r="C2800" s="1">
        <v>6.5312349999999997</v>
      </c>
    </row>
    <row r="2801" spans="1:3" x14ac:dyDescent="0.3">
      <c r="A2801" s="1" t="s">
        <v>509</v>
      </c>
      <c r="B2801" t="s">
        <v>298</v>
      </c>
      <c r="C2801" s="1">
        <v>6.5292529999999998</v>
      </c>
    </row>
    <row r="2802" spans="1:3" x14ac:dyDescent="0.3">
      <c r="A2802" s="1" t="s">
        <v>509</v>
      </c>
      <c r="B2802" t="s">
        <v>299</v>
      </c>
      <c r="C2802" s="1">
        <v>6.6837920000000004</v>
      </c>
    </row>
    <row r="2803" spans="1:3" x14ac:dyDescent="0.3">
      <c r="A2803" s="1" t="s">
        <v>509</v>
      </c>
      <c r="B2803" t="s">
        <v>300</v>
      </c>
      <c r="C2803" s="1">
        <v>6.7838459999999996</v>
      </c>
    </row>
    <row r="2804" spans="1:3" x14ac:dyDescent="0.3">
      <c r="A2804" s="1" t="s">
        <v>509</v>
      </c>
      <c r="B2804" t="s">
        <v>301</v>
      </c>
      <c r="C2804" s="1">
        <v>6.7263890000000002</v>
      </c>
    </row>
    <row r="2805" spans="1:3" x14ac:dyDescent="0.3">
      <c r="A2805" s="1" t="s">
        <v>509</v>
      </c>
      <c r="B2805" t="s">
        <v>302</v>
      </c>
      <c r="C2805" s="1">
        <v>6.8086120000000001</v>
      </c>
    </row>
    <row r="2806" spans="1:3" x14ac:dyDescent="0.3">
      <c r="A2806" s="1" t="s">
        <v>509</v>
      </c>
      <c r="B2806" t="s">
        <v>303</v>
      </c>
      <c r="C2806" s="1">
        <v>6.7917709999999998</v>
      </c>
    </row>
    <row r="2807" spans="1:3" x14ac:dyDescent="0.3">
      <c r="A2807" s="1" t="s">
        <v>509</v>
      </c>
      <c r="B2807" t="s">
        <v>304</v>
      </c>
      <c r="C2807" s="1">
        <v>6.8145559999999996</v>
      </c>
    </row>
    <row r="2808" spans="1:3" x14ac:dyDescent="0.3">
      <c r="A2808" s="1" t="s">
        <v>509</v>
      </c>
      <c r="B2808" t="s">
        <v>305</v>
      </c>
      <c r="C2808" s="1">
        <v>6.6818109999999997</v>
      </c>
    </row>
    <row r="2809" spans="1:3" x14ac:dyDescent="0.3">
      <c r="A2809" s="1" t="s">
        <v>509</v>
      </c>
      <c r="B2809" t="s">
        <v>306</v>
      </c>
      <c r="C2809" s="1">
        <v>6.7214359999999997</v>
      </c>
    </row>
    <row r="2810" spans="1:3" x14ac:dyDescent="0.3">
      <c r="A2810" s="1" t="s">
        <v>509</v>
      </c>
      <c r="B2810" t="s">
        <v>307</v>
      </c>
      <c r="C2810" s="1">
        <v>6.5936450000000004</v>
      </c>
    </row>
    <row r="2811" spans="1:3" x14ac:dyDescent="0.3">
      <c r="A2811" s="1" t="s">
        <v>509</v>
      </c>
      <c r="B2811" t="s">
        <v>308</v>
      </c>
      <c r="C2811" s="1">
        <v>6.638223</v>
      </c>
    </row>
    <row r="2812" spans="1:3" x14ac:dyDescent="0.3">
      <c r="A2812" s="1" t="s">
        <v>509</v>
      </c>
      <c r="B2812" t="s">
        <v>309</v>
      </c>
      <c r="C2812" s="1">
        <v>6.6639799999999996</v>
      </c>
    </row>
    <row r="2813" spans="1:3" x14ac:dyDescent="0.3">
      <c r="A2813" s="1" t="s">
        <v>509</v>
      </c>
      <c r="B2813" t="s">
        <v>310</v>
      </c>
      <c r="C2813" s="1">
        <v>6.6511019999999998</v>
      </c>
    </row>
    <row r="2814" spans="1:3" x14ac:dyDescent="0.3">
      <c r="A2814" s="1" t="s">
        <v>509</v>
      </c>
      <c r="B2814" t="s">
        <v>311</v>
      </c>
      <c r="C2814" s="1">
        <v>6.5371790000000001</v>
      </c>
    </row>
    <row r="2815" spans="1:3" x14ac:dyDescent="0.3">
      <c r="A2815" s="1" t="s">
        <v>509</v>
      </c>
      <c r="B2815" t="s">
        <v>312</v>
      </c>
      <c r="C2815" s="1">
        <v>6.5094409999999998</v>
      </c>
    </row>
    <row r="2816" spans="1:3" x14ac:dyDescent="0.3">
      <c r="A2816" s="1" t="s">
        <v>509</v>
      </c>
      <c r="B2816" t="s">
        <v>313</v>
      </c>
      <c r="C2816" s="1">
        <v>6.7372860000000001</v>
      </c>
    </row>
    <row r="2817" spans="1:3" x14ac:dyDescent="0.3">
      <c r="A2817" s="1" t="s">
        <v>509</v>
      </c>
      <c r="B2817" t="s">
        <v>314</v>
      </c>
      <c r="C2817" s="1">
        <v>6.6619979999999996</v>
      </c>
    </row>
    <row r="2818" spans="1:3" x14ac:dyDescent="0.3">
      <c r="A2818" s="1" t="s">
        <v>509</v>
      </c>
      <c r="B2818" t="s">
        <v>315</v>
      </c>
      <c r="C2818" s="1">
        <v>6.5659070000000002</v>
      </c>
    </row>
    <row r="2819" spans="1:3" x14ac:dyDescent="0.3">
      <c r="A2819" s="1" t="s">
        <v>509</v>
      </c>
      <c r="B2819" t="s">
        <v>316</v>
      </c>
      <c r="C2819" s="1">
        <v>6.285558</v>
      </c>
    </row>
    <row r="2820" spans="1:3" x14ac:dyDescent="0.3">
      <c r="A2820" s="1" t="s">
        <v>509</v>
      </c>
      <c r="B2820" t="s">
        <v>317</v>
      </c>
      <c r="C2820" s="1">
        <v>6.2716890000000003</v>
      </c>
    </row>
    <row r="2821" spans="1:3" x14ac:dyDescent="0.3">
      <c r="A2821" s="1" t="s">
        <v>509</v>
      </c>
      <c r="B2821" t="s">
        <v>318</v>
      </c>
      <c r="C2821" s="1">
        <v>6.3994809999999998</v>
      </c>
    </row>
    <row r="2822" spans="1:3" x14ac:dyDescent="0.3">
      <c r="A2822" s="1" t="s">
        <v>509</v>
      </c>
      <c r="B2822" t="s">
        <v>319</v>
      </c>
      <c r="C2822" s="1">
        <v>6.5817569999999996</v>
      </c>
    </row>
    <row r="2823" spans="1:3" x14ac:dyDescent="0.3">
      <c r="A2823" s="1" t="s">
        <v>509</v>
      </c>
      <c r="B2823" t="s">
        <v>320</v>
      </c>
      <c r="C2823" s="1">
        <v>6.8363490000000002</v>
      </c>
    </row>
    <row r="2824" spans="1:3" x14ac:dyDescent="0.3">
      <c r="A2824" s="1" t="s">
        <v>509</v>
      </c>
      <c r="B2824" t="s">
        <v>321</v>
      </c>
      <c r="C2824" s="1">
        <v>6.8918249999999999</v>
      </c>
    </row>
    <row r="2825" spans="1:3" x14ac:dyDescent="0.3">
      <c r="A2825" s="1" t="s">
        <v>509</v>
      </c>
      <c r="B2825" t="s">
        <v>322</v>
      </c>
      <c r="C2825" s="1">
        <v>6.8888530000000001</v>
      </c>
    </row>
    <row r="2826" spans="1:3" x14ac:dyDescent="0.3">
      <c r="A2826" s="1" t="s">
        <v>509</v>
      </c>
      <c r="B2826" t="s">
        <v>323</v>
      </c>
      <c r="C2826" s="1">
        <v>6.8591340000000001</v>
      </c>
    </row>
    <row r="2827" spans="1:3" x14ac:dyDescent="0.3">
      <c r="A2827" s="1" t="s">
        <v>509</v>
      </c>
      <c r="B2827" t="s">
        <v>324</v>
      </c>
      <c r="C2827" s="1">
        <v>7.3871399999999996</v>
      </c>
    </row>
    <row r="2828" spans="1:3" x14ac:dyDescent="0.3">
      <c r="A2828" s="1" t="s">
        <v>509</v>
      </c>
      <c r="B2828" t="s">
        <v>325</v>
      </c>
      <c r="C2828" s="1">
        <v>7.5159229999999999</v>
      </c>
    </row>
    <row r="2829" spans="1:3" x14ac:dyDescent="0.3">
      <c r="A2829" s="1" t="s">
        <v>509</v>
      </c>
      <c r="B2829" t="s">
        <v>326</v>
      </c>
      <c r="C2829" s="1">
        <v>7.1186790000000002</v>
      </c>
    </row>
    <row r="2830" spans="1:3" x14ac:dyDescent="0.3">
      <c r="A2830" s="1" t="s">
        <v>509</v>
      </c>
      <c r="B2830" t="s">
        <v>327</v>
      </c>
      <c r="C2830" s="1">
        <v>6.9245150000000004</v>
      </c>
    </row>
    <row r="2831" spans="1:3" x14ac:dyDescent="0.3">
      <c r="A2831" s="1" t="s">
        <v>509</v>
      </c>
      <c r="B2831" t="s">
        <v>328</v>
      </c>
      <c r="C2831" s="1">
        <v>6.9839529999999996</v>
      </c>
    </row>
    <row r="2832" spans="1:3" x14ac:dyDescent="0.3">
      <c r="A2832" s="1" t="s">
        <v>509</v>
      </c>
      <c r="B2832" t="s">
        <v>329</v>
      </c>
      <c r="C2832" s="1">
        <v>7.0196160000000001</v>
      </c>
    </row>
    <row r="2833" spans="1:3" x14ac:dyDescent="0.3">
      <c r="A2833" s="1" t="s">
        <v>509</v>
      </c>
      <c r="B2833" t="s">
        <v>330</v>
      </c>
      <c r="C2833" s="1">
        <v>7.1137269999999999</v>
      </c>
    </row>
    <row r="2834" spans="1:3" x14ac:dyDescent="0.3">
      <c r="A2834" s="1" t="s">
        <v>509</v>
      </c>
      <c r="B2834" t="s">
        <v>331</v>
      </c>
      <c r="C2834" s="1">
        <v>7.1900050000000002</v>
      </c>
    </row>
    <row r="2835" spans="1:3" x14ac:dyDescent="0.3">
      <c r="A2835" s="1" t="s">
        <v>509</v>
      </c>
      <c r="B2835" t="s">
        <v>332</v>
      </c>
      <c r="C2835" s="1">
        <v>7.1325479999999999</v>
      </c>
    </row>
    <row r="2836" spans="1:3" x14ac:dyDescent="0.3">
      <c r="A2836" s="1" t="s">
        <v>509</v>
      </c>
      <c r="B2836" t="s">
        <v>333</v>
      </c>
      <c r="C2836" s="1">
        <v>7.1365109999999996</v>
      </c>
    </row>
    <row r="2837" spans="1:3" x14ac:dyDescent="0.3">
      <c r="A2837" s="1" t="s">
        <v>509</v>
      </c>
      <c r="B2837" t="s">
        <v>334</v>
      </c>
      <c r="C2837" s="1">
        <v>7.0978760000000003</v>
      </c>
    </row>
    <row r="2838" spans="1:3" x14ac:dyDescent="0.3">
      <c r="A2838" s="1" t="s">
        <v>509</v>
      </c>
      <c r="B2838" t="s">
        <v>335</v>
      </c>
      <c r="C2838" s="1">
        <v>7.2821340000000001</v>
      </c>
    </row>
    <row r="2839" spans="1:3" x14ac:dyDescent="0.3">
      <c r="A2839" s="1" t="s">
        <v>509</v>
      </c>
      <c r="B2839" t="s">
        <v>336</v>
      </c>
      <c r="C2839" s="1">
        <v>7.3108620000000002</v>
      </c>
    </row>
    <row r="2840" spans="1:3" x14ac:dyDescent="0.3">
      <c r="A2840" s="1" t="s">
        <v>509</v>
      </c>
      <c r="B2840" t="s">
        <v>337</v>
      </c>
      <c r="C2840" s="1">
        <v>7.2415180000000001</v>
      </c>
    </row>
    <row r="2841" spans="1:3" x14ac:dyDescent="0.3">
      <c r="A2841" s="1" t="s">
        <v>509</v>
      </c>
      <c r="B2841" t="s">
        <v>338</v>
      </c>
      <c r="C2841" s="1">
        <v>7.2682650000000004</v>
      </c>
    </row>
    <row r="2842" spans="1:3" x14ac:dyDescent="0.3">
      <c r="A2842" s="1" t="s">
        <v>509</v>
      </c>
      <c r="B2842" t="s">
        <v>339</v>
      </c>
      <c r="C2842" s="1">
        <v>7.0840069999999997</v>
      </c>
    </row>
    <row r="2843" spans="1:3" x14ac:dyDescent="0.3">
      <c r="A2843" s="1" t="s">
        <v>509</v>
      </c>
      <c r="B2843" t="s">
        <v>340</v>
      </c>
      <c r="C2843" s="1">
        <v>7.2028829999999999</v>
      </c>
    </row>
    <row r="2844" spans="1:3" x14ac:dyDescent="0.3">
      <c r="A2844" s="1" t="s">
        <v>509</v>
      </c>
      <c r="B2844" t="s">
        <v>341</v>
      </c>
      <c r="C2844" s="1">
        <v>7.1979300000000004</v>
      </c>
    </row>
    <row r="2845" spans="1:3" x14ac:dyDescent="0.3">
      <c r="A2845" s="1" t="s">
        <v>509</v>
      </c>
      <c r="B2845" t="s">
        <v>342</v>
      </c>
      <c r="C2845" s="1">
        <v>7.1672209999999996</v>
      </c>
    </row>
    <row r="2846" spans="1:3" x14ac:dyDescent="0.3">
      <c r="A2846" s="1" t="s">
        <v>509</v>
      </c>
      <c r="B2846" t="s">
        <v>343</v>
      </c>
      <c r="C2846" s="1">
        <v>7.1474080000000004</v>
      </c>
    </row>
    <row r="2847" spans="1:3" x14ac:dyDescent="0.3">
      <c r="A2847" s="1" t="s">
        <v>509</v>
      </c>
      <c r="B2847" t="s">
        <v>344</v>
      </c>
      <c r="C2847" s="1">
        <v>7.1602860000000002</v>
      </c>
    </row>
    <row r="2848" spans="1:3" x14ac:dyDescent="0.3">
      <c r="A2848" s="1" t="s">
        <v>509</v>
      </c>
      <c r="B2848" t="s">
        <v>345</v>
      </c>
      <c r="C2848" s="1">
        <v>7.0671660000000003</v>
      </c>
    </row>
    <row r="2849" spans="1:3" x14ac:dyDescent="0.3">
      <c r="A2849" s="1" t="s">
        <v>509</v>
      </c>
      <c r="B2849" t="s">
        <v>346</v>
      </c>
      <c r="C2849" s="1">
        <v>7.15137</v>
      </c>
    </row>
    <row r="2850" spans="1:3" x14ac:dyDescent="0.3">
      <c r="A2850" s="1" t="s">
        <v>509</v>
      </c>
      <c r="B2850" t="s">
        <v>347</v>
      </c>
      <c r="C2850" s="1">
        <v>7.1246229999999997</v>
      </c>
    </row>
    <row r="2851" spans="1:3" x14ac:dyDescent="0.3">
      <c r="A2851" s="1" t="s">
        <v>509</v>
      </c>
      <c r="B2851" t="s">
        <v>348</v>
      </c>
      <c r="C2851" s="1">
        <v>7.0275410000000003</v>
      </c>
    </row>
    <row r="2852" spans="1:3" x14ac:dyDescent="0.3">
      <c r="A2852" s="1" t="s">
        <v>509</v>
      </c>
      <c r="B2852" t="s">
        <v>349</v>
      </c>
      <c r="C2852" s="1">
        <v>7.0978760000000003</v>
      </c>
    </row>
    <row r="2853" spans="1:3" x14ac:dyDescent="0.3">
      <c r="A2853" s="1" t="s">
        <v>509</v>
      </c>
      <c r="B2853" t="s">
        <v>350</v>
      </c>
      <c r="C2853" s="1">
        <v>7.070138</v>
      </c>
    </row>
    <row r="2854" spans="1:3" x14ac:dyDescent="0.3">
      <c r="A2854" s="1" t="s">
        <v>509</v>
      </c>
      <c r="B2854" t="s">
        <v>351</v>
      </c>
      <c r="C2854" s="1">
        <v>6.8928159999999998</v>
      </c>
    </row>
    <row r="2855" spans="1:3" x14ac:dyDescent="0.3">
      <c r="A2855" s="1" t="s">
        <v>509</v>
      </c>
      <c r="B2855" t="s">
        <v>352</v>
      </c>
      <c r="C2855" s="1">
        <v>6.8056400000000004</v>
      </c>
    </row>
    <row r="2856" spans="1:3" x14ac:dyDescent="0.3">
      <c r="A2856" s="1" t="s">
        <v>509</v>
      </c>
      <c r="B2856" t="s">
        <v>353</v>
      </c>
      <c r="C2856" s="1">
        <v>6.7016229999999997</v>
      </c>
    </row>
    <row r="2857" spans="1:3" x14ac:dyDescent="0.3">
      <c r="A2857" s="1" t="s">
        <v>509</v>
      </c>
      <c r="B2857" t="s">
        <v>354</v>
      </c>
      <c r="C2857" s="1">
        <v>6.4826940000000004</v>
      </c>
    </row>
    <row r="2858" spans="1:3" x14ac:dyDescent="0.3">
      <c r="A2858" s="1" t="s">
        <v>509</v>
      </c>
      <c r="B2858" t="s">
        <v>355</v>
      </c>
      <c r="C2858" s="1">
        <v>6.4896279999999997</v>
      </c>
    </row>
    <row r="2859" spans="1:3" x14ac:dyDescent="0.3">
      <c r="A2859" s="1" t="s">
        <v>509</v>
      </c>
      <c r="B2859" t="s">
        <v>356</v>
      </c>
      <c r="C2859" s="1">
        <v>6.5946350000000002</v>
      </c>
    </row>
    <row r="2860" spans="1:3" x14ac:dyDescent="0.3">
      <c r="A2860" s="1" t="s">
        <v>509</v>
      </c>
      <c r="B2860" t="s">
        <v>357</v>
      </c>
      <c r="C2860" s="1">
        <v>6.6491199999999999</v>
      </c>
    </row>
    <row r="2861" spans="1:3" x14ac:dyDescent="0.3">
      <c r="A2861" s="1" t="s">
        <v>509</v>
      </c>
      <c r="B2861" t="s">
        <v>358</v>
      </c>
      <c r="C2861" s="1">
        <v>6.6649700000000003</v>
      </c>
    </row>
    <row r="2862" spans="1:3" x14ac:dyDescent="0.3">
      <c r="A2862" s="1" t="s">
        <v>509</v>
      </c>
      <c r="B2862" t="s">
        <v>359</v>
      </c>
      <c r="C2862" s="1">
        <v>6.6094949999999999</v>
      </c>
    </row>
    <row r="2863" spans="1:3" x14ac:dyDescent="0.3">
      <c r="A2863" s="1" t="s">
        <v>509</v>
      </c>
      <c r="B2863" t="s">
        <v>360</v>
      </c>
      <c r="C2863" s="1">
        <v>6.5698699999999999</v>
      </c>
    </row>
    <row r="2864" spans="1:3" x14ac:dyDescent="0.3">
      <c r="A2864" s="1" t="s">
        <v>509</v>
      </c>
      <c r="B2864" t="s">
        <v>361</v>
      </c>
      <c r="C2864" s="1">
        <v>6.5381689999999999</v>
      </c>
    </row>
    <row r="2865" spans="1:3" x14ac:dyDescent="0.3">
      <c r="A2865" s="1" t="s">
        <v>509</v>
      </c>
      <c r="B2865" t="s">
        <v>362</v>
      </c>
      <c r="C2865" s="1">
        <v>6.8521989999999997</v>
      </c>
    </row>
    <row r="2866" spans="1:3" x14ac:dyDescent="0.3">
      <c r="A2866" s="1" t="s">
        <v>509</v>
      </c>
      <c r="B2866" t="s">
        <v>363</v>
      </c>
      <c r="C2866" s="1">
        <v>6.7293620000000001</v>
      </c>
    </row>
    <row r="2867" spans="1:3" x14ac:dyDescent="0.3">
      <c r="A2867" s="1" t="s">
        <v>509</v>
      </c>
      <c r="B2867" t="s">
        <v>364</v>
      </c>
      <c r="C2867" s="1">
        <v>6.7263890000000002</v>
      </c>
    </row>
    <row r="2868" spans="1:3" x14ac:dyDescent="0.3">
      <c r="A2868" s="1" t="s">
        <v>509</v>
      </c>
      <c r="B2868" t="s">
        <v>365</v>
      </c>
      <c r="C2868" s="1">
        <v>6.9314499999999999</v>
      </c>
    </row>
    <row r="2869" spans="1:3" x14ac:dyDescent="0.3">
      <c r="A2869" s="1" t="s">
        <v>509</v>
      </c>
      <c r="B2869" t="s">
        <v>366</v>
      </c>
      <c r="C2869" s="1">
        <v>6.8809279999999999</v>
      </c>
    </row>
    <row r="2870" spans="1:3" x14ac:dyDescent="0.3">
      <c r="A2870" s="1" t="s">
        <v>509</v>
      </c>
      <c r="B2870" t="s">
        <v>367</v>
      </c>
      <c r="C2870" s="1">
        <v>6.9898980000000002</v>
      </c>
    </row>
    <row r="2871" spans="1:3" x14ac:dyDescent="0.3">
      <c r="A2871" s="1" t="s">
        <v>509</v>
      </c>
      <c r="B2871" t="s">
        <v>368</v>
      </c>
      <c r="C2871" s="1">
        <v>6.9156000000000004</v>
      </c>
    </row>
    <row r="2872" spans="1:3" x14ac:dyDescent="0.3">
      <c r="A2872" s="1" t="s">
        <v>509</v>
      </c>
      <c r="B2872" t="s">
        <v>369</v>
      </c>
      <c r="C2872" s="1">
        <v>6.9532439999999998</v>
      </c>
    </row>
    <row r="2873" spans="1:3" x14ac:dyDescent="0.3">
      <c r="A2873" s="1" t="s">
        <v>509</v>
      </c>
      <c r="B2873" t="s">
        <v>370</v>
      </c>
      <c r="C2873" s="1">
        <v>6.9482910000000002</v>
      </c>
    </row>
    <row r="2874" spans="1:3" x14ac:dyDescent="0.3">
      <c r="A2874" s="1" t="s">
        <v>509</v>
      </c>
      <c r="B2874" t="s">
        <v>371</v>
      </c>
      <c r="C2874" s="1">
        <v>6.9730569999999998</v>
      </c>
    </row>
    <row r="2875" spans="1:3" x14ac:dyDescent="0.3">
      <c r="A2875" s="1" t="s">
        <v>509</v>
      </c>
      <c r="B2875" t="s">
        <v>372</v>
      </c>
      <c r="C2875" s="1">
        <v>7.031504</v>
      </c>
    </row>
    <row r="2876" spans="1:3" x14ac:dyDescent="0.3">
      <c r="A2876" s="1" t="s">
        <v>509</v>
      </c>
      <c r="B2876" t="s">
        <v>373</v>
      </c>
      <c r="C2876" s="1">
        <v>6.9621599999999999</v>
      </c>
    </row>
    <row r="2877" spans="1:3" x14ac:dyDescent="0.3">
      <c r="A2877" s="1" t="s">
        <v>509</v>
      </c>
      <c r="B2877" t="s">
        <v>374</v>
      </c>
      <c r="C2877" s="1">
        <v>6.8056400000000004</v>
      </c>
    </row>
    <row r="2878" spans="1:3" x14ac:dyDescent="0.3">
      <c r="A2878" s="1" t="s">
        <v>509</v>
      </c>
      <c r="B2878" t="s">
        <v>375</v>
      </c>
      <c r="C2878" s="1">
        <v>6.8413029999999999</v>
      </c>
    </row>
    <row r="2879" spans="1:3" x14ac:dyDescent="0.3">
      <c r="A2879" s="1" t="s">
        <v>509</v>
      </c>
      <c r="B2879" t="s">
        <v>376</v>
      </c>
      <c r="C2879" s="1">
        <v>6.7620519999999997</v>
      </c>
    </row>
    <row r="2880" spans="1:3" x14ac:dyDescent="0.3">
      <c r="A2880" s="1" t="s">
        <v>509</v>
      </c>
      <c r="B2880" t="s">
        <v>377</v>
      </c>
      <c r="C2880" s="1">
        <v>6.7164830000000002</v>
      </c>
    </row>
    <row r="2881" spans="1:3" x14ac:dyDescent="0.3">
      <c r="A2881" s="1" t="s">
        <v>509</v>
      </c>
      <c r="B2881" t="s">
        <v>378</v>
      </c>
      <c r="C2881" s="1">
        <v>6.6461480000000002</v>
      </c>
    </row>
    <row r="2882" spans="1:3" x14ac:dyDescent="0.3">
      <c r="A2882" s="1" t="s">
        <v>509</v>
      </c>
      <c r="B2882" t="s">
        <v>379</v>
      </c>
      <c r="C2882" s="1">
        <v>6.6312889999999998</v>
      </c>
    </row>
    <row r="2883" spans="1:3" x14ac:dyDescent="0.3">
      <c r="A2883" s="1" t="s">
        <v>509</v>
      </c>
      <c r="B2883" t="s">
        <v>380</v>
      </c>
      <c r="C2883" s="1">
        <v>6.6580360000000001</v>
      </c>
    </row>
    <row r="2884" spans="1:3" x14ac:dyDescent="0.3">
      <c r="A2884" s="1" t="s">
        <v>509</v>
      </c>
      <c r="B2884" t="s">
        <v>381</v>
      </c>
      <c r="C2884" s="1">
        <v>6.7313419999999997</v>
      </c>
    </row>
    <row r="2885" spans="1:3" x14ac:dyDescent="0.3">
      <c r="A2885" s="1" t="s">
        <v>509</v>
      </c>
      <c r="B2885" t="s">
        <v>382</v>
      </c>
      <c r="C2885" s="1">
        <v>6.9839529999999996</v>
      </c>
    </row>
    <row r="2886" spans="1:3" x14ac:dyDescent="0.3">
      <c r="A2886" s="1" t="s">
        <v>509</v>
      </c>
      <c r="B2886" t="s">
        <v>383</v>
      </c>
      <c r="C2886" s="1">
        <v>6.9700839999999999</v>
      </c>
    </row>
    <row r="2887" spans="1:3" x14ac:dyDescent="0.3">
      <c r="A2887" s="1" t="s">
        <v>509</v>
      </c>
      <c r="B2887" t="s">
        <v>384</v>
      </c>
      <c r="C2887" s="1">
        <v>7.030513</v>
      </c>
    </row>
    <row r="2888" spans="1:3" x14ac:dyDescent="0.3">
      <c r="A2888" s="1" t="s">
        <v>509</v>
      </c>
      <c r="B2888" t="s">
        <v>385</v>
      </c>
      <c r="C2888" s="1">
        <v>6.9433369999999996</v>
      </c>
    </row>
    <row r="2889" spans="1:3" x14ac:dyDescent="0.3">
      <c r="A2889" s="1" t="s">
        <v>509</v>
      </c>
      <c r="B2889" t="s">
        <v>386</v>
      </c>
      <c r="C2889" s="1">
        <v>7.0275410000000003</v>
      </c>
    </row>
    <row r="2890" spans="1:3" x14ac:dyDescent="0.3">
      <c r="A2890" s="1" t="s">
        <v>509</v>
      </c>
      <c r="B2890" t="s">
        <v>387</v>
      </c>
      <c r="C2890" s="1">
        <v>6.9879160000000002</v>
      </c>
    </row>
    <row r="2891" spans="1:3" x14ac:dyDescent="0.3">
      <c r="A2891" s="1" t="s">
        <v>509</v>
      </c>
      <c r="B2891" t="s">
        <v>388</v>
      </c>
      <c r="C2891" s="1">
        <v>7.0473540000000003</v>
      </c>
    </row>
    <row r="2892" spans="1:3" x14ac:dyDescent="0.3">
      <c r="A2892" s="1" t="s">
        <v>509</v>
      </c>
      <c r="B2892" t="s">
        <v>389</v>
      </c>
      <c r="C2892" s="1">
        <v>7.1919870000000001</v>
      </c>
    </row>
    <row r="2893" spans="1:3" x14ac:dyDescent="0.3">
      <c r="A2893" s="1" t="s">
        <v>509</v>
      </c>
      <c r="B2893" t="s">
        <v>390</v>
      </c>
      <c r="C2893" s="1">
        <v>7.4307280000000002</v>
      </c>
    </row>
    <row r="2894" spans="1:3" x14ac:dyDescent="0.3">
      <c r="A2894" s="1" t="s">
        <v>509</v>
      </c>
      <c r="B2894" t="s">
        <v>391</v>
      </c>
      <c r="C2894" s="1">
        <v>7.4029910000000001</v>
      </c>
    </row>
    <row r="2895" spans="1:3" x14ac:dyDescent="0.3">
      <c r="A2895" s="1" t="s">
        <v>509</v>
      </c>
      <c r="B2895" t="s">
        <v>392</v>
      </c>
      <c r="C2895" s="1">
        <v>7.4020000000000001</v>
      </c>
    </row>
    <row r="2896" spans="1:3" x14ac:dyDescent="0.3">
      <c r="A2896" s="1" t="s">
        <v>509</v>
      </c>
      <c r="B2896" t="s">
        <v>393</v>
      </c>
      <c r="C2896" s="1">
        <v>7.49</v>
      </c>
    </row>
    <row r="2897" spans="1:3" x14ac:dyDescent="0.3">
      <c r="A2897" s="1" t="s">
        <v>509</v>
      </c>
      <c r="B2897" t="s">
        <v>394</v>
      </c>
      <c r="C2897" s="1">
        <v>7.5209999999999999</v>
      </c>
    </row>
    <row r="2898" spans="1:3" x14ac:dyDescent="0.3">
      <c r="A2898" s="1" t="s">
        <v>509</v>
      </c>
      <c r="B2898" t="s">
        <v>395</v>
      </c>
      <c r="C2898" s="1">
        <v>7.5510000000000002</v>
      </c>
    </row>
    <row r="2899" spans="1:3" x14ac:dyDescent="0.3">
      <c r="A2899" s="1" t="s">
        <v>509</v>
      </c>
      <c r="B2899" t="s">
        <v>396</v>
      </c>
      <c r="C2899" s="1">
        <v>7.5750000000000002</v>
      </c>
    </row>
    <row r="2900" spans="1:3" x14ac:dyDescent="0.3">
      <c r="A2900" s="1" t="s">
        <v>509</v>
      </c>
      <c r="B2900" t="s">
        <v>397</v>
      </c>
      <c r="C2900" s="1">
        <v>7.702</v>
      </c>
    </row>
    <row r="2901" spans="1:3" x14ac:dyDescent="0.3">
      <c r="A2901" s="1" t="s">
        <v>509</v>
      </c>
      <c r="B2901" t="s">
        <v>398</v>
      </c>
      <c r="C2901" s="1">
        <v>7.508</v>
      </c>
    </row>
    <row r="2902" spans="1:3" x14ac:dyDescent="0.3">
      <c r="A2902" s="1" t="s">
        <v>509</v>
      </c>
      <c r="B2902" t="s">
        <v>399</v>
      </c>
      <c r="C2902" s="1">
        <v>7.6369999999999996</v>
      </c>
    </row>
    <row r="2903" spans="1:3" x14ac:dyDescent="0.3">
      <c r="A2903" s="1" t="s">
        <v>509</v>
      </c>
      <c r="B2903" t="s">
        <v>400</v>
      </c>
      <c r="C2903" s="1">
        <v>7.7910000000000004</v>
      </c>
    </row>
    <row r="2904" spans="1:3" x14ac:dyDescent="0.3">
      <c r="A2904" s="1" t="s">
        <v>509</v>
      </c>
      <c r="B2904" t="s">
        <v>401</v>
      </c>
      <c r="C2904" s="1">
        <v>7.8940000000000001</v>
      </c>
    </row>
    <row r="2905" spans="1:3" x14ac:dyDescent="0.3">
      <c r="A2905" s="1" t="s">
        <v>509</v>
      </c>
      <c r="B2905" t="s">
        <v>402</v>
      </c>
      <c r="C2905" s="1">
        <v>7.93</v>
      </c>
    </row>
    <row r="2906" spans="1:3" x14ac:dyDescent="0.3">
      <c r="A2906" s="1" t="s">
        <v>509</v>
      </c>
      <c r="B2906" t="s">
        <v>403</v>
      </c>
      <c r="C2906" s="1">
        <v>7.96</v>
      </c>
    </row>
    <row r="2907" spans="1:3" x14ac:dyDescent="0.3">
      <c r="A2907" s="1" t="s">
        <v>509</v>
      </c>
      <c r="B2907" t="s">
        <v>404</v>
      </c>
      <c r="C2907" s="1">
        <v>8.1760000000000002</v>
      </c>
    </row>
    <row r="2908" spans="1:3" x14ac:dyDescent="0.3">
      <c r="A2908" s="1" t="s">
        <v>509</v>
      </c>
      <c r="B2908" t="s">
        <v>405</v>
      </c>
      <c r="C2908" s="1">
        <v>8.1940000000000008</v>
      </c>
    </row>
    <row r="2909" spans="1:3" x14ac:dyDescent="0.3">
      <c r="A2909" s="1" t="s">
        <v>509</v>
      </c>
      <c r="B2909" t="s">
        <v>406</v>
      </c>
      <c r="C2909" s="1">
        <v>8.2119999999999997</v>
      </c>
    </row>
    <row r="2910" spans="1:3" x14ac:dyDescent="0.3">
      <c r="A2910" s="1" t="s">
        <v>509</v>
      </c>
      <c r="B2910" t="s">
        <v>407</v>
      </c>
      <c r="C2910" s="1">
        <v>8.1869999999999994</v>
      </c>
    </row>
    <row r="2911" spans="1:3" x14ac:dyDescent="0.3">
      <c r="A2911" s="1" t="s">
        <v>509</v>
      </c>
      <c r="B2911" t="s">
        <v>408</v>
      </c>
      <c r="C2911" s="1">
        <v>8.2409999999999997</v>
      </c>
    </row>
    <row r="2912" spans="1:3" x14ac:dyDescent="0.3">
      <c r="A2912" s="1" t="s">
        <v>509</v>
      </c>
      <c r="B2912" t="s">
        <v>409</v>
      </c>
      <c r="C2912" s="1">
        <v>8.1669999999999998</v>
      </c>
    </row>
    <row r="2913" spans="1:3" x14ac:dyDescent="0.3">
      <c r="A2913" s="1" t="s">
        <v>509</v>
      </c>
      <c r="B2913" t="s">
        <v>410</v>
      </c>
      <c r="C2913" s="1">
        <v>8.1989999999999998</v>
      </c>
    </row>
    <row r="2914" spans="1:3" x14ac:dyDescent="0.3">
      <c r="A2914" s="1" t="s">
        <v>509</v>
      </c>
      <c r="B2914" t="s">
        <v>411</v>
      </c>
      <c r="C2914" s="1">
        <v>8.1769999999999996</v>
      </c>
    </row>
    <row r="2915" spans="1:3" x14ac:dyDescent="0.3">
      <c r="A2915" s="1" t="s">
        <v>509</v>
      </c>
      <c r="B2915" t="s">
        <v>412</v>
      </c>
      <c r="C2915" s="1">
        <v>8.2669999999999995</v>
      </c>
    </row>
    <row r="2916" spans="1:3" x14ac:dyDescent="0.3">
      <c r="A2916" s="1" t="s">
        <v>509</v>
      </c>
      <c r="B2916" t="s">
        <v>413</v>
      </c>
      <c r="C2916" s="1">
        <v>8.2349999999999994</v>
      </c>
    </row>
    <row r="2917" spans="1:3" x14ac:dyDescent="0.3">
      <c r="A2917" s="1" t="s">
        <v>509</v>
      </c>
      <c r="B2917" t="s">
        <v>414</v>
      </c>
      <c r="C2917" s="1">
        <v>8.26</v>
      </c>
    </row>
    <row r="2918" spans="1:3" x14ac:dyDescent="0.3">
      <c r="A2918" s="1" t="s">
        <v>509</v>
      </c>
      <c r="B2918" t="s">
        <v>415</v>
      </c>
      <c r="C2918" s="1">
        <v>8.2479999999999993</v>
      </c>
    </row>
    <row r="2919" spans="1:3" x14ac:dyDescent="0.3">
      <c r="A2919" s="1" t="s">
        <v>509</v>
      </c>
      <c r="B2919" t="s">
        <v>416</v>
      </c>
      <c r="C2919" s="1">
        <v>8.4149999999999991</v>
      </c>
    </row>
    <row r="2920" spans="1:3" x14ac:dyDescent="0.3">
      <c r="A2920" s="1" t="s">
        <v>509</v>
      </c>
      <c r="B2920" t="s">
        <v>417</v>
      </c>
      <c r="C2920" s="1">
        <v>8.32</v>
      </c>
    </row>
    <row r="2921" spans="1:3" x14ac:dyDescent="0.3">
      <c r="A2921" s="1" t="s">
        <v>509</v>
      </c>
      <c r="B2921" t="s">
        <v>418</v>
      </c>
      <c r="C2921" s="1">
        <v>8.3699999999999992</v>
      </c>
    </row>
    <row r="2922" spans="1:3" x14ac:dyDescent="0.3">
      <c r="A2922" s="1" t="s">
        <v>509</v>
      </c>
      <c r="B2922" t="s">
        <v>419</v>
      </c>
      <c r="C2922" s="1">
        <v>8.3219999999999992</v>
      </c>
    </row>
    <row r="2923" spans="1:3" x14ac:dyDescent="0.3">
      <c r="A2923" s="1" t="s">
        <v>509</v>
      </c>
      <c r="B2923" t="s">
        <v>420</v>
      </c>
      <c r="C2923" s="1">
        <v>8.484</v>
      </c>
    </row>
    <row r="2924" spans="1:3" x14ac:dyDescent="0.3">
      <c r="A2924" s="1" t="s">
        <v>509</v>
      </c>
      <c r="B2924" t="s">
        <v>421</v>
      </c>
      <c r="C2924" s="1">
        <v>8.4109999999999996</v>
      </c>
    </row>
    <row r="2925" spans="1:3" x14ac:dyDescent="0.3">
      <c r="A2925" s="1" t="s">
        <v>509</v>
      </c>
      <c r="B2925" t="s">
        <v>422</v>
      </c>
      <c r="C2925" s="1">
        <v>8.4670000000000005</v>
      </c>
    </row>
    <row r="2926" spans="1:3" x14ac:dyDescent="0.3">
      <c r="A2926" s="1" t="s">
        <v>509</v>
      </c>
      <c r="B2926" t="s">
        <v>423</v>
      </c>
      <c r="C2926" s="1">
        <v>8.4920000000000009</v>
      </c>
    </row>
    <row r="2927" spans="1:3" x14ac:dyDescent="0.3">
      <c r="A2927" s="1" t="s">
        <v>509</v>
      </c>
      <c r="B2927" t="s">
        <v>424</v>
      </c>
      <c r="C2927" s="1">
        <v>8.57</v>
      </c>
    </row>
    <row r="2928" spans="1:3" x14ac:dyDescent="0.3">
      <c r="A2928" s="1" t="s">
        <v>509</v>
      </c>
      <c r="B2928" t="s">
        <v>425</v>
      </c>
      <c r="C2928" s="1">
        <v>8.5120000000000005</v>
      </c>
    </row>
    <row r="2929" spans="1:3" x14ac:dyDescent="0.3">
      <c r="A2929" s="1" t="s">
        <v>509</v>
      </c>
      <c r="B2929" t="s">
        <v>426</v>
      </c>
      <c r="C2929" s="1">
        <v>8.5960000000000001</v>
      </c>
    </row>
    <row r="2930" spans="1:3" x14ac:dyDescent="0.3">
      <c r="A2930" s="1" t="s">
        <v>509</v>
      </c>
      <c r="B2930" t="s">
        <v>427</v>
      </c>
      <c r="C2930" s="1">
        <v>8.5399999999999991</v>
      </c>
    </row>
    <row r="2931" spans="1:3" x14ac:dyDescent="0.3">
      <c r="A2931" s="1" t="s">
        <v>509</v>
      </c>
      <c r="B2931" t="s">
        <v>428</v>
      </c>
      <c r="C2931" s="1">
        <v>8.5830000000000002</v>
      </c>
    </row>
    <row r="2932" spans="1:3" x14ac:dyDescent="0.3">
      <c r="A2932" s="1" t="s">
        <v>509</v>
      </c>
      <c r="B2932" t="s">
        <v>429</v>
      </c>
      <c r="C2932" s="1">
        <v>8.6430000000000007</v>
      </c>
    </row>
    <row r="2933" spans="1:3" x14ac:dyDescent="0.3">
      <c r="A2933" s="1" t="s">
        <v>509</v>
      </c>
      <c r="B2933" t="s">
        <v>430</v>
      </c>
      <c r="C2933" s="1">
        <v>8.5429999999999993</v>
      </c>
    </row>
    <row r="2934" spans="1:3" x14ac:dyDescent="0.3">
      <c r="A2934" s="1" t="s">
        <v>509</v>
      </c>
      <c r="B2934" t="s">
        <v>431</v>
      </c>
      <c r="C2934" s="1">
        <v>8.6999999999999993</v>
      </c>
    </row>
    <row r="2935" spans="1:3" x14ac:dyDescent="0.3">
      <c r="A2935" s="1" t="s">
        <v>509</v>
      </c>
      <c r="B2935" t="s">
        <v>432</v>
      </c>
      <c r="C2935" s="1">
        <v>8.6419999999999995</v>
      </c>
    </row>
    <row r="2936" spans="1:3" x14ac:dyDescent="0.3">
      <c r="A2936" s="1" t="s">
        <v>509</v>
      </c>
      <c r="B2936" t="s">
        <v>433</v>
      </c>
      <c r="C2936" s="1">
        <v>8.359</v>
      </c>
    </row>
    <row r="2937" spans="1:3" x14ac:dyDescent="0.3">
      <c r="A2937" s="1" t="s">
        <v>509</v>
      </c>
      <c r="B2937" t="s">
        <v>434</v>
      </c>
      <c r="C2937" s="1">
        <v>8.3840000000000003</v>
      </c>
    </row>
    <row r="2938" spans="1:3" x14ac:dyDescent="0.3">
      <c r="A2938" s="1" t="s">
        <v>509</v>
      </c>
      <c r="B2938" t="s">
        <v>435</v>
      </c>
      <c r="C2938" s="1">
        <v>8.3569999999999993</v>
      </c>
    </row>
    <row r="2939" spans="1:3" x14ac:dyDescent="0.3">
      <c r="A2939" s="1" t="s">
        <v>509</v>
      </c>
      <c r="B2939" t="s">
        <v>436</v>
      </c>
      <c r="C2939" s="1">
        <v>8.3789999999999996</v>
      </c>
    </row>
    <row r="2940" spans="1:3" x14ac:dyDescent="0.3">
      <c r="A2940" s="1" t="s">
        <v>509</v>
      </c>
      <c r="B2940" t="s">
        <v>437</v>
      </c>
      <c r="C2940" s="1">
        <v>8.4440000000000008</v>
      </c>
    </row>
    <row r="2941" spans="1:3" x14ac:dyDescent="0.3">
      <c r="A2941" s="1" t="s">
        <v>509</v>
      </c>
      <c r="B2941" t="s">
        <v>438</v>
      </c>
      <c r="C2941" s="1">
        <v>8.4870000000000001</v>
      </c>
    </row>
    <row r="2942" spans="1:3" x14ac:dyDescent="0.3">
      <c r="A2942" s="1" t="s">
        <v>509</v>
      </c>
      <c r="B2942" t="s">
        <v>439</v>
      </c>
      <c r="C2942" s="1">
        <v>8.4339999999999993</v>
      </c>
    </row>
    <row r="2943" spans="1:3" x14ac:dyDescent="0.3">
      <c r="A2943" s="1" t="s">
        <v>509</v>
      </c>
      <c r="B2943" t="s">
        <v>440</v>
      </c>
      <c r="C2943" s="1">
        <v>8.7230000000000008</v>
      </c>
    </row>
    <row r="2944" spans="1:3" x14ac:dyDescent="0.3">
      <c r="A2944" s="1" t="s">
        <v>509</v>
      </c>
      <c r="B2944" t="s">
        <v>441</v>
      </c>
      <c r="C2944" s="1">
        <v>8.6140000000000008</v>
      </c>
    </row>
    <row r="2945" spans="1:3" x14ac:dyDescent="0.3">
      <c r="A2945" s="1" t="s">
        <v>509</v>
      </c>
      <c r="B2945" t="s">
        <v>442</v>
      </c>
      <c r="C2945" s="1">
        <v>8.6300000000000008</v>
      </c>
    </row>
    <row r="2946" spans="1:3" x14ac:dyDescent="0.3">
      <c r="A2946" s="1" t="s">
        <v>509</v>
      </c>
      <c r="B2946" t="s">
        <v>443</v>
      </c>
      <c r="C2946" s="1">
        <v>8.4369999999999994</v>
      </c>
    </row>
    <row r="2947" spans="1:3" x14ac:dyDescent="0.3">
      <c r="A2947" s="1" t="s">
        <v>509</v>
      </c>
      <c r="B2947" t="s">
        <v>444</v>
      </c>
      <c r="C2947" s="1">
        <v>8.5640000000000001</v>
      </c>
    </row>
    <row r="2948" spans="1:3" x14ac:dyDescent="0.3">
      <c r="A2948" s="1" t="s">
        <v>509</v>
      </c>
      <c r="B2948" t="s">
        <v>445</v>
      </c>
      <c r="C2948" s="1">
        <v>8.5069999999999997</v>
      </c>
    </row>
    <row r="2949" spans="1:3" x14ac:dyDescent="0.3">
      <c r="A2949" s="1" t="s">
        <v>509</v>
      </c>
      <c r="B2949" t="s">
        <v>446</v>
      </c>
      <c r="C2949" s="1">
        <v>8.5030000000000001</v>
      </c>
    </row>
    <row r="2950" spans="1:3" x14ac:dyDescent="0.3">
      <c r="A2950" s="1" t="s">
        <v>509</v>
      </c>
      <c r="B2950" t="s">
        <v>447</v>
      </c>
      <c r="C2950" s="1">
        <v>8.5329999999999995</v>
      </c>
    </row>
    <row r="2951" spans="1:3" x14ac:dyDescent="0.3">
      <c r="A2951" s="1" t="s">
        <v>509</v>
      </c>
      <c r="B2951" t="s">
        <v>448</v>
      </c>
      <c r="C2951" s="1">
        <v>8.4450000000000003</v>
      </c>
    </row>
    <row r="2952" spans="1:3" x14ac:dyDescent="0.3">
      <c r="A2952" s="1" t="s">
        <v>509</v>
      </c>
      <c r="B2952" t="s">
        <v>449</v>
      </c>
      <c r="C2952" s="1">
        <v>8.5289999999999999</v>
      </c>
    </row>
    <row r="2953" spans="1:3" x14ac:dyDescent="0.3">
      <c r="A2953" s="1" t="s">
        <v>509</v>
      </c>
      <c r="B2953" t="s">
        <v>450</v>
      </c>
      <c r="C2953" s="1">
        <v>8.7170000000000005</v>
      </c>
    </row>
    <row r="2954" spans="1:3" x14ac:dyDescent="0.3">
      <c r="A2954" s="1" t="s">
        <v>509</v>
      </c>
      <c r="B2954" t="s">
        <v>451</v>
      </c>
      <c r="C2954" s="1">
        <v>8.5969999999999995</v>
      </c>
    </row>
    <row r="2955" spans="1:3" x14ac:dyDescent="0.3">
      <c r="A2955" s="1" t="s">
        <v>509</v>
      </c>
      <c r="B2955" t="s">
        <v>452</v>
      </c>
      <c r="C2955" s="1">
        <v>8.6379999999999999</v>
      </c>
    </row>
    <row r="2956" spans="1:3" x14ac:dyDescent="0.3">
      <c r="A2956" s="1" t="s">
        <v>509</v>
      </c>
      <c r="B2956" t="s">
        <v>453</v>
      </c>
      <c r="C2956" s="1">
        <v>8.4979999999999993</v>
      </c>
    </row>
    <row r="2957" spans="1:3" x14ac:dyDescent="0.3">
      <c r="A2957" s="1" t="s">
        <v>509</v>
      </c>
      <c r="B2957" t="s">
        <v>454</v>
      </c>
      <c r="C2957" s="1">
        <v>8.5510000000000002</v>
      </c>
    </row>
    <row r="2958" spans="1:3" x14ac:dyDescent="0.3">
      <c r="A2958" s="1" t="s">
        <v>509</v>
      </c>
      <c r="B2958" t="s">
        <v>455</v>
      </c>
      <c r="C2958" s="1">
        <v>8.7409999999999997</v>
      </c>
    </row>
    <row r="2959" spans="1:3" x14ac:dyDescent="0.3">
      <c r="A2959" s="1" t="s">
        <v>509</v>
      </c>
      <c r="B2959" t="s">
        <v>456</v>
      </c>
      <c r="C2959" s="1">
        <v>8.7370000000000001</v>
      </c>
    </row>
    <row r="2960" spans="1:3" x14ac:dyDescent="0.3">
      <c r="A2960" s="1" t="s">
        <v>509</v>
      </c>
      <c r="B2960" t="s">
        <v>457</v>
      </c>
      <c r="C2960" s="1">
        <v>8.7829999999999995</v>
      </c>
    </row>
    <row r="2961" spans="1:3" x14ac:dyDescent="0.3">
      <c r="A2961" s="1" t="s">
        <v>509</v>
      </c>
      <c r="B2961" t="s">
        <v>458</v>
      </c>
      <c r="C2961" s="1">
        <v>8.75</v>
      </c>
    </row>
    <row r="2962" spans="1:3" x14ac:dyDescent="0.3">
      <c r="A2962" s="1" t="s">
        <v>509</v>
      </c>
      <c r="B2962" t="s">
        <v>459</v>
      </c>
      <c r="C2962" s="1">
        <v>8.7870000000000008</v>
      </c>
    </row>
    <row r="2963" spans="1:3" x14ac:dyDescent="0.3">
      <c r="A2963" s="1" t="s">
        <v>509</v>
      </c>
      <c r="B2963" t="s">
        <v>460</v>
      </c>
      <c r="C2963" s="1">
        <v>8.8879999999999999</v>
      </c>
    </row>
    <row r="2964" spans="1:3" x14ac:dyDescent="0.3">
      <c r="A2964" s="1" t="s">
        <v>509</v>
      </c>
      <c r="B2964" t="s">
        <v>461</v>
      </c>
      <c r="C2964" s="1">
        <v>8.7490000000000006</v>
      </c>
    </row>
    <row r="2965" spans="1:3" x14ac:dyDescent="0.3">
      <c r="A2965" s="1" t="s">
        <v>509</v>
      </c>
      <c r="B2965" t="s">
        <v>462</v>
      </c>
      <c r="C2965" s="1">
        <v>8.98</v>
      </c>
    </row>
    <row r="2966" spans="1:3" x14ac:dyDescent="0.3">
      <c r="A2966" s="1" t="s">
        <v>509</v>
      </c>
      <c r="B2966" t="s">
        <v>463</v>
      </c>
      <c r="C2966" s="1">
        <v>9.0630000000000006</v>
      </c>
    </row>
    <row r="2967" spans="1:3" x14ac:dyDescent="0.3">
      <c r="A2967" s="1" t="s">
        <v>509</v>
      </c>
      <c r="B2967" t="s">
        <v>464</v>
      </c>
      <c r="C2967" s="1">
        <v>9.1630000000000003</v>
      </c>
    </row>
    <row r="2968" spans="1:3" x14ac:dyDescent="0.3">
      <c r="A2968" s="1" t="s">
        <v>509</v>
      </c>
      <c r="B2968" t="s">
        <v>465</v>
      </c>
      <c r="C2968" s="1">
        <v>9.1590000000000007</v>
      </c>
    </row>
    <row r="2969" spans="1:3" x14ac:dyDescent="0.3">
      <c r="A2969" s="1" t="s">
        <v>509</v>
      </c>
      <c r="B2969" t="s">
        <v>466</v>
      </c>
      <c r="C2969" s="1">
        <v>9.1129999999999995</v>
      </c>
    </row>
    <row r="2970" spans="1:3" x14ac:dyDescent="0.3">
      <c r="A2970" s="1" t="s">
        <v>509</v>
      </c>
      <c r="B2970" t="s">
        <v>467</v>
      </c>
      <c r="C2970" s="1">
        <v>9.0839999999999996</v>
      </c>
    </row>
    <row r="2971" spans="1:3" x14ac:dyDescent="0.3">
      <c r="A2971" s="1" t="s">
        <v>509</v>
      </c>
      <c r="B2971" t="s">
        <v>468</v>
      </c>
      <c r="C2971" s="1">
        <v>9.1039999999999992</v>
      </c>
    </row>
    <row r="2972" spans="1:3" x14ac:dyDescent="0.3">
      <c r="A2972" s="1" t="s">
        <v>509</v>
      </c>
      <c r="B2972" t="s">
        <v>469</v>
      </c>
      <c r="C2972" s="1">
        <v>9.2729999999999997</v>
      </c>
    </row>
    <row r="2973" spans="1:3" x14ac:dyDescent="0.3">
      <c r="A2973" s="1" t="s">
        <v>509</v>
      </c>
      <c r="B2973" t="s">
        <v>470</v>
      </c>
      <c r="C2973" s="1">
        <v>9.3070000000000004</v>
      </c>
    </row>
    <row r="2974" spans="1:3" x14ac:dyDescent="0.3">
      <c r="A2974" s="1" t="s">
        <v>509</v>
      </c>
      <c r="B2974" t="s">
        <v>471</v>
      </c>
      <c r="C2974" s="1">
        <v>9.3629999999999995</v>
      </c>
    </row>
    <row r="2975" spans="1:3" x14ac:dyDescent="0.3">
      <c r="A2975" s="1" t="s">
        <v>509</v>
      </c>
      <c r="B2975" t="s">
        <v>472</v>
      </c>
      <c r="C2975" s="1">
        <v>9.4120000000000008</v>
      </c>
    </row>
    <row r="2976" spans="1:3" x14ac:dyDescent="0.3">
      <c r="A2976" s="1" t="s">
        <v>509</v>
      </c>
      <c r="B2976" t="s">
        <v>473</v>
      </c>
      <c r="C2976" s="1">
        <v>9.3719999999999999</v>
      </c>
    </row>
    <row r="2977" spans="1:3" x14ac:dyDescent="0.3">
      <c r="A2977" s="1" t="s">
        <v>509</v>
      </c>
      <c r="B2977" t="s">
        <v>474</v>
      </c>
      <c r="C2977" s="1">
        <v>9.35</v>
      </c>
    </row>
    <row r="2978" spans="1:3" x14ac:dyDescent="0.3">
      <c r="A2978" s="1" t="s">
        <v>509</v>
      </c>
      <c r="B2978" t="s">
        <v>475</v>
      </c>
      <c r="C2978" s="1">
        <v>9.2390000000000008</v>
      </c>
    </row>
    <row r="2979" spans="1:3" x14ac:dyDescent="0.3">
      <c r="A2979" s="1" t="s">
        <v>509</v>
      </c>
      <c r="B2979" t="s">
        <v>476</v>
      </c>
      <c r="C2979" s="1">
        <v>9.35</v>
      </c>
    </row>
    <row r="2980" spans="1:3" x14ac:dyDescent="0.3">
      <c r="A2980" s="1" t="s">
        <v>509</v>
      </c>
      <c r="B2980" t="s">
        <v>477</v>
      </c>
      <c r="C2980" s="1">
        <v>9.2780000000000005</v>
      </c>
    </row>
    <row r="2981" spans="1:3" x14ac:dyDescent="0.3">
      <c r="A2981" s="1" t="s">
        <v>509</v>
      </c>
      <c r="B2981" t="s">
        <v>478</v>
      </c>
      <c r="C2981" s="1">
        <v>9.3789999999999996</v>
      </c>
    </row>
    <row r="2982" spans="1:3" x14ac:dyDescent="0.3">
      <c r="A2982" s="1" t="s">
        <v>509</v>
      </c>
      <c r="B2982" t="s">
        <v>479</v>
      </c>
      <c r="C2982" s="1">
        <v>9.4760000000000009</v>
      </c>
    </row>
    <row r="2983" spans="1:3" x14ac:dyDescent="0.3">
      <c r="A2983" s="1" t="s">
        <v>509</v>
      </c>
      <c r="B2983" t="s">
        <v>480</v>
      </c>
      <c r="C2983" s="1">
        <v>9.375</v>
      </c>
    </row>
    <row r="2984" spans="1:3" x14ac:dyDescent="0.3">
      <c r="A2984" s="1" t="s">
        <v>509</v>
      </c>
      <c r="B2984" t="s">
        <v>481</v>
      </c>
      <c r="C2984" s="1">
        <v>9.4410000000000007</v>
      </c>
    </row>
    <row r="2985" spans="1:3" x14ac:dyDescent="0.3">
      <c r="A2985" s="1" t="s">
        <v>509</v>
      </c>
      <c r="B2985" t="s">
        <v>482</v>
      </c>
      <c r="C2985" s="1">
        <v>9.3979999999999997</v>
      </c>
    </row>
    <row r="2986" spans="1:3" x14ac:dyDescent="0.3">
      <c r="A2986" s="1" t="s">
        <v>509</v>
      </c>
      <c r="B2986" t="s">
        <v>483</v>
      </c>
      <c r="C2986" s="1">
        <v>9.4540000000000006</v>
      </c>
    </row>
    <row r="2987" spans="1:3" x14ac:dyDescent="0.3">
      <c r="A2987" s="1" t="s">
        <v>509</v>
      </c>
      <c r="B2987" t="s">
        <v>484</v>
      </c>
      <c r="C2987" s="1">
        <v>9.4450000000000003</v>
      </c>
    </row>
    <row r="2988" spans="1:3" x14ac:dyDescent="0.3">
      <c r="A2988" s="1" t="s">
        <v>509</v>
      </c>
      <c r="B2988" t="s">
        <v>485</v>
      </c>
      <c r="C2988" s="1">
        <v>9.5239999999999991</v>
      </c>
    </row>
    <row r="2989" spans="1:3" x14ac:dyDescent="0.3">
      <c r="A2989" s="1" t="s">
        <v>509</v>
      </c>
      <c r="B2989" t="s">
        <v>486</v>
      </c>
      <c r="C2989" s="1">
        <v>9.3810000000000002</v>
      </c>
    </row>
    <row r="2990" spans="1:3" x14ac:dyDescent="0.3">
      <c r="A2990" s="1" t="s">
        <v>509</v>
      </c>
      <c r="B2990" t="s">
        <v>487</v>
      </c>
      <c r="C2990" s="1">
        <v>9.4920000000000009</v>
      </c>
    </row>
    <row r="2991" spans="1:3" x14ac:dyDescent="0.3">
      <c r="A2991" s="1" t="s">
        <v>509</v>
      </c>
      <c r="B2991" t="s">
        <v>488</v>
      </c>
      <c r="C2991" s="1">
        <v>9.2460000000000004</v>
      </c>
    </row>
    <row r="2992" spans="1:3" x14ac:dyDescent="0.3">
      <c r="A2992" s="1" t="s">
        <v>509</v>
      </c>
      <c r="B2992" t="s">
        <v>489</v>
      </c>
      <c r="C2992" s="1">
        <v>9.3789999999999996</v>
      </c>
    </row>
    <row r="2993" spans="1:3" x14ac:dyDescent="0.3">
      <c r="A2993" s="1" t="s">
        <v>509</v>
      </c>
      <c r="B2993" t="s">
        <v>490</v>
      </c>
      <c r="C2993" s="1">
        <v>9.4499999999999993</v>
      </c>
    </row>
    <row r="2994" spans="1:3" x14ac:dyDescent="0.3">
      <c r="A2994" s="1" t="s">
        <v>509</v>
      </c>
      <c r="B2994" t="s">
        <v>491</v>
      </c>
      <c r="C2994" s="1">
        <v>9.3989999999999991</v>
      </c>
    </row>
    <row r="2995" spans="1:3" x14ac:dyDescent="0.3">
      <c r="A2995" s="1" t="s">
        <v>509</v>
      </c>
      <c r="B2995" t="s">
        <v>492</v>
      </c>
      <c r="C2995" s="1">
        <v>9.4789999999999992</v>
      </c>
    </row>
    <row r="2996" spans="1:3" x14ac:dyDescent="0.3">
      <c r="A2996" s="1" t="s">
        <v>509</v>
      </c>
      <c r="B2996" t="s">
        <v>493</v>
      </c>
      <c r="C2996" s="1">
        <v>9.5250000000000004</v>
      </c>
    </row>
    <row r="2997" spans="1:3" x14ac:dyDescent="0.3">
      <c r="A2997" s="1" t="s">
        <v>509</v>
      </c>
      <c r="B2997" t="s">
        <v>494</v>
      </c>
      <c r="C2997" s="1">
        <v>9.5350000000000001</v>
      </c>
    </row>
    <row r="2998" spans="1:3" x14ac:dyDescent="0.3">
      <c r="A2998" s="1" t="s">
        <v>509</v>
      </c>
      <c r="B2998" t="s">
        <v>495</v>
      </c>
      <c r="C2998" s="1">
        <v>9.2149999999999999</v>
      </c>
    </row>
    <row r="2999" spans="1:3" x14ac:dyDescent="0.3">
      <c r="A2999" s="1" t="s">
        <v>509</v>
      </c>
      <c r="B2999" t="s">
        <v>496</v>
      </c>
      <c r="C2999" s="1">
        <v>9.3030000000000008</v>
      </c>
    </row>
    <row r="3000" spans="1:3" x14ac:dyDescent="0.3">
      <c r="A3000" s="1" t="s">
        <v>509</v>
      </c>
      <c r="B3000" t="s">
        <v>497</v>
      </c>
      <c r="C3000" s="1">
        <v>9.6509999999999998</v>
      </c>
    </row>
    <row r="3001" spans="1:3" x14ac:dyDescent="0.3">
      <c r="A3001" s="1" t="s">
        <v>509</v>
      </c>
      <c r="B3001" t="s">
        <v>498</v>
      </c>
      <c r="C3001" s="1">
        <v>9.6720000000000006</v>
      </c>
    </row>
    <row r="3002" spans="1:3" x14ac:dyDescent="0.3">
      <c r="A3002" s="1" t="s">
        <v>509</v>
      </c>
      <c r="B3002" t="s">
        <v>499</v>
      </c>
      <c r="C3002" s="1">
        <v>9.7829999999999995</v>
      </c>
    </row>
    <row r="3003" spans="1:3" x14ac:dyDescent="0.3">
      <c r="A3003" s="1" t="s">
        <v>509</v>
      </c>
      <c r="B3003" t="s">
        <v>500</v>
      </c>
      <c r="C3003" s="1">
        <v>9.9990000000000006</v>
      </c>
    </row>
    <row r="3004" spans="1:3" x14ac:dyDescent="0.3">
      <c r="A3004" s="1" t="s">
        <v>509</v>
      </c>
      <c r="B3004" t="s">
        <v>501</v>
      </c>
      <c r="C3004" s="1">
        <v>9.9580000000000002</v>
      </c>
    </row>
    <row r="3005" spans="1:3" x14ac:dyDescent="0.3">
      <c r="A3005" s="1" t="s">
        <v>509</v>
      </c>
      <c r="B3005" t="s">
        <v>502</v>
      </c>
      <c r="C3005" s="1">
        <v>9.9589999999999996</v>
      </c>
    </row>
    <row r="3006" spans="1:3" x14ac:dyDescent="0.3">
      <c r="A3006" s="1" t="s">
        <v>509</v>
      </c>
      <c r="B3006" t="s">
        <v>503</v>
      </c>
      <c r="C3006" s="1">
        <v>9.99</v>
      </c>
    </row>
    <row r="3007" spans="1:3" x14ac:dyDescent="0.3">
      <c r="A3007" s="1" t="s">
        <v>509</v>
      </c>
      <c r="B3007" t="s">
        <v>504</v>
      </c>
      <c r="C3007" s="1">
        <v>9.9</v>
      </c>
    </row>
    <row r="3008" spans="1:3" x14ac:dyDescent="0.3">
      <c r="A3008" s="1" t="s">
        <v>510</v>
      </c>
      <c r="B3008" t="s">
        <v>4</v>
      </c>
      <c r="C3008" s="1">
        <v>3913.5600589999999</v>
      </c>
    </row>
    <row r="3009" spans="1:3" x14ac:dyDescent="0.3">
      <c r="A3009" s="1" t="s">
        <v>510</v>
      </c>
      <c r="B3009" t="s">
        <v>5</v>
      </c>
      <c r="C3009" s="1">
        <v>3861.98999</v>
      </c>
    </row>
    <row r="3010" spans="1:3" x14ac:dyDescent="0.3">
      <c r="A3010" s="1" t="s">
        <v>510</v>
      </c>
      <c r="B3010" t="s">
        <v>7</v>
      </c>
      <c r="C3010" s="1">
        <v>3814.959961</v>
      </c>
    </row>
    <row r="3011" spans="1:3" x14ac:dyDescent="0.3">
      <c r="A3011" s="1" t="s">
        <v>510</v>
      </c>
      <c r="B3011" t="s">
        <v>8</v>
      </c>
      <c r="C3011" s="1">
        <v>3800.1499020000001</v>
      </c>
    </row>
    <row r="3012" spans="1:3" x14ac:dyDescent="0.3">
      <c r="A3012" s="1" t="s">
        <v>510</v>
      </c>
      <c r="B3012" t="s">
        <v>9</v>
      </c>
      <c r="C3012" s="1">
        <v>3865.330078</v>
      </c>
    </row>
    <row r="3013" spans="1:3" x14ac:dyDescent="0.3">
      <c r="A3013" s="1" t="s">
        <v>510</v>
      </c>
      <c r="B3013" t="s">
        <v>10</v>
      </c>
      <c r="C3013" s="1">
        <v>3868.830078</v>
      </c>
    </row>
    <row r="3014" spans="1:3" x14ac:dyDescent="0.3">
      <c r="A3014" s="1" t="s">
        <v>510</v>
      </c>
      <c r="B3014" t="s">
        <v>11</v>
      </c>
      <c r="C3014" s="1">
        <v>3840.469971</v>
      </c>
    </row>
    <row r="3015" spans="1:3" x14ac:dyDescent="0.3">
      <c r="A3015" s="1" t="s">
        <v>510</v>
      </c>
      <c r="B3015" t="s">
        <v>12</v>
      </c>
      <c r="C3015" s="1">
        <v>3868.01001</v>
      </c>
    </row>
    <row r="3016" spans="1:3" x14ac:dyDescent="0.3">
      <c r="A3016" s="1" t="s">
        <v>510</v>
      </c>
      <c r="B3016" t="s">
        <v>13</v>
      </c>
      <c r="C3016" s="1">
        <v>3765.290039</v>
      </c>
    </row>
    <row r="3017" spans="1:3" x14ac:dyDescent="0.3">
      <c r="A3017" s="1" t="s">
        <v>510</v>
      </c>
      <c r="B3017" t="s">
        <v>14</v>
      </c>
      <c r="C3017" s="1">
        <v>3751.9799800000001</v>
      </c>
    </row>
    <row r="3018" spans="1:3" x14ac:dyDescent="0.3">
      <c r="A3018" s="1" t="s">
        <v>510</v>
      </c>
      <c r="B3018" t="s">
        <v>15</v>
      </c>
      <c r="C3018" s="1">
        <v>3809.780029</v>
      </c>
    </row>
    <row r="3019" spans="1:3" x14ac:dyDescent="0.3">
      <c r="A3019" s="1" t="s">
        <v>510</v>
      </c>
      <c r="B3019" t="s">
        <v>16</v>
      </c>
      <c r="C3019" s="1">
        <v>3866.540039</v>
      </c>
    </row>
    <row r="3020" spans="1:3" x14ac:dyDescent="0.3">
      <c r="A3020" s="1" t="s">
        <v>510</v>
      </c>
      <c r="B3020" t="s">
        <v>17</v>
      </c>
      <c r="C3020" s="1">
        <v>3805.8999020000001</v>
      </c>
    </row>
    <row r="3021" spans="1:3" x14ac:dyDescent="0.3">
      <c r="A3021" s="1" t="s">
        <v>510</v>
      </c>
      <c r="B3021" t="s">
        <v>18</v>
      </c>
      <c r="C3021" s="1">
        <v>3847.8400879999999</v>
      </c>
    </row>
    <row r="3022" spans="1:3" x14ac:dyDescent="0.3">
      <c r="A3022" s="1" t="s">
        <v>510</v>
      </c>
      <c r="B3022" t="s">
        <v>19</v>
      </c>
      <c r="C3022" s="1">
        <v>3839.0500489999999</v>
      </c>
    </row>
    <row r="3023" spans="1:3" x14ac:dyDescent="0.3">
      <c r="A3023" s="1" t="s">
        <v>510</v>
      </c>
      <c r="B3023" t="s">
        <v>20</v>
      </c>
      <c r="C3023" s="1">
        <v>3790.860107</v>
      </c>
    </row>
    <row r="3024" spans="1:3" x14ac:dyDescent="0.3">
      <c r="A3024" s="1" t="s">
        <v>510</v>
      </c>
      <c r="B3024" t="s">
        <v>21</v>
      </c>
      <c r="C3024" s="1">
        <v>3777.219971</v>
      </c>
    </row>
    <row r="3025" spans="1:3" x14ac:dyDescent="0.3">
      <c r="A3025" s="1" t="s">
        <v>510</v>
      </c>
      <c r="B3025" t="s">
        <v>22</v>
      </c>
      <c r="C3025" s="1">
        <v>3795.1000979999999</v>
      </c>
    </row>
    <row r="3026" spans="1:3" x14ac:dyDescent="0.3">
      <c r="A3026" s="1" t="s">
        <v>510</v>
      </c>
      <c r="B3026" t="s">
        <v>23</v>
      </c>
      <c r="C3026" s="1">
        <v>3753.280029</v>
      </c>
    </row>
    <row r="3027" spans="1:3" x14ac:dyDescent="0.3">
      <c r="A3027" s="1" t="s">
        <v>510</v>
      </c>
      <c r="B3027" t="s">
        <v>24</v>
      </c>
      <c r="C3027" s="1">
        <v>3820.01001</v>
      </c>
    </row>
    <row r="3028" spans="1:3" x14ac:dyDescent="0.3">
      <c r="A3028" s="1" t="s">
        <v>510</v>
      </c>
      <c r="B3028" t="s">
        <v>25</v>
      </c>
      <c r="C3028" s="1">
        <v>3848.8798830000001</v>
      </c>
    </row>
    <row r="3029" spans="1:3" x14ac:dyDescent="0.3">
      <c r="A3029" s="1" t="s">
        <v>510</v>
      </c>
      <c r="B3029" t="s">
        <v>26</v>
      </c>
      <c r="C3029" s="1">
        <v>3854.719971</v>
      </c>
    </row>
    <row r="3030" spans="1:3" x14ac:dyDescent="0.3">
      <c r="A3030" s="1" t="s">
        <v>510</v>
      </c>
      <c r="B3030" t="s">
        <v>27</v>
      </c>
      <c r="C3030" s="1">
        <v>3817.8100589999999</v>
      </c>
    </row>
    <row r="3031" spans="1:3" x14ac:dyDescent="0.3">
      <c r="A3031" s="1" t="s">
        <v>510</v>
      </c>
      <c r="B3031" t="s">
        <v>28</v>
      </c>
      <c r="C3031" s="1">
        <v>3878.530029</v>
      </c>
    </row>
    <row r="3032" spans="1:3" x14ac:dyDescent="0.3">
      <c r="A3032" s="1" t="s">
        <v>510</v>
      </c>
      <c r="B3032" t="s">
        <v>29</v>
      </c>
      <c r="C3032" s="1">
        <v>3937.889893</v>
      </c>
    </row>
    <row r="3033" spans="1:3" x14ac:dyDescent="0.3">
      <c r="A3033" s="1" t="s">
        <v>510</v>
      </c>
      <c r="B3033" t="s">
        <v>30</v>
      </c>
      <c r="C3033" s="1">
        <v>3964.73999</v>
      </c>
    </row>
    <row r="3034" spans="1:3" x14ac:dyDescent="0.3">
      <c r="A3034" s="1" t="s">
        <v>510</v>
      </c>
      <c r="B3034" t="s">
        <v>31</v>
      </c>
      <c r="C3034" s="1">
        <v>3992.040039</v>
      </c>
    </row>
    <row r="3035" spans="1:3" x14ac:dyDescent="0.3">
      <c r="A3035" s="1" t="s">
        <v>510</v>
      </c>
      <c r="B3035" t="s">
        <v>32</v>
      </c>
      <c r="C3035" s="1">
        <v>4009.7299800000001</v>
      </c>
    </row>
    <row r="3036" spans="1:3" x14ac:dyDescent="0.3">
      <c r="A3036" s="1" t="s">
        <v>510</v>
      </c>
      <c r="B3036" t="s">
        <v>33</v>
      </c>
      <c r="C3036" s="1">
        <v>4009.790039</v>
      </c>
    </row>
    <row r="3037" spans="1:3" x14ac:dyDescent="0.3">
      <c r="A3037" s="1" t="s">
        <v>510</v>
      </c>
      <c r="B3037" t="s">
        <v>34</v>
      </c>
      <c r="C3037" s="1">
        <v>4063.2299800000001</v>
      </c>
    </row>
    <row r="3038" spans="1:3" x14ac:dyDescent="0.3">
      <c r="A3038" s="1" t="s">
        <v>510</v>
      </c>
      <c r="B3038" t="s">
        <v>35</v>
      </c>
      <c r="C3038" s="1">
        <v>4073.389893</v>
      </c>
    </row>
    <row r="3039" spans="1:3" x14ac:dyDescent="0.3">
      <c r="A3039" s="1" t="s">
        <v>510</v>
      </c>
      <c r="B3039" t="s">
        <v>36</v>
      </c>
      <c r="C3039" s="1">
        <v>4078.669922</v>
      </c>
    </row>
    <row r="3040" spans="1:3" x14ac:dyDescent="0.3">
      <c r="A3040" s="1" t="s">
        <v>510</v>
      </c>
      <c r="B3040" t="s">
        <v>37</v>
      </c>
      <c r="C3040" s="1">
        <v>4050.080078</v>
      </c>
    </row>
    <row r="3041" spans="1:3" x14ac:dyDescent="0.3">
      <c r="A3041" s="1" t="s">
        <v>510</v>
      </c>
      <c r="B3041" t="s">
        <v>38</v>
      </c>
      <c r="C3041" s="1">
        <v>4016.6201169999999</v>
      </c>
    </row>
    <row r="3042" spans="1:3" x14ac:dyDescent="0.3">
      <c r="A3042" s="1" t="s">
        <v>510</v>
      </c>
      <c r="B3042" t="s">
        <v>39</v>
      </c>
      <c r="C3042" s="1">
        <v>4037.0900879999999</v>
      </c>
    </row>
    <row r="3043" spans="1:3" x14ac:dyDescent="0.3">
      <c r="A3043" s="1" t="s">
        <v>510</v>
      </c>
      <c r="B3043" t="s">
        <v>40</v>
      </c>
      <c r="C3043" s="1">
        <v>4037.8999020000001</v>
      </c>
    </row>
    <row r="3044" spans="1:3" x14ac:dyDescent="0.3">
      <c r="A3044" s="1" t="s">
        <v>510</v>
      </c>
      <c r="B3044" t="s">
        <v>41</v>
      </c>
      <c r="C3044" s="1">
        <v>3993.4499510000001</v>
      </c>
    </row>
    <row r="3045" spans="1:3" x14ac:dyDescent="0.3">
      <c r="A3045" s="1" t="s">
        <v>510</v>
      </c>
      <c r="B3045" t="s">
        <v>42</v>
      </c>
      <c r="C3045" s="1">
        <v>3976.0200199999999</v>
      </c>
    </row>
    <row r="3046" spans="1:3" x14ac:dyDescent="0.3">
      <c r="A3046" s="1" t="s">
        <v>510</v>
      </c>
      <c r="B3046" t="s">
        <v>43</v>
      </c>
      <c r="C3046" s="1">
        <v>3955.9499510000001</v>
      </c>
    </row>
    <row r="3047" spans="1:3" x14ac:dyDescent="0.3">
      <c r="A3047" s="1" t="s">
        <v>510</v>
      </c>
      <c r="B3047" t="s">
        <v>44</v>
      </c>
      <c r="C3047" s="1">
        <v>3967.030029</v>
      </c>
    </row>
    <row r="3048" spans="1:3" x14ac:dyDescent="0.3">
      <c r="A3048" s="1" t="s">
        <v>510</v>
      </c>
      <c r="B3048" t="s">
        <v>45</v>
      </c>
      <c r="C3048" s="1">
        <v>4013.6599120000001</v>
      </c>
    </row>
    <row r="3049" spans="1:3" x14ac:dyDescent="0.3">
      <c r="A3049" s="1" t="s">
        <v>510</v>
      </c>
      <c r="B3049" t="s">
        <v>46</v>
      </c>
      <c r="C3049" s="1">
        <v>4040.1599120000001</v>
      </c>
    </row>
    <row r="3050" spans="1:3" x14ac:dyDescent="0.3">
      <c r="A3050" s="1" t="s">
        <v>510</v>
      </c>
      <c r="B3050" t="s">
        <v>47</v>
      </c>
      <c r="C3050" s="1">
        <v>3991.6999510000001</v>
      </c>
    </row>
    <row r="3051" spans="1:3" x14ac:dyDescent="0.3">
      <c r="A3051" s="1" t="s">
        <v>510</v>
      </c>
      <c r="B3051" t="s">
        <v>48</v>
      </c>
      <c r="C3051" s="1">
        <v>3903.0200199999999</v>
      </c>
    </row>
    <row r="3052" spans="1:3" x14ac:dyDescent="0.3">
      <c r="A3052" s="1" t="s">
        <v>510</v>
      </c>
      <c r="B3052" t="s">
        <v>49</v>
      </c>
      <c r="C3052" s="1">
        <v>3856.0500489999999</v>
      </c>
    </row>
    <row r="3053" spans="1:3" x14ac:dyDescent="0.3">
      <c r="A3053" s="1" t="s">
        <v>510</v>
      </c>
      <c r="B3053" t="s">
        <v>50</v>
      </c>
      <c r="C3053" s="1">
        <v>3882.98999</v>
      </c>
    </row>
    <row r="3054" spans="1:3" x14ac:dyDescent="0.3">
      <c r="A3054" s="1" t="s">
        <v>510</v>
      </c>
      <c r="B3054" t="s">
        <v>51</v>
      </c>
      <c r="C3054" s="1">
        <v>3922.929932</v>
      </c>
    </row>
    <row r="3055" spans="1:3" x14ac:dyDescent="0.3">
      <c r="A3055" s="1" t="s">
        <v>510</v>
      </c>
      <c r="B3055" t="s">
        <v>52</v>
      </c>
      <c r="C3055" s="1">
        <v>3899.929932</v>
      </c>
    </row>
    <row r="3056" spans="1:3" x14ac:dyDescent="0.3">
      <c r="A3056" s="1" t="s">
        <v>510</v>
      </c>
      <c r="B3056" t="s">
        <v>53</v>
      </c>
      <c r="C3056" s="1">
        <v>3917.6999510000001</v>
      </c>
    </row>
    <row r="3057" spans="1:3" x14ac:dyDescent="0.3">
      <c r="A3057" s="1" t="s">
        <v>510</v>
      </c>
      <c r="B3057" t="s">
        <v>54</v>
      </c>
      <c r="C3057" s="1">
        <v>3958</v>
      </c>
    </row>
    <row r="3058" spans="1:3" x14ac:dyDescent="0.3">
      <c r="A3058" s="1" t="s">
        <v>510</v>
      </c>
      <c r="B3058" t="s">
        <v>55</v>
      </c>
      <c r="C3058" s="1">
        <v>4034.219971</v>
      </c>
    </row>
    <row r="3059" spans="1:3" x14ac:dyDescent="0.3">
      <c r="A3059" s="1" t="s">
        <v>510</v>
      </c>
      <c r="B3059" t="s">
        <v>56</v>
      </c>
      <c r="C3059" s="1">
        <v>4003.76001</v>
      </c>
    </row>
    <row r="3060" spans="1:3" x14ac:dyDescent="0.3">
      <c r="A3060" s="1" t="s">
        <v>510</v>
      </c>
      <c r="B3060" t="s">
        <v>57</v>
      </c>
      <c r="C3060" s="1">
        <v>4040.530029</v>
      </c>
    </row>
    <row r="3061" spans="1:3" x14ac:dyDescent="0.3">
      <c r="A3061" s="1" t="s">
        <v>510</v>
      </c>
      <c r="B3061" t="s">
        <v>58</v>
      </c>
      <c r="C3061" s="1">
        <v>4043.820068</v>
      </c>
    </row>
    <row r="3062" spans="1:3" x14ac:dyDescent="0.3">
      <c r="A3062" s="1" t="s">
        <v>510</v>
      </c>
      <c r="B3062" t="s">
        <v>59</v>
      </c>
      <c r="C3062" s="1">
        <v>4064.26001</v>
      </c>
    </row>
    <row r="3063" spans="1:3" x14ac:dyDescent="0.3">
      <c r="A3063" s="1" t="s">
        <v>510</v>
      </c>
      <c r="B3063" t="s">
        <v>60</v>
      </c>
      <c r="C3063" s="1">
        <v>4066.929932</v>
      </c>
    </row>
    <row r="3064" spans="1:3" x14ac:dyDescent="0.3">
      <c r="A3064" s="1" t="s">
        <v>510</v>
      </c>
      <c r="B3064" t="s">
        <v>61</v>
      </c>
      <c r="C3064" s="1">
        <v>4101.7202150000003</v>
      </c>
    </row>
    <row r="3065" spans="1:3" x14ac:dyDescent="0.3">
      <c r="A3065" s="1" t="s">
        <v>510</v>
      </c>
      <c r="B3065" t="s">
        <v>62</v>
      </c>
      <c r="C3065" s="1">
        <v>4110.7402339999999</v>
      </c>
    </row>
    <row r="3066" spans="1:3" x14ac:dyDescent="0.3">
      <c r="A3066" s="1" t="s">
        <v>510</v>
      </c>
      <c r="B3066" t="s">
        <v>63</v>
      </c>
      <c r="C3066" s="1">
        <v>4135.5097660000001</v>
      </c>
    </row>
    <row r="3067" spans="1:3" x14ac:dyDescent="0.3">
      <c r="A3067" s="1" t="s">
        <v>510</v>
      </c>
      <c r="B3067" t="s">
        <v>64</v>
      </c>
      <c r="C3067" s="1">
        <v>4103.0698240000002</v>
      </c>
    </row>
    <row r="3068" spans="1:3" x14ac:dyDescent="0.3">
      <c r="A3068" s="1" t="s">
        <v>510</v>
      </c>
      <c r="B3068" t="s">
        <v>65</v>
      </c>
      <c r="C3068" s="1">
        <v>4117.1801759999998</v>
      </c>
    </row>
    <row r="3069" spans="1:3" x14ac:dyDescent="0.3">
      <c r="A3069" s="1" t="s">
        <v>510</v>
      </c>
      <c r="B3069" t="s">
        <v>66</v>
      </c>
      <c r="C3069" s="1">
        <v>4140.4301759999998</v>
      </c>
    </row>
    <row r="3070" spans="1:3" x14ac:dyDescent="0.3">
      <c r="A3070" s="1" t="s">
        <v>510</v>
      </c>
      <c r="B3070" t="s">
        <v>67</v>
      </c>
      <c r="C3070" s="1">
        <v>4119.8598629999997</v>
      </c>
    </row>
    <row r="3071" spans="1:3" x14ac:dyDescent="0.3">
      <c r="A3071" s="1" t="s">
        <v>510</v>
      </c>
      <c r="B3071" t="s">
        <v>68</v>
      </c>
      <c r="C3071" s="1">
        <v>4133.7202150000003</v>
      </c>
    </row>
    <row r="3072" spans="1:3" x14ac:dyDescent="0.3">
      <c r="A3072" s="1" t="s">
        <v>510</v>
      </c>
      <c r="B3072" t="s">
        <v>69</v>
      </c>
      <c r="C3072" s="1">
        <v>4092.3701169999999</v>
      </c>
    </row>
    <row r="3073" spans="1:3" x14ac:dyDescent="0.3">
      <c r="A3073" s="1" t="s">
        <v>510</v>
      </c>
      <c r="B3073" t="s">
        <v>70</v>
      </c>
      <c r="C3073" s="1">
        <v>4113.7797849999997</v>
      </c>
    </row>
    <row r="3074" spans="1:3" x14ac:dyDescent="0.3">
      <c r="A3074" s="1" t="s">
        <v>510</v>
      </c>
      <c r="B3074" t="s">
        <v>71</v>
      </c>
      <c r="C3074" s="1">
        <v>4167.0600590000004</v>
      </c>
    </row>
    <row r="3075" spans="1:3" x14ac:dyDescent="0.3">
      <c r="A3075" s="1" t="s">
        <v>510</v>
      </c>
      <c r="B3075" t="s">
        <v>72</v>
      </c>
      <c r="C3075" s="1">
        <v>4170.5200199999999</v>
      </c>
    </row>
    <row r="3076" spans="1:3" x14ac:dyDescent="0.3">
      <c r="A3076" s="1" t="s">
        <v>510</v>
      </c>
      <c r="B3076" t="s">
        <v>73</v>
      </c>
      <c r="C3076" s="1">
        <v>4158.1201170000004</v>
      </c>
    </row>
    <row r="3077" spans="1:3" x14ac:dyDescent="0.3">
      <c r="A3077" s="1" t="s">
        <v>510</v>
      </c>
      <c r="B3077" t="s">
        <v>74</v>
      </c>
      <c r="C3077" s="1">
        <v>4168.6401370000003</v>
      </c>
    </row>
    <row r="3078" spans="1:3" x14ac:dyDescent="0.3">
      <c r="A3078" s="1" t="s">
        <v>510</v>
      </c>
      <c r="B3078" t="s">
        <v>75</v>
      </c>
      <c r="C3078" s="1">
        <v>4158.8598629999997</v>
      </c>
    </row>
    <row r="3079" spans="1:3" x14ac:dyDescent="0.3">
      <c r="A3079" s="1" t="s">
        <v>510</v>
      </c>
      <c r="B3079" t="s">
        <v>76</v>
      </c>
      <c r="C3079" s="1">
        <v>4152.4501950000003</v>
      </c>
    </row>
    <row r="3080" spans="1:3" x14ac:dyDescent="0.3">
      <c r="A3080" s="1" t="s">
        <v>510</v>
      </c>
      <c r="B3080" t="s">
        <v>77</v>
      </c>
      <c r="C3080" s="1">
        <v>4168.1801759999998</v>
      </c>
    </row>
    <row r="3081" spans="1:3" x14ac:dyDescent="0.3">
      <c r="A3081" s="1" t="s">
        <v>510</v>
      </c>
      <c r="B3081" t="s">
        <v>78</v>
      </c>
      <c r="C3081" s="1">
        <v>4132.8100590000004</v>
      </c>
    </row>
    <row r="3082" spans="1:3" x14ac:dyDescent="0.3">
      <c r="A3082" s="1" t="s">
        <v>510</v>
      </c>
      <c r="B3082" t="s">
        <v>79</v>
      </c>
      <c r="C3082" s="1">
        <v>4089</v>
      </c>
    </row>
    <row r="3083" spans="1:3" x14ac:dyDescent="0.3">
      <c r="A3083" s="1" t="s">
        <v>510</v>
      </c>
      <c r="B3083" t="s">
        <v>80</v>
      </c>
      <c r="C3083" s="1">
        <v>4122.1201170000004</v>
      </c>
    </row>
    <row r="3084" spans="1:3" x14ac:dyDescent="0.3">
      <c r="A3084" s="1" t="s">
        <v>510</v>
      </c>
      <c r="B3084" t="s">
        <v>81</v>
      </c>
      <c r="C3084" s="1">
        <v>4103.5</v>
      </c>
    </row>
    <row r="3085" spans="1:3" x14ac:dyDescent="0.3">
      <c r="A3085" s="1" t="s">
        <v>510</v>
      </c>
      <c r="B3085" t="s">
        <v>82</v>
      </c>
      <c r="C3085" s="1">
        <v>4084.719971</v>
      </c>
    </row>
    <row r="3086" spans="1:3" x14ac:dyDescent="0.3">
      <c r="A3086" s="1" t="s">
        <v>510</v>
      </c>
      <c r="B3086" t="s">
        <v>83</v>
      </c>
      <c r="C3086" s="1">
        <v>4080.9499510000001</v>
      </c>
    </row>
    <row r="3087" spans="1:3" x14ac:dyDescent="0.3">
      <c r="A3087" s="1" t="s">
        <v>510</v>
      </c>
      <c r="B3087" t="s">
        <v>84</v>
      </c>
      <c r="C3087" s="1">
        <v>4057.98999</v>
      </c>
    </row>
    <row r="3088" spans="1:3" x14ac:dyDescent="0.3">
      <c r="A3088" s="1" t="s">
        <v>510</v>
      </c>
      <c r="B3088" t="s">
        <v>85</v>
      </c>
      <c r="C3088" s="1">
        <v>4065.76001</v>
      </c>
    </row>
    <row r="3089" spans="1:3" x14ac:dyDescent="0.3">
      <c r="A3089" s="1" t="s">
        <v>510</v>
      </c>
      <c r="B3089" t="s">
        <v>86</v>
      </c>
      <c r="C3089" s="1">
        <v>4085.959961</v>
      </c>
    </row>
    <row r="3090" spans="1:3" x14ac:dyDescent="0.3">
      <c r="A3090" s="1" t="s">
        <v>510</v>
      </c>
      <c r="B3090" t="s">
        <v>87</v>
      </c>
      <c r="C3090" s="1">
        <v>4082.3500979999999</v>
      </c>
    </row>
    <row r="3091" spans="1:3" x14ac:dyDescent="0.3">
      <c r="A3091" s="1" t="s">
        <v>510</v>
      </c>
      <c r="B3091" t="s">
        <v>88</v>
      </c>
      <c r="C3091" s="1">
        <v>4083.570068</v>
      </c>
    </row>
    <row r="3092" spans="1:3" x14ac:dyDescent="0.3">
      <c r="A3092" s="1" t="s">
        <v>510</v>
      </c>
      <c r="B3092" t="s">
        <v>89</v>
      </c>
      <c r="C3092" s="1">
        <v>4077.389893</v>
      </c>
    </row>
    <row r="3093" spans="1:3" x14ac:dyDescent="0.3">
      <c r="A3093" s="1" t="s">
        <v>510</v>
      </c>
      <c r="B3093" t="s">
        <v>90</v>
      </c>
      <c r="C3093" s="1">
        <v>4059.929932</v>
      </c>
    </row>
    <row r="3094" spans="1:3" x14ac:dyDescent="0.3">
      <c r="A3094" s="1" t="s">
        <v>510</v>
      </c>
      <c r="B3094" t="s">
        <v>91</v>
      </c>
      <c r="C3094" s="1">
        <v>4011.4099120000001</v>
      </c>
    </row>
    <row r="3095" spans="1:3" x14ac:dyDescent="0.3">
      <c r="A3095" s="1" t="s">
        <v>510</v>
      </c>
      <c r="B3095" t="s">
        <v>92</v>
      </c>
      <c r="C3095" s="1">
        <v>3991.530029</v>
      </c>
    </row>
    <row r="3096" spans="1:3" x14ac:dyDescent="0.3">
      <c r="A3096" s="1" t="s">
        <v>510</v>
      </c>
      <c r="B3096" t="s">
        <v>93</v>
      </c>
      <c r="C3096" s="1">
        <v>4036.5</v>
      </c>
    </row>
    <row r="3097" spans="1:3" x14ac:dyDescent="0.3">
      <c r="A3097" s="1" t="s">
        <v>510</v>
      </c>
      <c r="B3097" t="s">
        <v>94</v>
      </c>
      <c r="C3097" s="1">
        <v>4026.459961</v>
      </c>
    </row>
    <row r="3098" spans="1:3" x14ac:dyDescent="0.3">
      <c r="A3098" s="1" t="s">
        <v>510</v>
      </c>
      <c r="B3098" t="s">
        <v>511</v>
      </c>
      <c r="C3098" s="1">
        <v>4026.459961</v>
      </c>
    </row>
    <row r="3099" spans="1:3" x14ac:dyDescent="0.3">
      <c r="A3099" s="1" t="s">
        <v>510</v>
      </c>
      <c r="B3099" t="s">
        <v>95</v>
      </c>
      <c r="C3099" s="1">
        <v>4048.75</v>
      </c>
    </row>
    <row r="3100" spans="1:3" x14ac:dyDescent="0.3">
      <c r="A3100" s="1" t="s">
        <v>510</v>
      </c>
      <c r="B3100" t="s">
        <v>96</v>
      </c>
      <c r="C3100" s="1">
        <v>4035.959961</v>
      </c>
    </row>
    <row r="3101" spans="1:3" x14ac:dyDescent="0.3">
      <c r="A3101" s="1" t="s">
        <v>510</v>
      </c>
      <c r="B3101" t="s">
        <v>97</v>
      </c>
      <c r="C3101" s="1">
        <v>4040.5500489999999</v>
      </c>
    </row>
    <row r="3102" spans="1:3" x14ac:dyDescent="0.3">
      <c r="A3102" s="1" t="s">
        <v>510</v>
      </c>
      <c r="B3102" t="s">
        <v>98</v>
      </c>
      <c r="C3102" s="1">
        <v>4064.7700199999999</v>
      </c>
    </row>
    <row r="3103" spans="1:3" x14ac:dyDescent="0.3">
      <c r="A3103" s="1" t="s">
        <v>510</v>
      </c>
      <c r="B3103" t="s">
        <v>99</v>
      </c>
      <c r="C3103" s="1">
        <v>4099.8598629999997</v>
      </c>
    </row>
    <row r="3104" spans="1:3" x14ac:dyDescent="0.3">
      <c r="A3104" s="1" t="s">
        <v>510</v>
      </c>
      <c r="B3104" t="s">
        <v>100</v>
      </c>
      <c r="C3104" s="1">
        <v>4135.0400390000004</v>
      </c>
    </row>
    <row r="3105" spans="1:3" x14ac:dyDescent="0.3">
      <c r="A3105" s="1" t="s">
        <v>510</v>
      </c>
      <c r="B3105" t="s">
        <v>101</v>
      </c>
      <c r="C3105" s="1">
        <v>4165.8999020000001</v>
      </c>
    </row>
    <row r="3106" spans="1:3" x14ac:dyDescent="0.3">
      <c r="A3106" s="1" t="s">
        <v>510</v>
      </c>
      <c r="B3106" t="s">
        <v>102</v>
      </c>
      <c r="C3106" s="1">
        <v>4175.9902339999999</v>
      </c>
    </row>
    <row r="3107" spans="1:3" x14ac:dyDescent="0.3">
      <c r="A3107" s="1" t="s">
        <v>510</v>
      </c>
      <c r="B3107" t="s">
        <v>103</v>
      </c>
      <c r="C3107" s="1">
        <v>4196.8598629999997</v>
      </c>
    </row>
    <row r="3108" spans="1:3" x14ac:dyDescent="0.3">
      <c r="A3108" s="1" t="s">
        <v>510</v>
      </c>
      <c r="B3108" t="s">
        <v>104</v>
      </c>
      <c r="C3108" s="1">
        <v>4236.9799800000001</v>
      </c>
    </row>
    <row r="3109" spans="1:3" x14ac:dyDescent="0.3">
      <c r="A3109" s="1" t="s">
        <v>510</v>
      </c>
      <c r="B3109" t="s">
        <v>105</v>
      </c>
      <c r="C3109" s="1">
        <v>4248.7001950000003</v>
      </c>
    </row>
    <row r="3110" spans="1:3" x14ac:dyDescent="0.3">
      <c r="A3110" s="1" t="s">
        <v>510</v>
      </c>
      <c r="B3110" t="s">
        <v>106</v>
      </c>
      <c r="C3110" s="1">
        <v>4255.7998049999997</v>
      </c>
    </row>
    <row r="3111" spans="1:3" x14ac:dyDescent="0.3">
      <c r="A3111" s="1" t="s">
        <v>510</v>
      </c>
      <c r="B3111" t="s">
        <v>107</v>
      </c>
      <c r="C3111" s="1">
        <v>4221.9799800000001</v>
      </c>
    </row>
    <row r="3112" spans="1:3" x14ac:dyDescent="0.3">
      <c r="A3112" s="1" t="s">
        <v>510</v>
      </c>
      <c r="B3112" t="s">
        <v>108</v>
      </c>
      <c r="C3112" s="1">
        <v>4285.0297849999997</v>
      </c>
    </row>
    <row r="3113" spans="1:3" x14ac:dyDescent="0.3">
      <c r="A3113" s="1" t="s">
        <v>510</v>
      </c>
      <c r="B3113" t="s">
        <v>109</v>
      </c>
      <c r="C3113" s="1">
        <v>4265.4702150000003</v>
      </c>
    </row>
    <row r="3114" spans="1:3" x14ac:dyDescent="0.3">
      <c r="A3114" s="1" t="s">
        <v>510</v>
      </c>
      <c r="B3114" t="s">
        <v>110</v>
      </c>
      <c r="C3114" s="1">
        <v>4259.8500979999999</v>
      </c>
    </row>
    <row r="3115" spans="1:3" x14ac:dyDescent="0.3">
      <c r="A3115" s="1" t="s">
        <v>510</v>
      </c>
      <c r="B3115" t="s">
        <v>111</v>
      </c>
      <c r="C3115" s="1">
        <v>4236.5498049999997</v>
      </c>
    </row>
    <row r="3116" spans="1:3" x14ac:dyDescent="0.3">
      <c r="A3116" s="1" t="s">
        <v>510</v>
      </c>
      <c r="B3116" t="s">
        <v>112</v>
      </c>
      <c r="C3116" s="1">
        <v>4239.5698240000002</v>
      </c>
    </row>
    <row r="3117" spans="1:3" x14ac:dyDescent="0.3">
      <c r="A3117" s="1" t="s">
        <v>510</v>
      </c>
      <c r="B3117" t="s">
        <v>113</v>
      </c>
      <c r="C3117" s="1">
        <v>4262.1201170000004</v>
      </c>
    </row>
    <row r="3118" spans="1:3" x14ac:dyDescent="0.3">
      <c r="A3118" s="1" t="s">
        <v>510</v>
      </c>
      <c r="B3118" t="s">
        <v>114</v>
      </c>
      <c r="C3118" s="1">
        <v>4285.5400390000004</v>
      </c>
    </row>
    <row r="3119" spans="1:3" x14ac:dyDescent="0.3">
      <c r="A3119" s="1" t="s">
        <v>510</v>
      </c>
      <c r="B3119" t="s">
        <v>115</v>
      </c>
      <c r="C3119" s="1">
        <v>4296.2900390000004</v>
      </c>
    </row>
    <row r="3120" spans="1:3" x14ac:dyDescent="0.3">
      <c r="A3120" s="1" t="s">
        <v>510</v>
      </c>
      <c r="B3120" t="s">
        <v>116</v>
      </c>
      <c r="C3120" s="1">
        <v>4295.8500979999999</v>
      </c>
    </row>
    <row r="3121" spans="1:3" x14ac:dyDescent="0.3">
      <c r="A3121" s="1" t="s">
        <v>510</v>
      </c>
      <c r="B3121" t="s">
        <v>117</v>
      </c>
      <c r="C3121" s="1">
        <v>4338.080078</v>
      </c>
    </row>
    <row r="3122" spans="1:3" x14ac:dyDescent="0.3">
      <c r="A3122" s="1" t="s">
        <v>510</v>
      </c>
      <c r="B3122" t="s">
        <v>118</v>
      </c>
      <c r="C3122" s="1">
        <v>4367.5297849999997</v>
      </c>
    </row>
    <row r="3123" spans="1:3" x14ac:dyDescent="0.3">
      <c r="A3123" s="1" t="s">
        <v>510</v>
      </c>
      <c r="B3123" t="s">
        <v>119</v>
      </c>
      <c r="C3123" s="1">
        <v>4396.4799800000001</v>
      </c>
    </row>
    <row r="3124" spans="1:3" x14ac:dyDescent="0.3">
      <c r="A3124" s="1" t="s">
        <v>510</v>
      </c>
      <c r="B3124" t="s">
        <v>120</v>
      </c>
      <c r="C3124" s="1">
        <v>4364.5898440000001</v>
      </c>
    </row>
    <row r="3125" spans="1:3" x14ac:dyDescent="0.3">
      <c r="A3125" s="1" t="s">
        <v>510</v>
      </c>
      <c r="B3125" t="s">
        <v>121</v>
      </c>
      <c r="C3125" s="1">
        <v>4352.1000979999999</v>
      </c>
    </row>
    <row r="3126" spans="1:3" x14ac:dyDescent="0.3">
      <c r="A3126" s="1" t="s">
        <v>510</v>
      </c>
      <c r="B3126" t="s">
        <v>122</v>
      </c>
      <c r="C3126" s="1">
        <v>4324.7700199999999</v>
      </c>
    </row>
    <row r="3127" spans="1:3" x14ac:dyDescent="0.3">
      <c r="A3127" s="1" t="s">
        <v>510</v>
      </c>
      <c r="B3127" t="s">
        <v>123</v>
      </c>
      <c r="C3127" s="1">
        <v>4344.2597660000001</v>
      </c>
    </row>
    <row r="3128" spans="1:3" x14ac:dyDescent="0.3">
      <c r="A3128" s="1" t="s">
        <v>510</v>
      </c>
      <c r="B3128" t="s">
        <v>124</v>
      </c>
      <c r="C3128" s="1">
        <v>4246.6801759999998</v>
      </c>
    </row>
    <row r="3129" spans="1:3" x14ac:dyDescent="0.3">
      <c r="A3129" s="1" t="s">
        <v>510</v>
      </c>
      <c r="B3129" t="s">
        <v>125</v>
      </c>
      <c r="C3129" s="1">
        <v>4323.9301759999998</v>
      </c>
    </row>
    <row r="3130" spans="1:3" x14ac:dyDescent="0.3">
      <c r="A3130" s="1" t="s">
        <v>510</v>
      </c>
      <c r="B3130" t="s">
        <v>126</v>
      </c>
      <c r="C3130" s="1">
        <v>4315.4101559999999</v>
      </c>
    </row>
    <row r="3131" spans="1:3" x14ac:dyDescent="0.3">
      <c r="A3131" s="1" t="s">
        <v>510</v>
      </c>
      <c r="B3131" t="s">
        <v>127</v>
      </c>
      <c r="C3131" s="1">
        <v>4322.7402339999999</v>
      </c>
    </row>
    <row r="3132" spans="1:3" x14ac:dyDescent="0.3">
      <c r="A3132" s="1" t="s">
        <v>510</v>
      </c>
      <c r="B3132" t="s">
        <v>128</v>
      </c>
      <c r="C3132" s="1">
        <v>4300.080078</v>
      </c>
    </row>
    <row r="3133" spans="1:3" x14ac:dyDescent="0.3">
      <c r="A3133" s="1" t="s">
        <v>510</v>
      </c>
      <c r="B3133" t="s">
        <v>129</v>
      </c>
      <c r="C3133" s="1">
        <v>4294.1000979999999</v>
      </c>
    </row>
    <row r="3134" spans="1:3" x14ac:dyDescent="0.3">
      <c r="A3134" s="1" t="s">
        <v>510</v>
      </c>
      <c r="B3134" t="s">
        <v>130</v>
      </c>
      <c r="C3134" s="1">
        <v>4359.7597660000001</v>
      </c>
    </row>
    <row r="3135" spans="1:3" x14ac:dyDescent="0.3">
      <c r="A3135" s="1" t="s">
        <v>510</v>
      </c>
      <c r="B3135" t="s">
        <v>131</v>
      </c>
      <c r="C3135" s="1">
        <v>4440.1401370000003</v>
      </c>
    </row>
    <row r="3136" spans="1:3" x14ac:dyDescent="0.3">
      <c r="A3136" s="1" t="s">
        <v>510</v>
      </c>
      <c r="B3136" t="s">
        <v>132</v>
      </c>
      <c r="C3136" s="1">
        <v>4485.8598629999997</v>
      </c>
    </row>
    <row r="3137" spans="1:3" x14ac:dyDescent="0.3">
      <c r="A3137" s="1" t="s">
        <v>510</v>
      </c>
      <c r="B3137" t="s">
        <v>133</v>
      </c>
      <c r="C3137" s="1">
        <v>4525.7202150000003</v>
      </c>
    </row>
    <row r="3138" spans="1:3" x14ac:dyDescent="0.3">
      <c r="A3138" s="1" t="s">
        <v>510</v>
      </c>
      <c r="B3138" t="s">
        <v>134</v>
      </c>
      <c r="C3138" s="1">
        <v>4517.5097660000001</v>
      </c>
    </row>
    <row r="3139" spans="1:3" x14ac:dyDescent="0.3">
      <c r="A3139" s="1" t="s">
        <v>510</v>
      </c>
      <c r="B3139" t="s">
        <v>135</v>
      </c>
      <c r="C3139" s="1">
        <v>4581.4902339999999</v>
      </c>
    </row>
    <row r="3140" spans="1:3" x14ac:dyDescent="0.3">
      <c r="A3140" s="1" t="s">
        <v>510</v>
      </c>
      <c r="B3140" t="s">
        <v>136</v>
      </c>
      <c r="C3140" s="1">
        <v>4558.5400390000004</v>
      </c>
    </row>
    <row r="3141" spans="1:3" x14ac:dyDescent="0.3">
      <c r="A3141" s="1" t="s">
        <v>510</v>
      </c>
      <c r="B3141" t="s">
        <v>137</v>
      </c>
      <c r="C3141" s="1">
        <v>4548.3198240000002</v>
      </c>
    </row>
    <row r="3142" spans="1:3" x14ac:dyDescent="0.3">
      <c r="A3142" s="1" t="s">
        <v>510</v>
      </c>
      <c r="B3142" t="s">
        <v>138</v>
      </c>
      <c r="C3142" s="1">
        <v>4546.5698240000002</v>
      </c>
    </row>
    <row r="3143" spans="1:3" x14ac:dyDescent="0.3">
      <c r="A3143" s="1" t="s">
        <v>510</v>
      </c>
      <c r="B3143" t="s">
        <v>139</v>
      </c>
      <c r="C3143" s="1">
        <v>4526.3798829999996</v>
      </c>
    </row>
    <row r="3144" spans="1:3" x14ac:dyDescent="0.3">
      <c r="A3144" s="1" t="s">
        <v>510</v>
      </c>
      <c r="B3144" t="s">
        <v>140</v>
      </c>
      <c r="C3144" s="1">
        <v>4458.7900390000004</v>
      </c>
    </row>
    <row r="3145" spans="1:3" x14ac:dyDescent="0.3">
      <c r="A3145" s="1" t="s">
        <v>510</v>
      </c>
      <c r="B3145" t="s">
        <v>141</v>
      </c>
      <c r="C3145" s="1">
        <v>4502.6801759999998</v>
      </c>
    </row>
    <row r="3146" spans="1:3" x14ac:dyDescent="0.3">
      <c r="A3146" s="1" t="s">
        <v>510</v>
      </c>
      <c r="B3146" t="s">
        <v>142</v>
      </c>
      <c r="C3146" s="1">
        <v>4483.8598629999997</v>
      </c>
    </row>
    <row r="3147" spans="1:3" x14ac:dyDescent="0.3">
      <c r="A3147" s="1" t="s">
        <v>510</v>
      </c>
      <c r="B3147" t="s">
        <v>143</v>
      </c>
      <c r="C3147" s="1">
        <v>4470</v>
      </c>
    </row>
    <row r="3148" spans="1:3" x14ac:dyDescent="0.3">
      <c r="A3148" s="1" t="s">
        <v>510</v>
      </c>
      <c r="B3148" t="s">
        <v>144</v>
      </c>
      <c r="C3148" s="1">
        <v>4317.0400390000004</v>
      </c>
    </row>
    <row r="3149" spans="1:3" x14ac:dyDescent="0.3">
      <c r="A3149" s="1" t="s">
        <v>510</v>
      </c>
      <c r="B3149" t="s">
        <v>145</v>
      </c>
      <c r="C3149" s="1">
        <v>4236.7099609999996</v>
      </c>
    </row>
    <row r="3150" spans="1:3" x14ac:dyDescent="0.3">
      <c r="A3150" s="1" t="s">
        <v>510</v>
      </c>
      <c r="B3150" t="s">
        <v>146</v>
      </c>
      <c r="C3150" s="1">
        <v>4276.2998049999997</v>
      </c>
    </row>
    <row r="3151" spans="1:3" x14ac:dyDescent="0.3">
      <c r="A3151" s="1" t="s">
        <v>510</v>
      </c>
      <c r="B3151" t="s">
        <v>147</v>
      </c>
      <c r="C3151" s="1">
        <v>4154.6000979999999</v>
      </c>
    </row>
    <row r="3152" spans="1:3" x14ac:dyDescent="0.3">
      <c r="A3152" s="1" t="s">
        <v>510</v>
      </c>
      <c r="B3152" t="s">
        <v>148</v>
      </c>
      <c r="C3152" s="1">
        <v>4026.2299800000001</v>
      </c>
    </row>
    <row r="3153" spans="1:3" x14ac:dyDescent="0.3">
      <c r="A3153" s="1" t="s">
        <v>510</v>
      </c>
      <c r="B3153" t="s">
        <v>149</v>
      </c>
      <c r="C3153" s="1">
        <v>4041.5600589999999</v>
      </c>
    </row>
    <row r="3154" spans="1:3" x14ac:dyDescent="0.3">
      <c r="A3154" s="1" t="s">
        <v>510</v>
      </c>
      <c r="B3154" t="s">
        <v>150</v>
      </c>
      <c r="C3154" s="1">
        <v>4081.8400879999999</v>
      </c>
    </row>
    <row r="3155" spans="1:3" x14ac:dyDescent="0.3">
      <c r="A3155" s="1" t="s">
        <v>510</v>
      </c>
      <c r="B3155" t="s">
        <v>151</v>
      </c>
      <c r="C3155" s="1">
        <v>4098.5097660000001</v>
      </c>
    </row>
    <row r="3156" spans="1:3" x14ac:dyDescent="0.3">
      <c r="A3156" s="1" t="s">
        <v>510</v>
      </c>
      <c r="B3156" t="s">
        <v>152</v>
      </c>
      <c r="C3156" s="1">
        <v>4024.5600589999999</v>
      </c>
    </row>
    <row r="3157" spans="1:3" x14ac:dyDescent="0.3">
      <c r="A3157" s="1" t="s">
        <v>510</v>
      </c>
      <c r="B3157" t="s">
        <v>153</v>
      </c>
      <c r="C3157" s="1">
        <v>3879.0200199999999</v>
      </c>
    </row>
    <row r="3158" spans="1:3" x14ac:dyDescent="0.3">
      <c r="A3158" s="1" t="s">
        <v>510</v>
      </c>
      <c r="B3158" t="s">
        <v>154</v>
      </c>
      <c r="C3158" s="1">
        <v>3595.9399410000001</v>
      </c>
    </row>
    <row r="3159" spans="1:3" x14ac:dyDescent="0.3">
      <c r="A3159" s="1" t="s">
        <v>510</v>
      </c>
      <c r="B3159" t="s">
        <v>155</v>
      </c>
      <c r="C3159" s="1">
        <v>3536.209961</v>
      </c>
    </row>
    <row r="3160" spans="1:3" x14ac:dyDescent="0.3">
      <c r="A3160" s="1" t="s">
        <v>510</v>
      </c>
      <c r="B3160" t="s">
        <v>156</v>
      </c>
      <c r="C3160" s="1">
        <v>3504.26001</v>
      </c>
    </row>
    <row r="3161" spans="1:3" x14ac:dyDescent="0.3">
      <c r="A3161" s="1" t="s">
        <v>510</v>
      </c>
      <c r="B3161" t="s">
        <v>157</v>
      </c>
      <c r="C3161" s="1">
        <v>3149.3400879999999</v>
      </c>
    </row>
    <row r="3162" spans="1:3" x14ac:dyDescent="0.3">
      <c r="A3162" s="1" t="s">
        <v>510</v>
      </c>
      <c r="B3162" t="s">
        <v>158</v>
      </c>
      <c r="C3162" s="1">
        <v>3095.48999</v>
      </c>
    </row>
    <row r="3163" spans="1:3" x14ac:dyDescent="0.3">
      <c r="A3163" s="1" t="s">
        <v>510</v>
      </c>
      <c r="B3163" t="s">
        <v>159</v>
      </c>
      <c r="C3163" s="1">
        <v>2935.3100589999999</v>
      </c>
    </row>
    <row r="3164" spans="1:3" x14ac:dyDescent="0.3">
      <c r="A3164" s="1" t="s">
        <v>510</v>
      </c>
      <c r="B3164" t="s">
        <v>160</v>
      </c>
      <c r="C3164" s="1">
        <v>2982.669922</v>
      </c>
    </row>
    <row r="3165" spans="1:3" x14ac:dyDescent="0.3">
      <c r="A3165" s="1" t="s">
        <v>510</v>
      </c>
      <c r="B3165" t="s">
        <v>161</v>
      </c>
      <c r="C3165" s="1">
        <v>2905.76001</v>
      </c>
    </row>
    <row r="3166" spans="1:3" x14ac:dyDescent="0.3">
      <c r="A3166" s="1" t="s">
        <v>510</v>
      </c>
      <c r="B3166" t="s">
        <v>162</v>
      </c>
      <c r="C3166" s="1">
        <v>3011.969971</v>
      </c>
    </row>
    <row r="3167" spans="1:3" x14ac:dyDescent="0.3">
      <c r="A3167" s="1" t="s">
        <v>510</v>
      </c>
      <c r="B3167" t="s">
        <v>163</v>
      </c>
      <c r="C3167" s="1">
        <v>3040.6899410000001</v>
      </c>
    </row>
    <row r="3168" spans="1:3" x14ac:dyDescent="0.3">
      <c r="A3168" s="1" t="s">
        <v>510</v>
      </c>
      <c r="B3168" t="s">
        <v>164</v>
      </c>
      <c r="C3168" s="1">
        <v>2911.419922</v>
      </c>
    </row>
    <row r="3169" spans="1:3" x14ac:dyDescent="0.3">
      <c r="A3169" s="1" t="s">
        <v>510</v>
      </c>
      <c r="B3169" t="s">
        <v>165</v>
      </c>
      <c r="C3169" s="1">
        <v>3112.070068</v>
      </c>
    </row>
    <row r="3170" spans="1:3" x14ac:dyDescent="0.3">
      <c r="A3170" s="1" t="s">
        <v>510</v>
      </c>
      <c r="B3170" t="s">
        <v>166</v>
      </c>
      <c r="C3170" s="1">
        <v>3252.1999510000001</v>
      </c>
    </row>
    <row r="3171" spans="1:3" x14ac:dyDescent="0.3">
      <c r="A3171" s="1" t="s">
        <v>510</v>
      </c>
      <c r="B3171" t="s">
        <v>167</v>
      </c>
      <c r="C3171" s="1">
        <v>3321.669922</v>
      </c>
    </row>
    <row r="3172" spans="1:3" x14ac:dyDescent="0.3">
      <c r="A3172" s="1" t="s">
        <v>510</v>
      </c>
      <c r="B3172" t="s">
        <v>168</v>
      </c>
      <c r="C3172" s="1">
        <v>3209.0900879999999</v>
      </c>
    </row>
    <row r="3173" spans="1:3" x14ac:dyDescent="0.3">
      <c r="A3173" s="1" t="s">
        <v>510</v>
      </c>
      <c r="B3173" t="s">
        <v>169</v>
      </c>
      <c r="C3173" s="1">
        <v>3225.080078</v>
      </c>
    </row>
    <row r="3174" spans="1:3" x14ac:dyDescent="0.3">
      <c r="A3174" s="1" t="s">
        <v>510</v>
      </c>
      <c r="B3174" t="s">
        <v>170</v>
      </c>
      <c r="C3174" s="1">
        <v>3382.459961</v>
      </c>
    </row>
    <row r="3175" spans="1:3" x14ac:dyDescent="0.3">
      <c r="A3175" s="1" t="s">
        <v>510</v>
      </c>
      <c r="B3175" t="s">
        <v>171</v>
      </c>
      <c r="C3175" s="1">
        <v>3263.1201169999999</v>
      </c>
    </row>
    <row r="3176" spans="1:3" x14ac:dyDescent="0.3">
      <c r="A3176" s="1" t="s">
        <v>510</v>
      </c>
      <c r="B3176" t="s">
        <v>172</v>
      </c>
      <c r="C3176" s="1">
        <v>3294.219971</v>
      </c>
    </row>
    <row r="3177" spans="1:3" x14ac:dyDescent="0.3">
      <c r="A3177" s="1" t="s">
        <v>510</v>
      </c>
      <c r="B3177" t="s">
        <v>173</v>
      </c>
      <c r="C3177" s="1">
        <v>3254.01001</v>
      </c>
    </row>
    <row r="3178" spans="1:3" x14ac:dyDescent="0.3">
      <c r="A3178" s="1" t="s">
        <v>510</v>
      </c>
      <c r="B3178" t="s">
        <v>174</v>
      </c>
      <c r="C3178" s="1">
        <v>3336.790039</v>
      </c>
    </row>
    <row r="3179" spans="1:3" x14ac:dyDescent="0.3">
      <c r="A3179" s="1" t="s">
        <v>510</v>
      </c>
      <c r="B3179" t="s">
        <v>175</v>
      </c>
      <c r="C3179" s="1">
        <v>3444.0200199999999</v>
      </c>
    </row>
    <row r="3180" spans="1:3" x14ac:dyDescent="0.3">
      <c r="A3180" s="1" t="s">
        <v>510</v>
      </c>
      <c r="B3180" t="s">
        <v>176</v>
      </c>
      <c r="C3180" s="1">
        <v>3434.5200199999999</v>
      </c>
    </row>
    <row r="3181" spans="1:3" x14ac:dyDescent="0.3">
      <c r="A3181" s="1" t="s">
        <v>510</v>
      </c>
      <c r="B3181" t="s">
        <v>177</v>
      </c>
      <c r="C3181" s="1">
        <v>3467.26001</v>
      </c>
    </row>
    <row r="3182" spans="1:3" x14ac:dyDescent="0.3">
      <c r="A3182" s="1" t="s">
        <v>510</v>
      </c>
      <c r="B3182" t="s">
        <v>178</v>
      </c>
      <c r="C3182" s="1">
        <v>3534.0900879999999</v>
      </c>
    </row>
    <row r="3183" spans="1:3" x14ac:dyDescent="0.3">
      <c r="A3183" s="1" t="s">
        <v>510</v>
      </c>
      <c r="B3183" t="s">
        <v>179</v>
      </c>
      <c r="C3183" s="1">
        <v>3385.76001</v>
      </c>
    </row>
    <row r="3184" spans="1:3" x14ac:dyDescent="0.3">
      <c r="A3184" s="1" t="s">
        <v>510</v>
      </c>
      <c r="B3184" t="s">
        <v>180</v>
      </c>
      <c r="C3184" s="1">
        <v>3382.790039</v>
      </c>
    </row>
    <row r="3185" spans="1:3" x14ac:dyDescent="0.3">
      <c r="A3185" s="1" t="s">
        <v>510</v>
      </c>
      <c r="B3185" t="s">
        <v>181</v>
      </c>
      <c r="C3185" s="1">
        <v>3470.1298830000001</v>
      </c>
    </row>
    <row r="3186" spans="1:3" x14ac:dyDescent="0.3">
      <c r="A3186" s="1" t="s">
        <v>510</v>
      </c>
      <c r="B3186" t="s">
        <v>182</v>
      </c>
      <c r="C3186" s="1">
        <v>3461.6298830000001</v>
      </c>
    </row>
    <row r="3187" spans="1:3" x14ac:dyDescent="0.3">
      <c r="A3187" s="1" t="s">
        <v>510</v>
      </c>
      <c r="B3187" t="s">
        <v>183</v>
      </c>
      <c r="C3187" s="1">
        <v>3347.8000489999999</v>
      </c>
    </row>
    <row r="3188" spans="1:3" x14ac:dyDescent="0.3">
      <c r="A3188" s="1" t="s">
        <v>510</v>
      </c>
      <c r="B3188" t="s">
        <v>184</v>
      </c>
      <c r="C3188" s="1">
        <v>3455.790039</v>
      </c>
    </row>
    <row r="3189" spans="1:3" x14ac:dyDescent="0.3">
      <c r="A3189" s="1" t="s">
        <v>510</v>
      </c>
      <c r="B3189" t="s">
        <v>185</v>
      </c>
      <c r="C3189" s="1">
        <v>3502.719971</v>
      </c>
    </row>
    <row r="3190" spans="1:3" x14ac:dyDescent="0.3">
      <c r="A3190" s="1" t="s">
        <v>510</v>
      </c>
      <c r="B3190" t="s">
        <v>186</v>
      </c>
      <c r="C3190" s="1">
        <v>3468.780029</v>
      </c>
    </row>
    <row r="3191" spans="1:3" x14ac:dyDescent="0.3">
      <c r="A3191" s="1" t="s">
        <v>510</v>
      </c>
      <c r="B3191" t="s">
        <v>187</v>
      </c>
      <c r="C3191" s="1">
        <v>3505.580078</v>
      </c>
    </row>
    <row r="3192" spans="1:3" x14ac:dyDescent="0.3">
      <c r="A3192" s="1" t="s">
        <v>510</v>
      </c>
      <c r="B3192" t="s">
        <v>188</v>
      </c>
      <c r="C3192" s="1">
        <v>3615.959961</v>
      </c>
    </row>
    <row r="3193" spans="1:3" x14ac:dyDescent="0.3">
      <c r="A3193" s="1" t="s">
        <v>510</v>
      </c>
      <c r="B3193" t="s">
        <v>189</v>
      </c>
      <c r="C3193" s="1">
        <v>3748.9099120000001</v>
      </c>
    </row>
    <row r="3194" spans="1:3" x14ac:dyDescent="0.3">
      <c r="A3194" s="1" t="s">
        <v>510</v>
      </c>
      <c r="B3194" t="s">
        <v>190</v>
      </c>
      <c r="C3194" s="1">
        <v>3739.209961</v>
      </c>
    </row>
    <row r="3195" spans="1:3" x14ac:dyDescent="0.3">
      <c r="A3195" s="1" t="s">
        <v>510</v>
      </c>
      <c r="B3195" t="s">
        <v>191</v>
      </c>
      <c r="C3195" s="1">
        <v>3580.929932</v>
      </c>
    </row>
    <row r="3196" spans="1:3" x14ac:dyDescent="0.3">
      <c r="A3196" s="1" t="s">
        <v>510</v>
      </c>
      <c r="B3196" t="s">
        <v>192</v>
      </c>
      <c r="C3196" s="1">
        <v>3615.919922</v>
      </c>
    </row>
    <row r="3197" spans="1:3" x14ac:dyDescent="0.3">
      <c r="A3197" s="1" t="s">
        <v>510</v>
      </c>
      <c r="B3197" t="s">
        <v>193</v>
      </c>
      <c r="C3197" s="1">
        <v>3602.580078</v>
      </c>
    </row>
    <row r="3198" spans="1:3" x14ac:dyDescent="0.3">
      <c r="A3198" s="1" t="s">
        <v>510</v>
      </c>
      <c r="B3198" t="s">
        <v>194</v>
      </c>
      <c r="C3198" s="1">
        <v>3657.0500489999999</v>
      </c>
    </row>
    <row r="3199" spans="1:3" x14ac:dyDescent="0.3">
      <c r="A3199" s="1" t="s">
        <v>510</v>
      </c>
      <c r="B3199" t="s">
        <v>195</v>
      </c>
      <c r="C3199" s="1">
        <v>3684.5900879999999</v>
      </c>
    </row>
    <row r="3200" spans="1:3" x14ac:dyDescent="0.3">
      <c r="A3200" s="1" t="s">
        <v>510</v>
      </c>
      <c r="B3200" t="s">
        <v>196</v>
      </c>
      <c r="C3200" s="1">
        <v>3672.360107</v>
      </c>
    </row>
    <row r="3201" spans="1:3" x14ac:dyDescent="0.3">
      <c r="A3201" s="1" t="s">
        <v>510</v>
      </c>
      <c r="B3201" t="s">
        <v>197</v>
      </c>
      <c r="C3201" s="1">
        <v>3699.070068</v>
      </c>
    </row>
    <row r="3202" spans="1:3" x14ac:dyDescent="0.3">
      <c r="A3202" s="1" t="s">
        <v>510</v>
      </c>
      <c r="B3202" t="s">
        <v>198</v>
      </c>
      <c r="C3202" s="1">
        <v>3605.110107</v>
      </c>
    </row>
    <row r="3203" spans="1:3" x14ac:dyDescent="0.3">
      <c r="A3203" s="1" t="s">
        <v>510</v>
      </c>
      <c r="B3203" t="s">
        <v>199</v>
      </c>
      <c r="C3203" s="1">
        <v>3514.1599120000001</v>
      </c>
    </row>
    <row r="3204" spans="1:3" x14ac:dyDescent="0.3">
      <c r="A3204" s="1" t="s">
        <v>510</v>
      </c>
      <c r="B3204" t="s">
        <v>200</v>
      </c>
      <c r="C3204" s="1">
        <v>3511.8999020000001</v>
      </c>
    </row>
    <row r="3205" spans="1:3" x14ac:dyDescent="0.3">
      <c r="A3205" s="1" t="s">
        <v>510</v>
      </c>
      <c r="B3205" t="s">
        <v>201</v>
      </c>
      <c r="C3205" s="1">
        <v>3693.959961</v>
      </c>
    </row>
    <row r="3206" spans="1:3" x14ac:dyDescent="0.3">
      <c r="A3206" s="1" t="s">
        <v>510</v>
      </c>
      <c r="B3206" t="s">
        <v>202</v>
      </c>
      <c r="C3206" s="1">
        <v>3706.889893</v>
      </c>
    </row>
    <row r="3207" spans="1:3" x14ac:dyDescent="0.3">
      <c r="A3207" s="1" t="s">
        <v>510</v>
      </c>
      <c r="B3207" t="s">
        <v>203</v>
      </c>
      <c r="C3207" s="1">
        <v>3765.3400879999999</v>
      </c>
    </row>
    <row r="3208" spans="1:3" x14ac:dyDescent="0.3">
      <c r="A3208" s="1" t="s">
        <v>510</v>
      </c>
      <c r="B3208" t="s">
        <v>204</v>
      </c>
      <c r="C3208" s="1">
        <v>3752.7700199999999</v>
      </c>
    </row>
    <row r="3209" spans="1:3" x14ac:dyDescent="0.3">
      <c r="A3209" s="1" t="s">
        <v>510</v>
      </c>
      <c r="B3209" t="s">
        <v>205</v>
      </c>
      <c r="C3209" s="1">
        <v>3787.3701169999999</v>
      </c>
    </row>
    <row r="3210" spans="1:3" x14ac:dyDescent="0.3">
      <c r="A3210" s="1" t="s">
        <v>510</v>
      </c>
      <c r="B3210" t="s">
        <v>206</v>
      </c>
      <c r="C3210" s="1">
        <v>3880.1298830000001</v>
      </c>
    </row>
    <row r="3211" spans="1:3" x14ac:dyDescent="0.3">
      <c r="A3211" s="1" t="s">
        <v>510</v>
      </c>
      <c r="B3211" t="s">
        <v>207</v>
      </c>
      <c r="C3211" s="1">
        <v>3953.830078</v>
      </c>
    </row>
    <row r="3212" spans="1:3" x14ac:dyDescent="0.3">
      <c r="A3212" s="1" t="s">
        <v>510</v>
      </c>
      <c r="B3212" t="s">
        <v>208</v>
      </c>
      <c r="C3212" s="1">
        <v>3998.1899410000001</v>
      </c>
    </row>
    <row r="3213" spans="1:3" x14ac:dyDescent="0.3">
      <c r="A3213" s="1" t="s">
        <v>510</v>
      </c>
      <c r="B3213" t="s">
        <v>209</v>
      </c>
      <c r="C3213" s="1">
        <v>3957.98999</v>
      </c>
    </row>
    <row r="3214" spans="1:3" x14ac:dyDescent="0.3">
      <c r="A3214" s="1" t="s">
        <v>510</v>
      </c>
      <c r="B3214" t="s">
        <v>210</v>
      </c>
      <c r="C3214" s="1">
        <v>3999.209961</v>
      </c>
    </row>
    <row r="3215" spans="1:3" x14ac:dyDescent="0.3">
      <c r="A3215" s="1" t="s">
        <v>510</v>
      </c>
      <c r="B3215" t="s">
        <v>211</v>
      </c>
      <c r="C3215" s="1">
        <v>4033.98999</v>
      </c>
    </row>
    <row r="3216" spans="1:3" x14ac:dyDescent="0.3">
      <c r="A3216" s="1" t="s">
        <v>510</v>
      </c>
      <c r="B3216" t="s">
        <v>212</v>
      </c>
      <c r="C3216" s="1">
        <v>4076.6201169999999</v>
      </c>
    </row>
    <row r="3217" spans="1:3" x14ac:dyDescent="0.3">
      <c r="A3217" s="1" t="s">
        <v>510</v>
      </c>
      <c r="B3217" t="s">
        <v>213</v>
      </c>
      <c r="C3217" s="1">
        <v>4078.4099120000001</v>
      </c>
    </row>
    <row r="3218" spans="1:3" x14ac:dyDescent="0.3">
      <c r="A3218" s="1" t="s">
        <v>510</v>
      </c>
      <c r="B3218" t="s">
        <v>214</v>
      </c>
      <c r="C3218" s="1">
        <v>4137.7900390000004</v>
      </c>
    </row>
    <row r="3219" spans="1:3" x14ac:dyDescent="0.3">
      <c r="A3219" s="1" t="s">
        <v>510</v>
      </c>
      <c r="B3219" t="s">
        <v>215</v>
      </c>
      <c r="C3219" s="1">
        <v>4128.8999020000001</v>
      </c>
    </row>
    <row r="3220" spans="1:3" x14ac:dyDescent="0.3">
      <c r="A3220" s="1" t="s">
        <v>510</v>
      </c>
      <c r="B3220" t="s">
        <v>216</v>
      </c>
      <c r="C3220" s="1">
        <v>4089.5600589999999</v>
      </c>
    </row>
    <row r="3221" spans="1:3" x14ac:dyDescent="0.3">
      <c r="A3221" s="1" t="s">
        <v>510</v>
      </c>
      <c r="B3221" t="s">
        <v>217</v>
      </c>
      <c r="C3221" s="1">
        <v>4049.179932</v>
      </c>
    </row>
    <row r="3222" spans="1:3" x14ac:dyDescent="0.3">
      <c r="A3222" s="1" t="s">
        <v>510</v>
      </c>
      <c r="B3222" t="s">
        <v>218</v>
      </c>
      <c r="C3222" s="1">
        <v>3880.419922</v>
      </c>
    </row>
    <row r="3223" spans="1:3" x14ac:dyDescent="0.3">
      <c r="A3223" s="1" t="s">
        <v>510</v>
      </c>
      <c r="B3223" t="s">
        <v>219</v>
      </c>
      <c r="C3223" s="1">
        <v>3905.23999</v>
      </c>
    </row>
    <row r="3224" spans="1:3" x14ac:dyDescent="0.3">
      <c r="A3224" s="1" t="s">
        <v>510</v>
      </c>
      <c r="B3224" t="s">
        <v>220</v>
      </c>
      <c r="C3224" s="1">
        <v>3888.8798830000001</v>
      </c>
    </row>
    <row r="3225" spans="1:3" x14ac:dyDescent="0.3">
      <c r="A3225" s="1" t="s">
        <v>510</v>
      </c>
      <c r="B3225" t="s">
        <v>221</v>
      </c>
      <c r="C3225" s="1">
        <v>4005.1201169999999</v>
      </c>
    </row>
    <row r="3226" spans="1:3" x14ac:dyDescent="0.3">
      <c r="A3226" s="1" t="s">
        <v>510</v>
      </c>
      <c r="B3226" t="s">
        <v>222</v>
      </c>
      <c r="C3226" s="1">
        <v>3983.169922</v>
      </c>
    </row>
    <row r="3227" spans="1:3" x14ac:dyDescent="0.3">
      <c r="A3227" s="1" t="s">
        <v>510</v>
      </c>
      <c r="B3227" t="s">
        <v>223</v>
      </c>
      <c r="C3227" s="1">
        <v>3976.1599120000001</v>
      </c>
    </row>
    <row r="3228" spans="1:3" x14ac:dyDescent="0.3">
      <c r="A3228" s="1" t="s">
        <v>510</v>
      </c>
      <c r="B3228" t="s">
        <v>224</v>
      </c>
      <c r="C3228" s="1">
        <v>3936.820068</v>
      </c>
    </row>
    <row r="3229" spans="1:3" x14ac:dyDescent="0.3">
      <c r="A3229" s="1" t="s">
        <v>510</v>
      </c>
      <c r="B3229" t="s">
        <v>225</v>
      </c>
      <c r="C3229" s="1">
        <v>3990.429932</v>
      </c>
    </row>
    <row r="3230" spans="1:3" x14ac:dyDescent="0.3">
      <c r="A3230" s="1" t="s">
        <v>510</v>
      </c>
      <c r="B3230" t="s">
        <v>226</v>
      </c>
      <c r="C3230" s="1">
        <v>3921</v>
      </c>
    </row>
    <row r="3231" spans="1:3" x14ac:dyDescent="0.3">
      <c r="A3231" s="1" t="s">
        <v>510</v>
      </c>
      <c r="B3231" t="s">
        <v>227</v>
      </c>
      <c r="C3231" s="1">
        <v>3931.580078</v>
      </c>
    </row>
    <row r="3232" spans="1:3" x14ac:dyDescent="0.3">
      <c r="A3232" s="1" t="s">
        <v>510</v>
      </c>
      <c r="B3232" t="s">
        <v>228</v>
      </c>
      <c r="C3232" s="1">
        <v>3926.76001</v>
      </c>
    </row>
    <row r="3233" spans="1:3" x14ac:dyDescent="0.3">
      <c r="A3233" s="1" t="s">
        <v>510</v>
      </c>
      <c r="B3233" t="s">
        <v>229</v>
      </c>
      <c r="C3233" s="1">
        <v>3947.76001</v>
      </c>
    </row>
    <row r="3234" spans="1:3" x14ac:dyDescent="0.3">
      <c r="A3234" s="1" t="s">
        <v>510</v>
      </c>
      <c r="B3234" t="s">
        <v>230</v>
      </c>
      <c r="C3234" s="1">
        <v>3927.389893</v>
      </c>
    </row>
    <row r="3235" spans="1:3" x14ac:dyDescent="0.3">
      <c r="A3235" s="1" t="s">
        <v>510</v>
      </c>
      <c r="B3235" t="s">
        <v>231</v>
      </c>
      <c r="C3235" s="1">
        <v>3943.969971</v>
      </c>
    </row>
    <row r="3236" spans="1:3" x14ac:dyDescent="0.3">
      <c r="A3236" s="1" t="s">
        <v>510</v>
      </c>
      <c r="B3236" t="s">
        <v>232</v>
      </c>
      <c r="C3236" s="1">
        <v>3993.01001</v>
      </c>
    </row>
    <row r="3237" spans="1:3" x14ac:dyDescent="0.3">
      <c r="A3237" s="1" t="s">
        <v>510</v>
      </c>
      <c r="B3237" t="s">
        <v>233</v>
      </c>
      <c r="C3237" s="1">
        <v>3976.030029</v>
      </c>
    </row>
    <row r="3238" spans="1:3" x14ac:dyDescent="0.3">
      <c r="A3238" s="1" t="s">
        <v>510</v>
      </c>
      <c r="B3238" t="s">
        <v>234</v>
      </c>
      <c r="C3238" s="1">
        <v>4055.3100589999999</v>
      </c>
    </row>
    <row r="3239" spans="1:3" x14ac:dyDescent="0.3">
      <c r="A3239" s="1" t="s">
        <v>510</v>
      </c>
      <c r="B3239" t="s">
        <v>235</v>
      </c>
      <c r="C3239" s="1">
        <v>4006.459961</v>
      </c>
    </row>
    <row r="3240" spans="1:3" x14ac:dyDescent="0.3">
      <c r="A3240" s="1" t="s">
        <v>510</v>
      </c>
      <c r="B3240" t="s">
        <v>236</v>
      </c>
      <c r="C3240" s="1">
        <v>3966.3100589999999</v>
      </c>
    </row>
    <row r="3241" spans="1:3" x14ac:dyDescent="0.3">
      <c r="A3241" s="1" t="s">
        <v>510</v>
      </c>
      <c r="B3241" t="s">
        <v>237</v>
      </c>
      <c r="C3241" s="1">
        <v>3918.610107</v>
      </c>
    </row>
    <row r="3242" spans="1:3" x14ac:dyDescent="0.3">
      <c r="A3242" s="1" t="s">
        <v>510</v>
      </c>
      <c r="B3242" t="s">
        <v>238</v>
      </c>
      <c r="C3242" s="1">
        <v>3942.8798830000001</v>
      </c>
    </row>
    <row r="3243" spans="1:3" x14ac:dyDescent="0.3">
      <c r="A3243" s="1" t="s">
        <v>510</v>
      </c>
      <c r="B3243" t="s">
        <v>239</v>
      </c>
      <c r="C3243" s="1">
        <v>4031.320068</v>
      </c>
    </row>
    <row r="3244" spans="1:3" x14ac:dyDescent="0.3">
      <c r="A3244" s="1" t="s">
        <v>510</v>
      </c>
      <c r="B3244" t="s">
        <v>240</v>
      </c>
      <c r="C3244" s="1">
        <v>4056.320068</v>
      </c>
    </row>
    <row r="3245" spans="1:3" x14ac:dyDescent="0.3">
      <c r="A3245" s="1" t="s">
        <v>510</v>
      </c>
      <c r="B3245" t="s">
        <v>241</v>
      </c>
      <c r="C3245" s="1">
        <v>4062.73999</v>
      </c>
    </row>
    <row r="3246" spans="1:3" x14ac:dyDescent="0.3">
      <c r="A3246" s="1" t="s">
        <v>510</v>
      </c>
      <c r="B3246" t="s">
        <v>242</v>
      </c>
      <c r="C3246" s="1">
        <v>4058.9799800000001</v>
      </c>
    </row>
    <row r="3247" spans="1:3" x14ac:dyDescent="0.3">
      <c r="A3247" s="1" t="s">
        <v>510</v>
      </c>
      <c r="B3247" t="s">
        <v>243</v>
      </c>
      <c r="C3247" s="1">
        <v>4070.9399410000001</v>
      </c>
    </row>
    <row r="3248" spans="1:3" x14ac:dyDescent="0.3">
      <c r="A3248" s="1" t="s">
        <v>510</v>
      </c>
      <c r="B3248" t="s">
        <v>244</v>
      </c>
      <c r="C3248" s="1">
        <v>4111.1899409999996</v>
      </c>
    </row>
    <row r="3249" spans="1:3" x14ac:dyDescent="0.3">
      <c r="A3249" s="1" t="s">
        <v>510</v>
      </c>
      <c r="B3249" t="s">
        <v>245</v>
      </c>
      <c r="C3249" s="1">
        <v>4122.7099609999996</v>
      </c>
    </row>
    <row r="3250" spans="1:3" x14ac:dyDescent="0.3">
      <c r="A3250" s="1" t="s">
        <v>510</v>
      </c>
      <c r="B3250" t="s">
        <v>246</v>
      </c>
      <c r="C3250" s="1">
        <v>4141.7001950000003</v>
      </c>
    </row>
    <row r="3251" spans="1:3" x14ac:dyDescent="0.3">
      <c r="A3251" s="1" t="s">
        <v>510</v>
      </c>
      <c r="B3251" t="s">
        <v>247</v>
      </c>
      <c r="C3251" s="1">
        <v>4206.2001950000003</v>
      </c>
    </row>
    <row r="3252" spans="1:3" x14ac:dyDescent="0.3">
      <c r="A3252" s="1" t="s">
        <v>510</v>
      </c>
      <c r="B3252" t="s">
        <v>248</v>
      </c>
      <c r="C3252" s="1">
        <v>4174.7001950000003</v>
      </c>
    </row>
    <row r="3253" spans="1:3" x14ac:dyDescent="0.3">
      <c r="A3253" s="1" t="s">
        <v>510</v>
      </c>
      <c r="B3253" t="s">
        <v>249</v>
      </c>
      <c r="C3253" s="1">
        <v>4142.3398440000001</v>
      </c>
    </row>
    <row r="3254" spans="1:3" x14ac:dyDescent="0.3">
      <c r="A3254" s="1" t="s">
        <v>510</v>
      </c>
      <c r="B3254" t="s">
        <v>250</v>
      </c>
      <c r="C3254" s="1">
        <v>4122.6000979999999</v>
      </c>
    </row>
    <row r="3255" spans="1:3" x14ac:dyDescent="0.3">
      <c r="A3255" s="1" t="s">
        <v>510</v>
      </c>
      <c r="B3255" t="s">
        <v>251</v>
      </c>
      <c r="C3255" s="1">
        <v>4101.080078</v>
      </c>
    </row>
    <row r="3256" spans="1:3" x14ac:dyDescent="0.3">
      <c r="A3256" s="1" t="s">
        <v>510</v>
      </c>
      <c r="B3256" t="s">
        <v>252</v>
      </c>
      <c r="C3256" s="1">
        <v>4016.320068</v>
      </c>
    </row>
    <row r="3257" spans="1:3" x14ac:dyDescent="0.3">
      <c r="A3257" s="1" t="s">
        <v>510</v>
      </c>
      <c r="B3257" t="s">
        <v>253</v>
      </c>
      <c r="C3257" s="1">
        <v>4078.959961</v>
      </c>
    </row>
    <row r="3258" spans="1:3" x14ac:dyDescent="0.3">
      <c r="A3258" s="1" t="s">
        <v>510</v>
      </c>
      <c r="B3258" t="s">
        <v>254</v>
      </c>
      <c r="C3258" s="1">
        <v>4145.9599609999996</v>
      </c>
    </row>
    <row r="3259" spans="1:3" x14ac:dyDescent="0.3">
      <c r="A3259" s="1" t="s">
        <v>510</v>
      </c>
      <c r="B3259" t="s">
        <v>255</v>
      </c>
      <c r="C3259" s="1">
        <v>4151.0297849999997</v>
      </c>
    </row>
    <row r="3260" spans="1:3" x14ac:dyDescent="0.3">
      <c r="A3260" s="1" t="s">
        <v>510</v>
      </c>
      <c r="B3260" t="s">
        <v>256</v>
      </c>
      <c r="C3260" s="1">
        <v>4151.0600590000004</v>
      </c>
    </row>
    <row r="3261" spans="1:3" x14ac:dyDescent="0.3">
      <c r="A3261" s="1" t="s">
        <v>510</v>
      </c>
      <c r="B3261" t="s">
        <v>257</v>
      </c>
      <c r="C3261" s="1">
        <v>4137.4799800000001</v>
      </c>
    </row>
    <row r="3262" spans="1:3" x14ac:dyDescent="0.3">
      <c r="A3262" s="1" t="s">
        <v>510</v>
      </c>
      <c r="B3262" t="s">
        <v>258</v>
      </c>
      <c r="C3262" s="1">
        <v>4151.4501950000003</v>
      </c>
    </row>
    <row r="3263" spans="1:3" x14ac:dyDescent="0.3">
      <c r="A3263" s="1" t="s">
        <v>510</v>
      </c>
      <c r="B3263" t="s">
        <v>259</v>
      </c>
      <c r="C3263" s="1">
        <v>4170.6000979999999</v>
      </c>
    </row>
    <row r="3264" spans="1:3" x14ac:dyDescent="0.3">
      <c r="A3264" s="1" t="s">
        <v>510</v>
      </c>
      <c r="B3264" t="s">
        <v>260</v>
      </c>
      <c r="C3264" s="1">
        <v>4217.080078</v>
      </c>
    </row>
    <row r="3265" spans="1:3" x14ac:dyDescent="0.3">
      <c r="A3265" s="1" t="s">
        <v>510</v>
      </c>
      <c r="B3265" t="s">
        <v>261</v>
      </c>
      <c r="C3265" s="1">
        <v>4258.4799800000001</v>
      </c>
    </row>
    <row r="3266" spans="1:3" x14ac:dyDescent="0.3">
      <c r="A3266" s="1" t="s">
        <v>510</v>
      </c>
      <c r="B3266" t="s">
        <v>262</v>
      </c>
      <c r="C3266" s="1">
        <v>4247.1401370000003</v>
      </c>
    </row>
    <row r="3267" spans="1:3" x14ac:dyDescent="0.3">
      <c r="A3267" s="1" t="s">
        <v>510</v>
      </c>
      <c r="B3267" t="s">
        <v>263</v>
      </c>
      <c r="C3267" s="1">
        <v>4209.4301759999998</v>
      </c>
    </row>
    <row r="3268" spans="1:3" x14ac:dyDescent="0.3">
      <c r="A3268" s="1" t="s">
        <v>510</v>
      </c>
      <c r="B3268" t="s">
        <v>264</v>
      </c>
      <c r="C3268" s="1">
        <v>4253.5200199999999</v>
      </c>
    </row>
    <row r="3269" spans="1:3" x14ac:dyDescent="0.3">
      <c r="A3269" s="1" t="s">
        <v>510</v>
      </c>
      <c r="B3269" t="s">
        <v>265</v>
      </c>
      <c r="C3269" s="1">
        <v>4240.4599609999996</v>
      </c>
    </row>
    <row r="3270" spans="1:3" x14ac:dyDescent="0.3">
      <c r="A3270" s="1" t="s">
        <v>510</v>
      </c>
      <c r="B3270" t="s">
        <v>266</v>
      </c>
      <c r="C3270" s="1">
        <v>4255.2700199999999</v>
      </c>
    </row>
    <row r="3271" spans="1:3" x14ac:dyDescent="0.3">
      <c r="A3271" s="1" t="s">
        <v>510</v>
      </c>
      <c r="B3271" t="s">
        <v>267</v>
      </c>
      <c r="C3271" s="1">
        <v>4223.3798829999996</v>
      </c>
    </row>
    <row r="3272" spans="1:3" x14ac:dyDescent="0.3">
      <c r="A3272" s="1" t="s">
        <v>510</v>
      </c>
      <c r="B3272" t="s">
        <v>268</v>
      </c>
      <c r="C3272" s="1">
        <v>4225.9101559999999</v>
      </c>
    </row>
    <row r="3273" spans="1:3" x14ac:dyDescent="0.3">
      <c r="A3273" s="1" t="s">
        <v>510</v>
      </c>
      <c r="B3273" t="s">
        <v>269</v>
      </c>
      <c r="C3273" s="1">
        <v>4285.6098629999997</v>
      </c>
    </row>
    <row r="3274" spans="1:3" x14ac:dyDescent="0.3">
      <c r="A3274" s="1" t="s">
        <v>510</v>
      </c>
      <c r="B3274" t="s">
        <v>270</v>
      </c>
      <c r="C3274" s="1">
        <v>4302.1499020000001</v>
      </c>
    </row>
    <row r="3275" spans="1:3" x14ac:dyDescent="0.3">
      <c r="A3275" s="1" t="s">
        <v>510</v>
      </c>
      <c r="B3275" t="s">
        <v>271</v>
      </c>
      <c r="C3275" s="1">
        <v>4353.3100590000004</v>
      </c>
    </row>
    <row r="3276" spans="1:3" x14ac:dyDescent="0.3">
      <c r="A3276" s="1" t="s">
        <v>510</v>
      </c>
      <c r="B3276" t="s">
        <v>272</v>
      </c>
      <c r="C3276" s="1">
        <v>4338.8798829999996</v>
      </c>
    </row>
    <row r="3277" spans="1:3" x14ac:dyDescent="0.3">
      <c r="A3277" s="1" t="s">
        <v>510</v>
      </c>
      <c r="B3277" t="s">
        <v>273</v>
      </c>
      <c r="C3277" s="1">
        <v>4333.0297849999997</v>
      </c>
    </row>
    <row r="3278" spans="1:3" x14ac:dyDescent="0.3">
      <c r="A3278" s="1" t="s">
        <v>510</v>
      </c>
      <c r="B3278" t="s">
        <v>274</v>
      </c>
      <c r="C3278" s="1">
        <v>4308.7998049999997</v>
      </c>
    </row>
    <row r="3279" spans="1:3" x14ac:dyDescent="0.3">
      <c r="A3279" s="1" t="s">
        <v>510</v>
      </c>
      <c r="B3279" t="s">
        <v>275</v>
      </c>
      <c r="C3279" s="1">
        <v>4301.7001950000003</v>
      </c>
    </row>
    <row r="3280" spans="1:3" x14ac:dyDescent="0.3">
      <c r="A3280" s="1" t="s">
        <v>510</v>
      </c>
      <c r="B3280" t="s">
        <v>276</v>
      </c>
      <c r="C3280" s="1">
        <v>4331.5698240000002</v>
      </c>
    </row>
    <row r="3281" spans="1:3" x14ac:dyDescent="0.3">
      <c r="A3281" s="1" t="s">
        <v>510</v>
      </c>
      <c r="B3281" t="s">
        <v>277</v>
      </c>
      <c r="C3281" s="1">
        <v>4271.3598629999997</v>
      </c>
    </row>
    <row r="3282" spans="1:3" x14ac:dyDescent="0.3">
      <c r="A3282" s="1" t="s">
        <v>510</v>
      </c>
      <c r="B3282" t="s">
        <v>278</v>
      </c>
      <c r="C3282" s="1">
        <v>4263.3198240000002</v>
      </c>
    </row>
    <row r="3283" spans="1:3" x14ac:dyDescent="0.3">
      <c r="A3283" s="1" t="s">
        <v>510</v>
      </c>
      <c r="B3283" t="s">
        <v>279</v>
      </c>
      <c r="C3283" s="1">
        <v>4313.0898440000001</v>
      </c>
    </row>
    <row r="3284" spans="1:3" x14ac:dyDescent="0.3">
      <c r="A3284" s="1" t="s">
        <v>510</v>
      </c>
      <c r="B3284" t="s">
        <v>280</v>
      </c>
      <c r="C3284" s="1">
        <v>4269.2099609999996</v>
      </c>
    </row>
    <row r="3285" spans="1:3" x14ac:dyDescent="0.3">
      <c r="A3285" s="1" t="s">
        <v>510</v>
      </c>
      <c r="B3285" t="s">
        <v>281</v>
      </c>
      <c r="C3285" s="1">
        <v>4342.9301759999998</v>
      </c>
    </row>
    <row r="3286" spans="1:3" x14ac:dyDescent="0.3">
      <c r="A3286" s="1" t="s">
        <v>510</v>
      </c>
      <c r="B3286" t="s">
        <v>282</v>
      </c>
      <c r="C3286" s="1">
        <v>4326.1098629999997</v>
      </c>
    </row>
    <row r="3287" spans="1:3" x14ac:dyDescent="0.3">
      <c r="A3287" s="1" t="s">
        <v>510</v>
      </c>
      <c r="B3287" t="s">
        <v>283</v>
      </c>
      <c r="C3287" s="1">
        <v>4317.0498049999997</v>
      </c>
    </row>
    <row r="3288" spans="1:3" x14ac:dyDescent="0.3">
      <c r="A3288" s="1" t="s">
        <v>510</v>
      </c>
      <c r="B3288" t="s">
        <v>284</v>
      </c>
      <c r="C3288" s="1">
        <v>4308.5698240000002</v>
      </c>
    </row>
    <row r="3289" spans="1:3" x14ac:dyDescent="0.3">
      <c r="A3289" s="1" t="s">
        <v>510</v>
      </c>
      <c r="B3289" t="s">
        <v>285</v>
      </c>
      <c r="C3289" s="1">
        <v>4336.4301759999998</v>
      </c>
    </row>
    <row r="3290" spans="1:3" x14ac:dyDescent="0.3">
      <c r="A3290" s="1" t="s">
        <v>510</v>
      </c>
      <c r="B3290" t="s">
        <v>286</v>
      </c>
      <c r="C3290" s="1">
        <v>4397.7597660000001</v>
      </c>
    </row>
    <row r="3291" spans="1:3" x14ac:dyDescent="0.3">
      <c r="A3291" s="1" t="s">
        <v>510</v>
      </c>
      <c r="B3291" t="s">
        <v>287</v>
      </c>
      <c r="C3291" s="1">
        <v>4399.9599609999996</v>
      </c>
    </row>
    <row r="3292" spans="1:3" x14ac:dyDescent="0.3">
      <c r="A3292" s="1" t="s">
        <v>510</v>
      </c>
      <c r="B3292" t="s">
        <v>288</v>
      </c>
      <c r="C3292" s="1">
        <v>4403.6499020000001</v>
      </c>
    </row>
    <row r="3293" spans="1:3" x14ac:dyDescent="0.3">
      <c r="A3293" s="1" t="s">
        <v>510</v>
      </c>
      <c r="B3293" t="s">
        <v>289</v>
      </c>
      <c r="C3293" s="1">
        <v>4254.8500979999999</v>
      </c>
    </row>
    <row r="3294" spans="1:3" x14ac:dyDescent="0.3">
      <c r="A3294" s="1" t="s">
        <v>510</v>
      </c>
      <c r="B3294" t="s">
        <v>290</v>
      </c>
      <c r="C3294" s="1">
        <v>4301.3500979999999</v>
      </c>
    </row>
    <row r="3295" spans="1:3" x14ac:dyDescent="0.3">
      <c r="A3295" s="1" t="s">
        <v>510</v>
      </c>
      <c r="B3295" t="s">
        <v>291</v>
      </c>
      <c r="C3295" s="1">
        <v>4299.919922</v>
      </c>
    </row>
    <row r="3296" spans="1:3" x14ac:dyDescent="0.3">
      <c r="A3296" s="1" t="s">
        <v>510</v>
      </c>
      <c r="B3296" t="s">
        <v>292</v>
      </c>
      <c r="C3296" s="1">
        <v>4249.080078</v>
      </c>
    </row>
    <row r="3297" spans="1:3" x14ac:dyDescent="0.3">
      <c r="A3297" s="1" t="s">
        <v>510</v>
      </c>
      <c r="B3297" t="s">
        <v>293</v>
      </c>
      <c r="C3297" s="1">
        <v>4215.6499020000001</v>
      </c>
    </row>
    <row r="3298" spans="1:3" x14ac:dyDescent="0.3">
      <c r="A3298" s="1" t="s">
        <v>510</v>
      </c>
      <c r="B3298" t="s">
        <v>294</v>
      </c>
      <c r="C3298" s="1">
        <v>4309.080078</v>
      </c>
    </row>
    <row r="3299" spans="1:3" x14ac:dyDescent="0.3">
      <c r="A3299" s="1" t="s">
        <v>510</v>
      </c>
      <c r="B3299" t="s">
        <v>295</v>
      </c>
      <c r="C3299" s="1">
        <v>4291.6499020000001</v>
      </c>
    </row>
    <row r="3300" spans="1:3" x14ac:dyDescent="0.3">
      <c r="A3300" s="1" t="s">
        <v>510</v>
      </c>
      <c r="B3300" t="s">
        <v>296</v>
      </c>
      <c r="C3300" s="1">
        <v>4280.9702150000003</v>
      </c>
    </row>
    <row r="3301" spans="1:3" x14ac:dyDescent="0.3">
      <c r="A3301" s="1" t="s">
        <v>510</v>
      </c>
      <c r="B3301" t="s">
        <v>297</v>
      </c>
      <c r="C3301" s="1">
        <v>4320.169922</v>
      </c>
    </row>
    <row r="3302" spans="1:3" x14ac:dyDescent="0.3">
      <c r="A3302" s="1" t="s">
        <v>510</v>
      </c>
      <c r="B3302" t="s">
        <v>298</v>
      </c>
      <c r="C3302" s="1">
        <v>4317.4101559999999</v>
      </c>
    </row>
    <row r="3303" spans="1:3" x14ac:dyDescent="0.3">
      <c r="A3303" s="1" t="s">
        <v>510</v>
      </c>
      <c r="B3303" t="s">
        <v>299</v>
      </c>
      <c r="C3303" s="1">
        <v>4380.4799800000001</v>
      </c>
    </row>
    <row r="3304" spans="1:3" x14ac:dyDescent="0.3">
      <c r="A3304" s="1" t="s">
        <v>510</v>
      </c>
      <c r="B3304" t="s">
        <v>300</v>
      </c>
      <c r="C3304" s="1">
        <v>4372.2597660000001</v>
      </c>
    </row>
    <row r="3305" spans="1:3" x14ac:dyDescent="0.3">
      <c r="A3305" s="1" t="s">
        <v>510</v>
      </c>
      <c r="B3305" t="s">
        <v>301</v>
      </c>
      <c r="C3305" s="1">
        <v>4364.6601559999999</v>
      </c>
    </row>
    <row r="3306" spans="1:3" x14ac:dyDescent="0.3">
      <c r="A3306" s="1" t="s">
        <v>510</v>
      </c>
      <c r="B3306" t="s">
        <v>302</v>
      </c>
      <c r="C3306" s="1">
        <v>4379.5898440000001</v>
      </c>
    </row>
    <row r="3307" spans="1:3" x14ac:dyDescent="0.3">
      <c r="A3307" s="1" t="s">
        <v>510</v>
      </c>
      <c r="B3307" t="s">
        <v>303</v>
      </c>
      <c r="C3307" s="1">
        <v>4419.2099609999996</v>
      </c>
    </row>
    <row r="3308" spans="1:3" x14ac:dyDescent="0.3">
      <c r="A3308" s="1" t="s">
        <v>510</v>
      </c>
      <c r="B3308" t="s">
        <v>304</v>
      </c>
      <c r="C3308" s="1">
        <v>4470.0400390000004</v>
      </c>
    </row>
    <row r="3309" spans="1:3" x14ac:dyDescent="0.3">
      <c r="A3309" s="1" t="s">
        <v>510</v>
      </c>
      <c r="B3309" t="s">
        <v>305</v>
      </c>
      <c r="C3309" s="1">
        <v>4439.580078</v>
      </c>
    </row>
    <row r="3310" spans="1:3" x14ac:dyDescent="0.3">
      <c r="A3310" s="1" t="s">
        <v>510</v>
      </c>
      <c r="B3310" t="s">
        <v>306</v>
      </c>
      <c r="C3310" s="1">
        <v>4468.2299800000001</v>
      </c>
    </row>
    <row r="3311" spans="1:3" x14ac:dyDescent="0.3">
      <c r="A3311" s="1" t="s">
        <v>510</v>
      </c>
      <c r="B3311" t="s">
        <v>307</v>
      </c>
      <c r="C3311" s="1">
        <v>4403.0200199999999</v>
      </c>
    </row>
    <row r="3312" spans="1:3" x14ac:dyDescent="0.3">
      <c r="A3312" s="1" t="s">
        <v>510</v>
      </c>
      <c r="B3312" t="s">
        <v>308</v>
      </c>
      <c r="C3312" s="1">
        <v>4439.4902339999999</v>
      </c>
    </row>
    <row r="3313" spans="1:3" x14ac:dyDescent="0.3">
      <c r="A3313" s="1" t="s">
        <v>510</v>
      </c>
      <c r="B3313" t="s">
        <v>309</v>
      </c>
      <c r="C3313" s="1">
        <v>4447.5200199999999</v>
      </c>
    </row>
    <row r="3314" spans="1:3" x14ac:dyDescent="0.3">
      <c r="A3314" s="1" t="s">
        <v>510</v>
      </c>
      <c r="B3314" t="s">
        <v>310</v>
      </c>
      <c r="C3314" s="1">
        <v>4429.080078</v>
      </c>
    </row>
    <row r="3315" spans="1:3" x14ac:dyDescent="0.3">
      <c r="A3315" s="1" t="s">
        <v>510</v>
      </c>
      <c r="B3315" t="s">
        <v>311</v>
      </c>
      <c r="C3315" s="1">
        <v>4384.1098629999997</v>
      </c>
    </row>
    <row r="3316" spans="1:3" x14ac:dyDescent="0.3">
      <c r="A3316" s="1" t="s">
        <v>510</v>
      </c>
      <c r="B3316" t="s">
        <v>312</v>
      </c>
      <c r="C3316" s="1">
        <v>4366.0200199999999</v>
      </c>
    </row>
    <row r="3317" spans="1:3" x14ac:dyDescent="0.3">
      <c r="A3317" s="1" t="s">
        <v>510</v>
      </c>
      <c r="B3317" t="s">
        <v>313</v>
      </c>
      <c r="C3317" s="1">
        <v>4385.1499020000001</v>
      </c>
    </row>
    <row r="3318" spans="1:3" x14ac:dyDescent="0.3">
      <c r="A3318" s="1" t="s">
        <v>510</v>
      </c>
      <c r="B3318" t="s">
        <v>314</v>
      </c>
      <c r="C3318" s="1">
        <v>4299.8598629999997</v>
      </c>
    </row>
    <row r="3319" spans="1:3" x14ac:dyDescent="0.3">
      <c r="A3319" s="1" t="s">
        <v>510</v>
      </c>
      <c r="B3319" t="s">
        <v>315</v>
      </c>
      <c r="C3319" s="1">
        <v>4237.4301759999998</v>
      </c>
    </row>
    <row r="3320" spans="1:3" x14ac:dyDescent="0.3">
      <c r="A3320" s="1" t="s">
        <v>510</v>
      </c>
      <c r="B3320" t="s">
        <v>316</v>
      </c>
      <c r="C3320" s="1">
        <v>4113.3701170000004</v>
      </c>
    </row>
    <row r="3321" spans="1:3" x14ac:dyDescent="0.3">
      <c r="A3321" s="1" t="s">
        <v>510</v>
      </c>
      <c r="B3321" t="s">
        <v>317</v>
      </c>
      <c r="C3321" s="1">
        <v>4036.919922</v>
      </c>
    </row>
    <row r="3322" spans="1:3" x14ac:dyDescent="0.3">
      <c r="A3322" s="1" t="s">
        <v>510</v>
      </c>
      <c r="B3322" t="s">
        <v>318</v>
      </c>
      <c r="C3322" s="1">
        <v>4057</v>
      </c>
    </row>
    <row r="3323" spans="1:3" x14ac:dyDescent="0.3">
      <c r="A3323" s="1" t="s">
        <v>510</v>
      </c>
      <c r="B3323" t="s">
        <v>319</v>
      </c>
      <c r="C3323" s="1">
        <v>4105.8798829999996</v>
      </c>
    </row>
    <row r="3324" spans="1:3" x14ac:dyDescent="0.3">
      <c r="A3324" s="1" t="s">
        <v>510</v>
      </c>
      <c r="B3324" t="s">
        <v>320</v>
      </c>
      <c r="C3324" s="1">
        <v>4213.3198240000002</v>
      </c>
    </row>
    <row r="3325" spans="1:3" x14ac:dyDescent="0.3">
      <c r="A3325" s="1" t="s">
        <v>510</v>
      </c>
      <c r="B3325" t="s">
        <v>321</v>
      </c>
      <c r="C3325" s="1">
        <v>4256.0297849999997</v>
      </c>
    </row>
    <row r="3326" spans="1:3" x14ac:dyDescent="0.3">
      <c r="A3326" s="1" t="s">
        <v>510</v>
      </c>
      <c r="B3326" t="s">
        <v>322</v>
      </c>
      <c r="C3326" s="1">
        <v>4295.2700199999999</v>
      </c>
    </row>
    <row r="3327" spans="1:3" x14ac:dyDescent="0.3">
      <c r="A3327" s="1" t="s">
        <v>510</v>
      </c>
      <c r="B3327" t="s">
        <v>323</v>
      </c>
      <c r="C3327" s="1">
        <v>4281.7700199999999</v>
      </c>
    </row>
    <row r="3328" spans="1:3" x14ac:dyDescent="0.3">
      <c r="A3328" s="1" t="s">
        <v>510</v>
      </c>
      <c r="B3328" t="s">
        <v>324</v>
      </c>
      <c r="C3328" s="1">
        <v>4446</v>
      </c>
    </row>
    <row r="3329" spans="1:3" x14ac:dyDescent="0.3">
      <c r="A3329" s="1" t="s">
        <v>510</v>
      </c>
      <c r="B3329" t="s">
        <v>325</v>
      </c>
      <c r="C3329" s="1">
        <v>4503.2700199999999</v>
      </c>
    </row>
    <row r="3330" spans="1:3" x14ac:dyDescent="0.3">
      <c r="A3330" s="1" t="s">
        <v>510</v>
      </c>
      <c r="B3330" t="s">
        <v>326</v>
      </c>
      <c r="C3330" s="1">
        <v>4478.4799800000001</v>
      </c>
    </row>
    <row r="3331" spans="1:3" x14ac:dyDescent="0.3">
      <c r="A3331" s="1" t="s">
        <v>510</v>
      </c>
      <c r="B3331" t="s">
        <v>327</v>
      </c>
      <c r="C3331" s="1">
        <v>4429.1601559999999</v>
      </c>
    </row>
    <row r="3332" spans="1:3" x14ac:dyDescent="0.3">
      <c r="A3332" s="1" t="s">
        <v>510</v>
      </c>
      <c r="B3332" t="s">
        <v>328</v>
      </c>
      <c r="C3332" s="1">
        <v>4421.330078</v>
      </c>
    </row>
    <row r="3333" spans="1:3" x14ac:dyDescent="0.3">
      <c r="A3333" s="1" t="s">
        <v>510</v>
      </c>
      <c r="B3333" t="s">
        <v>329</v>
      </c>
      <c r="C3333" s="1">
        <v>4464.3100590000004</v>
      </c>
    </row>
    <row r="3334" spans="1:3" x14ac:dyDescent="0.3">
      <c r="A3334" s="1" t="s">
        <v>510</v>
      </c>
      <c r="B3334" t="s">
        <v>330</v>
      </c>
      <c r="C3334" s="1">
        <v>4470.6899409999996</v>
      </c>
    </row>
    <row r="3335" spans="1:3" x14ac:dyDescent="0.3">
      <c r="A3335" s="1" t="s">
        <v>510</v>
      </c>
      <c r="B3335" t="s">
        <v>331</v>
      </c>
      <c r="C3335" s="1">
        <v>4504.75</v>
      </c>
    </row>
    <row r="3336" spans="1:3" x14ac:dyDescent="0.3">
      <c r="A3336" s="1" t="s">
        <v>510</v>
      </c>
      <c r="B3336" t="s">
        <v>332</v>
      </c>
      <c r="C3336" s="1">
        <v>4464.4902339999999</v>
      </c>
    </row>
    <row r="3337" spans="1:3" x14ac:dyDescent="0.3">
      <c r="A3337" s="1" t="s">
        <v>510</v>
      </c>
      <c r="B3337" t="s">
        <v>333</v>
      </c>
      <c r="C3337" s="1">
        <v>4491.4501950000003</v>
      </c>
    </row>
    <row r="3338" spans="1:3" x14ac:dyDescent="0.3">
      <c r="A3338" s="1" t="s">
        <v>510</v>
      </c>
      <c r="B3338" t="s">
        <v>334</v>
      </c>
      <c r="C3338" s="1">
        <v>4506.8100590000004</v>
      </c>
    </row>
    <row r="3339" spans="1:3" x14ac:dyDescent="0.3">
      <c r="A3339" s="1" t="s">
        <v>510</v>
      </c>
      <c r="B3339" t="s">
        <v>335</v>
      </c>
      <c r="C3339" s="1">
        <v>4560.3701170000004</v>
      </c>
    </row>
    <row r="3340" spans="1:3" x14ac:dyDescent="0.3">
      <c r="A3340" s="1" t="s">
        <v>510</v>
      </c>
      <c r="B3340" t="s">
        <v>336</v>
      </c>
      <c r="C3340" s="1">
        <v>4575.080078</v>
      </c>
    </row>
    <row r="3341" spans="1:3" x14ac:dyDescent="0.3">
      <c r="A3341" s="1" t="s">
        <v>510</v>
      </c>
      <c r="B3341" t="s">
        <v>337</v>
      </c>
      <c r="C3341" s="1">
        <v>4567.6401370000003</v>
      </c>
    </row>
    <row r="3342" spans="1:3" x14ac:dyDescent="0.3">
      <c r="A3342" s="1" t="s">
        <v>510</v>
      </c>
      <c r="B3342" t="s">
        <v>338</v>
      </c>
      <c r="C3342" s="1">
        <v>4624.1098629999997</v>
      </c>
    </row>
    <row r="3343" spans="1:3" x14ac:dyDescent="0.3">
      <c r="A3343" s="1" t="s">
        <v>510</v>
      </c>
      <c r="B3343" t="s">
        <v>339</v>
      </c>
      <c r="C3343" s="1">
        <v>4564.6601559999999</v>
      </c>
    </row>
    <row r="3344" spans="1:3" x14ac:dyDescent="0.3">
      <c r="A3344" s="1" t="s">
        <v>510</v>
      </c>
      <c r="B3344" t="s">
        <v>340</v>
      </c>
      <c r="C3344" s="1">
        <v>4589.6601559999999</v>
      </c>
    </row>
    <row r="3345" spans="1:3" x14ac:dyDescent="0.3">
      <c r="A3345" s="1" t="s">
        <v>510</v>
      </c>
      <c r="B3345" t="s">
        <v>341</v>
      </c>
      <c r="C3345" s="1">
        <v>4571.9702150000003</v>
      </c>
    </row>
    <row r="3346" spans="1:3" x14ac:dyDescent="0.3">
      <c r="A3346" s="1" t="s">
        <v>510</v>
      </c>
      <c r="B3346" t="s">
        <v>342</v>
      </c>
      <c r="C3346" s="1">
        <v>4557.419922</v>
      </c>
    </row>
    <row r="3347" spans="1:3" x14ac:dyDescent="0.3">
      <c r="A3347" s="1" t="s">
        <v>510</v>
      </c>
      <c r="B3347" t="s">
        <v>343</v>
      </c>
      <c r="C3347" s="1">
        <v>4547.169922</v>
      </c>
    </row>
    <row r="3348" spans="1:3" x14ac:dyDescent="0.3">
      <c r="A3348" s="1" t="s">
        <v>510</v>
      </c>
      <c r="B3348" t="s">
        <v>344</v>
      </c>
      <c r="C3348" s="1">
        <v>4571.1201170000004</v>
      </c>
    </row>
    <row r="3349" spans="1:3" x14ac:dyDescent="0.3">
      <c r="A3349" s="1" t="s">
        <v>510</v>
      </c>
      <c r="B3349" t="s">
        <v>345</v>
      </c>
      <c r="C3349" s="1">
        <v>4607.6899409999996</v>
      </c>
    </row>
    <row r="3350" spans="1:3" x14ac:dyDescent="0.3">
      <c r="A3350" s="1" t="s">
        <v>510</v>
      </c>
      <c r="B3350" t="s">
        <v>346</v>
      </c>
      <c r="C3350" s="1">
        <v>4594.4902339999999</v>
      </c>
    </row>
    <row r="3351" spans="1:3" x14ac:dyDescent="0.3">
      <c r="A3351" s="1" t="s">
        <v>510</v>
      </c>
      <c r="B3351" t="s">
        <v>347</v>
      </c>
      <c r="C3351" s="1">
        <v>4585.3198240000002</v>
      </c>
    </row>
    <row r="3352" spans="1:3" x14ac:dyDescent="0.3">
      <c r="A3352" s="1" t="s">
        <v>510</v>
      </c>
      <c r="B3352" t="s">
        <v>348</v>
      </c>
      <c r="C3352" s="1">
        <v>4547.9501950000003</v>
      </c>
    </row>
    <row r="3353" spans="1:3" x14ac:dyDescent="0.3">
      <c r="A3353" s="1" t="s">
        <v>510</v>
      </c>
      <c r="B3353" t="s">
        <v>349</v>
      </c>
      <c r="C3353" s="1">
        <v>4553.3701170000004</v>
      </c>
    </row>
    <row r="3354" spans="1:3" x14ac:dyDescent="0.3">
      <c r="A3354" s="1" t="s">
        <v>510</v>
      </c>
      <c r="B3354" t="s">
        <v>350</v>
      </c>
      <c r="C3354" s="1">
        <v>4594.669922</v>
      </c>
    </row>
    <row r="3355" spans="1:3" x14ac:dyDescent="0.3">
      <c r="A3355" s="1" t="s">
        <v>510</v>
      </c>
      <c r="B3355" t="s">
        <v>351</v>
      </c>
      <c r="C3355" s="1">
        <v>4603.0400390000004</v>
      </c>
    </row>
    <row r="3356" spans="1:3" x14ac:dyDescent="0.3">
      <c r="A3356" s="1" t="s">
        <v>510</v>
      </c>
      <c r="B3356" t="s">
        <v>352</v>
      </c>
      <c r="C3356" s="1">
        <v>4578.9501950000003</v>
      </c>
    </row>
    <row r="3357" spans="1:3" x14ac:dyDescent="0.3">
      <c r="A3357" s="1" t="s">
        <v>510</v>
      </c>
      <c r="B3357" t="s">
        <v>353</v>
      </c>
      <c r="C3357" s="1">
        <v>4575.419922</v>
      </c>
    </row>
    <row r="3358" spans="1:3" x14ac:dyDescent="0.3">
      <c r="A3358" s="1" t="s">
        <v>510</v>
      </c>
      <c r="B3358" t="s">
        <v>354</v>
      </c>
      <c r="C3358" s="1">
        <v>4468.9399409999996</v>
      </c>
    </row>
    <row r="3359" spans="1:3" x14ac:dyDescent="0.3">
      <c r="A3359" s="1" t="s">
        <v>510</v>
      </c>
      <c r="B3359" t="s">
        <v>355</v>
      </c>
      <c r="C3359" s="1">
        <v>4500.2700199999999</v>
      </c>
    </row>
    <row r="3360" spans="1:3" x14ac:dyDescent="0.3">
      <c r="A3360" s="1" t="s">
        <v>510</v>
      </c>
      <c r="B3360" t="s">
        <v>356</v>
      </c>
      <c r="C3360" s="1">
        <v>4530.2099609999996</v>
      </c>
    </row>
    <row r="3361" spans="1:3" x14ac:dyDescent="0.3">
      <c r="A3361" s="1" t="s">
        <v>510</v>
      </c>
      <c r="B3361" t="s">
        <v>357</v>
      </c>
      <c r="C3361" s="1">
        <v>4584.0097660000001</v>
      </c>
    </row>
    <row r="3362" spans="1:3" x14ac:dyDescent="0.3">
      <c r="A3362" s="1" t="s">
        <v>510</v>
      </c>
      <c r="B3362" t="s">
        <v>358</v>
      </c>
      <c r="C3362" s="1">
        <v>4622.8398440000001</v>
      </c>
    </row>
    <row r="3363" spans="1:3" x14ac:dyDescent="0.3">
      <c r="A3363" s="1" t="s">
        <v>510</v>
      </c>
      <c r="B3363" t="s">
        <v>359</v>
      </c>
      <c r="C3363" s="1"/>
    </row>
    <row r="3364" spans="1:3" x14ac:dyDescent="0.3">
      <c r="A3364" s="1" t="s">
        <v>510</v>
      </c>
      <c r="B3364" t="s">
        <v>360</v>
      </c>
      <c r="C3364" s="1">
        <v>4611.0498049999997</v>
      </c>
    </row>
    <row r="3365" spans="1:3" x14ac:dyDescent="0.3">
      <c r="A3365" s="1" t="s">
        <v>510</v>
      </c>
      <c r="B3365" t="s">
        <v>361</v>
      </c>
      <c r="C3365" s="1">
        <v>4599.3901370000003</v>
      </c>
    </row>
    <row r="3366" spans="1:3" x14ac:dyDescent="0.3">
      <c r="A3366" s="1" t="s">
        <v>510</v>
      </c>
      <c r="B3366" t="s">
        <v>362</v>
      </c>
      <c r="C3366" s="1">
        <v>4738.2402339999999</v>
      </c>
    </row>
    <row r="3367" spans="1:3" x14ac:dyDescent="0.3">
      <c r="A3367" s="1" t="s">
        <v>510</v>
      </c>
      <c r="B3367" t="s">
        <v>363</v>
      </c>
      <c r="C3367" s="1">
        <v>4730.6298829999996</v>
      </c>
    </row>
    <row r="3368" spans="1:3" x14ac:dyDescent="0.3">
      <c r="A3368" s="1" t="s">
        <v>510</v>
      </c>
      <c r="B3368" t="s">
        <v>364</v>
      </c>
      <c r="C3368" s="1">
        <v>4689.2402339999999</v>
      </c>
    </row>
    <row r="3369" spans="1:3" x14ac:dyDescent="0.3">
      <c r="A3369" s="1" t="s">
        <v>510</v>
      </c>
      <c r="B3369" t="s">
        <v>365</v>
      </c>
      <c r="C3369" s="1">
        <v>4748.330078</v>
      </c>
    </row>
    <row r="3370" spans="1:3" x14ac:dyDescent="0.3">
      <c r="A3370" s="1" t="s">
        <v>510</v>
      </c>
      <c r="B3370" t="s">
        <v>366</v>
      </c>
      <c r="C3370" s="1">
        <v>4722.75</v>
      </c>
    </row>
    <row r="3371" spans="1:3" x14ac:dyDescent="0.3">
      <c r="A3371" s="1" t="s">
        <v>510</v>
      </c>
      <c r="B3371" t="s">
        <v>367</v>
      </c>
      <c r="C3371" s="1">
        <v>4756.0498049999997</v>
      </c>
    </row>
    <row r="3372" spans="1:3" x14ac:dyDescent="0.3">
      <c r="A3372" s="1" t="s">
        <v>510</v>
      </c>
      <c r="B3372" t="s">
        <v>368</v>
      </c>
      <c r="C3372" s="1">
        <v>4714.7998049999997</v>
      </c>
    </row>
    <row r="3373" spans="1:3" x14ac:dyDescent="0.3">
      <c r="A3373" s="1" t="s">
        <v>510</v>
      </c>
      <c r="B3373" t="s">
        <v>369</v>
      </c>
      <c r="C3373" s="1">
        <v>4739.8500979999999</v>
      </c>
    </row>
    <row r="3374" spans="1:3" x14ac:dyDescent="0.3">
      <c r="A3374" s="1" t="s">
        <v>510</v>
      </c>
      <c r="B3374" t="s">
        <v>370</v>
      </c>
      <c r="C3374" s="1">
        <v>4735.7797849999997</v>
      </c>
    </row>
    <row r="3375" spans="1:3" x14ac:dyDescent="0.3">
      <c r="A3375" s="1" t="s">
        <v>510</v>
      </c>
      <c r="B3375" t="s">
        <v>371</v>
      </c>
      <c r="C3375" s="1">
        <v>4799.6801759999998</v>
      </c>
    </row>
    <row r="3376" spans="1:3" x14ac:dyDescent="0.3">
      <c r="A3376" s="1" t="s">
        <v>510</v>
      </c>
      <c r="B3376" t="s">
        <v>372</v>
      </c>
      <c r="C3376" s="1">
        <v>4830.0498049999997</v>
      </c>
    </row>
    <row r="3377" spans="1:3" x14ac:dyDescent="0.3">
      <c r="A3377" s="1" t="s">
        <v>510</v>
      </c>
      <c r="B3377" t="s">
        <v>373</v>
      </c>
      <c r="C3377" s="1">
        <v>4794.330078</v>
      </c>
    </row>
    <row r="3378" spans="1:3" x14ac:dyDescent="0.3">
      <c r="A3378" s="1" t="s">
        <v>510</v>
      </c>
      <c r="B3378" t="s">
        <v>374</v>
      </c>
      <c r="C3378" s="1">
        <v>4803.5600590000004</v>
      </c>
    </row>
    <row r="3379" spans="1:3" x14ac:dyDescent="0.3">
      <c r="A3379" s="1" t="s">
        <v>510</v>
      </c>
      <c r="B3379" t="s">
        <v>375</v>
      </c>
      <c r="C3379" s="1">
        <v>4827.2099609999996</v>
      </c>
    </row>
    <row r="3380" spans="1:3" x14ac:dyDescent="0.3">
      <c r="A3380" s="1" t="s">
        <v>510</v>
      </c>
      <c r="B3380" t="s">
        <v>376</v>
      </c>
      <c r="C3380" s="1">
        <v>4850.2099609999996</v>
      </c>
    </row>
    <row r="3381" spans="1:3" x14ac:dyDescent="0.3">
      <c r="A3381" s="1" t="s">
        <v>510</v>
      </c>
      <c r="B3381" t="s">
        <v>377</v>
      </c>
      <c r="C3381" s="1">
        <v>4751.6098629999997</v>
      </c>
    </row>
    <row r="3382" spans="1:3" x14ac:dyDescent="0.3">
      <c r="A3382" s="1" t="s">
        <v>510</v>
      </c>
      <c r="B3382" t="s">
        <v>378</v>
      </c>
      <c r="C3382" s="1">
        <v>4735.3901370000003</v>
      </c>
    </row>
    <row r="3383" spans="1:3" x14ac:dyDescent="0.3">
      <c r="A3383" s="1" t="s">
        <v>510</v>
      </c>
      <c r="B3383" t="s">
        <v>379</v>
      </c>
      <c r="C3383" s="1">
        <v>4754.0698240000002</v>
      </c>
    </row>
    <row r="3384" spans="1:3" x14ac:dyDescent="0.3">
      <c r="A3384" s="1" t="s">
        <v>510</v>
      </c>
      <c r="B3384" t="s">
        <v>380</v>
      </c>
      <c r="C3384" s="1">
        <v>4763.7900390000004</v>
      </c>
    </row>
    <row r="3385" spans="1:3" x14ac:dyDescent="0.3">
      <c r="A3385" s="1" t="s">
        <v>510</v>
      </c>
      <c r="B3385" t="s">
        <v>381</v>
      </c>
      <c r="C3385" s="1">
        <v>4819.1201170000004</v>
      </c>
    </row>
    <row r="3386" spans="1:3" x14ac:dyDescent="0.3">
      <c r="A3386" s="1" t="s">
        <v>510</v>
      </c>
      <c r="B3386" t="s">
        <v>382</v>
      </c>
      <c r="C3386" s="1">
        <v>4845.1000979999999</v>
      </c>
    </row>
    <row r="3387" spans="1:3" x14ac:dyDescent="0.3">
      <c r="A3387" s="1" t="s">
        <v>510</v>
      </c>
      <c r="B3387" t="s">
        <v>383</v>
      </c>
      <c r="C3387" s="1">
        <v>4783.1201170000004</v>
      </c>
    </row>
    <row r="3388" spans="1:3" x14ac:dyDescent="0.3">
      <c r="A3388" s="1" t="s">
        <v>510</v>
      </c>
      <c r="B3388" t="s">
        <v>384</v>
      </c>
      <c r="C3388" s="1">
        <v>4820.1499020000001</v>
      </c>
    </row>
    <row r="3389" spans="1:3" x14ac:dyDescent="0.3">
      <c r="A3389" s="1" t="s">
        <v>510</v>
      </c>
      <c r="B3389" t="s">
        <v>385</v>
      </c>
      <c r="C3389" s="1">
        <v>4777.5297849999997</v>
      </c>
    </row>
    <row r="3390" spans="1:3" x14ac:dyDescent="0.3">
      <c r="A3390" s="1" t="s">
        <v>510</v>
      </c>
      <c r="B3390" t="s">
        <v>386</v>
      </c>
      <c r="C3390" s="1">
        <v>4789.2099609999996</v>
      </c>
    </row>
    <row r="3391" spans="1:3" x14ac:dyDescent="0.3">
      <c r="A3391" s="1" t="s">
        <v>510</v>
      </c>
      <c r="B3391" t="s">
        <v>387</v>
      </c>
      <c r="C3391" s="1">
        <v>4821.5</v>
      </c>
    </row>
    <row r="3392" spans="1:3" x14ac:dyDescent="0.3">
      <c r="A3392" s="1" t="s">
        <v>510</v>
      </c>
      <c r="B3392" t="s">
        <v>388</v>
      </c>
      <c r="C3392" s="1">
        <v>4863.3901370000003</v>
      </c>
    </row>
    <row r="3393" spans="1:3" x14ac:dyDescent="0.3">
      <c r="A3393" s="1" t="s">
        <v>510</v>
      </c>
      <c r="B3393" t="s">
        <v>389</v>
      </c>
      <c r="C3393" s="1"/>
    </row>
    <row r="3394" spans="1:3" x14ac:dyDescent="0.3">
      <c r="A3394" s="1" t="s">
        <v>510</v>
      </c>
      <c r="B3394" t="s">
        <v>390</v>
      </c>
      <c r="C3394" s="1">
        <v>4920.9799800000001</v>
      </c>
    </row>
    <row r="3395" spans="1:3" x14ac:dyDescent="0.3">
      <c r="A3395" s="1" t="s">
        <v>510</v>
      </c>
      <c r="B3395" t="s">
        <v>391</v>
      </c>
      <c r="C3395" s="1">
        <v>4874.8398440000001</v>
      </c>
    </row>
    <row r="3396" spans="1:3" x14ac:dyDescent="0.3">
      <c r="A3396" s="1" t="s">
        <v>510</v>
      </c>
      <c r="B3396" t="s">
        <v>392</v>
      </c>
      <c r="C3396" s="1">
        <v>4845.1499020000001</v>
      </c>
    </row>
    <row r="3397" spans="1:3" x14ac:dyDescent="0.3">
      <c r="A3397" s="1" t="s">
        <v>510</v>
      </c>
      <c r="B3397" t="s">
        <v>393</v>
      </c>
      <c r="C3397" s="1">
        <v>4852.8100590000004</v>
      </c>
    </row>
    <row r="3398" spans="1:3" x14ac:dyDescent="0.3">
      <c r="A3398" s="1" t="s">
        <v>510</v>
      </c>
      <c r="B3398" t="s">
        <v>394</v>
      </c>
      <c r="C3398" s="1">
        <v>4833.7001950000003</v>
      </c>
    </row>
    <row r="3399" spans="1:3" x14ac:dyDescent="0.3">
      <c r="A3399" s="1" t="s">
        <v>510</v>
      </c>
      <c r="B3399" t="s">
        <v>395</v>
      </c>
      <c r="C3399" s="1">
        <v>4807.8198240000002</v>
      </c>
    </row>
    <row r="3400" spans="1:3" x14ac:dyDescent="0.3">
      <c r="A3400" s="1" t="s">
        <v>510</v>
      </c>
      <c r="B3400" t="s">
        <v>396</v>
      </c>
      <c r="C3400" s="1">
        <v>4838.5898440000001</v>
      </c>
    </row>
    <row r="3401" spans="1:3" x14ac:dyDescent="0.3">
      <c r="A3401" s="1" t="s">
        <v>510</v>
      </c>
      <c r="B3401" t="s">
        <v>397</v>
      </c>
      <c r="C3401" s="1">
        <v>4883.0898440000001</v>
      </c>
    </row>
    <row r="3402" spans="1:3" x14ac:dyDescent="0.3">
      <c r="A3402" s="1" t="s">
        <v>510</v>
      </c>
      <c r="B3402" t="s">
        <v>398</v>
      </c>
      <c r="C3402" s="1">
        <v>4789.2700199999999</v>
      </c>
    </row>
    <row r="3403" spans="1:3" x14ac:dyDescent="0.3">
      <c r="A3403" s="1" t="s">
        <v>510</v>
      </c>
      <c r="B3403" t="s">
        <v>399</v>
      </c>
      <c r="C3403" s="1">
        <v>4850.7402339999999</v>
      </c>
    </row>
    <row r="3404" spans="1:3" x14ac:dyDescent="0.3">
      <c r="A3404" s="1" t="s">
        <v>510</v>
      </c>
      <c r="B3404" t="s">
        <v>400</v>
      </c>
      <c r="C3404" s="1">
        <v>4880.4702150000003</v>
      </c>
    </row>
    <row r="3405" spans="1:3" x14ac:dyDescent="0.3">
      <c r="A3405" s="1" t="s">
        <v>510</v>
      </c>
      <c r="B3405" t="s">
        <v>401</v>
      </c>
      <c r="C3405" s="1">
        <v>4870.1601559999999</v>
      </c>
    </row>
    <row r="3406" spans="1:3" x14ac:dyDescent="0.3">
      <c r="A3406" s="1" t="s">
        <v>510</v>
      </c>
      <c r="B3406" t="s">
        <v>402</v>
      </c>
      <c r="C3406" s="1">
        <v>4789.4501950000003</v>
      </c>
    </row>
    <row r="3407" spans="1:3" x14ac:dyDescent="0.3">
      <c r="A3407" s="1" t="s">
        <v>510</v>
      </c>
      <c r="B3407" t="s">
        <v>403</v>
      </c>
      <c r="C3407" s="1">
        <v>4765.1298829999996</v>
      </c>
    </row>
    <row r="3408" spans="1:3" x14ac:dyDescent="0.3">
      <c r="A3408" s="1" t="s">
        <v>510</v>
      </c>
      <c r="B3408" t="s">
        <v>404</v>
      </c>
      <c r="C3408" s="1">
        <v>4873.7998049999997</v>
      </c>
    </row>
    <row r="3409" spans="1:3" x14ac:dyDescent="0.3">
      <c r="A3409" s="1" t="s">
        <v>510</v>
      </c>
      <c r="B3409" t="s">
        <v>405</v>
      </c>
      <c r="C3409" s="1">
        <v>4901.0097660000001</v>
      </c>
    </row>
    <row r="3410" spans="1:3" x14ac:dyDescent="0.3">
      <c r="A3410" s="1" t="s">
        <v>510</v>
      </c>
      <c r="B3410" t="s">
        <v>406</v>
      </c>
      <c r="C3410" s="1">
        <v>4909.6098629999997</v>
      </c>
    </row>
    <row r="3411" spans="1:3" x14ac:dyDescent="0.3">
      <c r="A3411" s="1" t="s">
        <v>510</v>
      </c>
      <c r="B3411" t="s">
        <v>407</v>
      </c>
      <c r="C3411" s="1">
        <v>4961.3701170000004</v>
      </c>
    </row>
    <row r="3412" spans="1:3" x14ac:dyDescent="0.3">
      <c r="A3412" s="1" t="s">
        <v>510</v>
      </c>
      <c r="B3412" t="s">
        <v>408</v>
      </c>
      <c r="C3412" s="1">
        <v>4946.8999020000001</v>
      </c>
    </row>
    <row r="3413" spans="1:3" x14ac:dyDescent="0.3">
      <c r="A3413" s="1" t="s">
        <v>510</v>
      </c>
      <c r="B3413" t="s">
        <v>409</v>
      </c>
      <c r="C3413" s="1">
        <v>4954.8100590000004</v>
      </c>
    </row>
    <row r="3414" spans="1:3" x14ac:dyDescent="0.3">
      <c r="A3414" s="1" t="s">
        <v>510</v>
      </c>
      <c r="B3414" t="s">
        <v>410</v>
      </c>
      <c r="C3414" s="1">
        <v>4955.8598629999997</v>
      </c>
    </row>
    <row r="3415" spans="1:3" x14ac:dyDescent="0.3">
      <c r="A3415" s="1" t="s">
        <v>510</v>
      </c>
      <c r="B3415" t="s">
        <v>411</v>
      </c>
      <c r="C3415" s="1">
        <v>4910.6401370000003</v>
      </c>
    </row>
    <row r="3416" spans="1:3" x14ac:dyDescent="0.3">
      <c r="A3416" s="1" t="s">
        <v>510</v>
      </c>
      <c r="B3416" t="s">
        <v>412</v>
      </c>
      <c r="C3416" s="1">
        <v>4902.2001950000003</v>
      </c>
    </row>
    <row r="3417" spans="1:3" x14ac:dyDescent="0.3">
      <c r="A3417" s="1" t="s">
        <v>510</v>
      </c>
      <c r="B3417" t="s">
        <v>413</v>
      </c>
      <c r="C3417" s="1">
        <v>4902.1899409999996</v>
      </c>
    </row>
    <row r="3418" spans="1:3" x14ac:dyDescent="0.3">
      <c r="A3418" s="1" t="s">
        <v>510</v>
      </c>
      <c r="B3418" t="s">
        <v>414</v>
      </c>
      <c r="C3418" s="1">
        <v>4911</v>
      </c>
    </row>
    <row r="3419" spans="1:3" x14ac:dyDescent="0.3">
      <c r="A3419" s="1" t="s">
        <v>510</v>
      </c>
      <c r="B3419" t="s">
        <v>415</v>
      </c>
      <c r="C3419" s="1">
        <v>4897.6401370000003</v>
      </c>
    </row>
    <row r="3420" spans="1:3" x14ac:dyDescent="0.3">
      <c r="A3420" s="1" t="s">
        <v>510</v>
      </c>
      <c r="B3420" t="s">
        <v>416</v>
      </c>
      <c r="C3420" s="1">
        <v>4924.669922</v>
      </c>
    </row>
    <row r="3421" spans="1:3" x14ac:dyDescent="0.3">
      <c r="A3421" s="1" t="s">
        <v>510</v>
      </c>
      <c r="B3421" t="s">
        <v>417</v>
      </c>
      <c r="C3421" s="1">
        <v>4941.7700199999999</v>
      </c>
    </row>
    <row r="3422" spans="1:3" x14ac:dyDescent="0.3">
      <c r="A3422" s="1" t="s">
        <v>510</v>
      </c>
      <c r="B3422" t="s">
        <v>418</v>
      </c>
      <c r="C3422" s="1">
        <v>4983.5898440000001</v>
      </c>
    </row>
    <row r="3423" spans="1:3" x14ac:dyDescent="0.3">
      <c r="A3423" s="1" t="s">
        <v>510</v>
      </c>
      <c r="B3423" t="s">
        <v>419</v>
      </c>
      <c r="C3423" s="1">
        <v>4990.0097660000001</v>
      </c>
    </row>
    <row r="3424" spans="1:3" x14ac:dyDescent="0.3">
      <c r="A3424" s="1" t="s">
        <v>510</v>
      </c>
      <c r="B3424" t="s">
        <v>420</v>
      </c>
      <c r="C3424" s="1">
        <v>5003.7202150000003</v>
      </c>
    </row>
    <row r="3425" spans="1:3" x14ac:dyDescent="0.3">
      <c r="A3425" s="1" t="s">
        <v>510</v>
      </c>
      <c r="B3425" t="s">
        <v>421</v>
      </c>
      <c r="C3425" s="1">
        <v>4930.9702150000003</v>
      </c>
    </row>
    <row r="3426" spans="1:3" x14ac:dyDescent="0.3">
      <c r="A3426" s="1" t="s">
        <v>510</v>
      </c>
      <c r="B3426" t="s">
        <v>422</v>
      </c>
      <c r="C3426" s="1">
        <v>4966.7597660000001</v>
      </c>
    </row>
    <row r="3427" spans="1:3" x14ac:dyDescent="0.3">
      <c r="A3427" s="1" t="s">
        <v>510</v>
      </c>
      <c r="B3427" t="s">
        <v>423</v>
      </c>
      <c r="C3427" s="1">
        <v>4977.2998049999997</v>
      </c>
    </row>
    <row r="3428" spans="1:3" x14ac:dyDescent="0.3">
      <c r="A3428" s="1" t="s">
        <v>510</v>
      </c>
      <c r="B3428" t="s">
        <v>424</v>
      </c>
      <c r="C3428" s="1">
        <v>4995.1201170000004</v>
      </c>
    </row>
    <row r="3429" spans="1:3" x14ac:dyDescent="0.3">
      <c r="A3429" s="1" t="s">
        <v>510</v>
      </c>
      <c r="B3429" t="s">
        <v>425</v>
      </c>
      <c r="C3429" s="1">
        <v>5002</v>
      </c>
    </row>
    <row r="3430" spans="1:3" x14ac:dyDescent="0.3">
      <c r="A3430" s="1" t="s">
        <v>510</v>
      </c>
      <c r="B3430" t="s">
        <v>426</v>
      </c>
      <c r="C3430" s="1">
        <v>5022.169922</v>
      </c>
    </row>
    <row r="3431" spans="1:3" x14ac:dyDescent="0.3">
      <c r="A3431" s="1" t="s">
        <v>510</v>
      </c>
      <c r="B3431" t="s">
        <v>427</v>
      </c>
      <c r="C3431" s="1">
        <v>4985.6899409999996</v>
      </c>
    </row>
    <row r="3432" spans="1:3" x14ac:dyDescent="0.3">
      <c r="A3432" s="1" t="s">
        <v>510</v>
      </c>
      <c r="B3432" t="s">
        <v>428</v>
      </c>
      <c r="C3432" s="1">
        <v>5010.0600590000004</v>
      </c>
    </row>
    <row r="3433" spans="1:3" x14ac:dyDescent="0.3">
      <c r="A3433" s="1" t="s">
        <v>510</v>
      </c>
      <c r="B3433" t="s">
        <v>429</v>
      </c>
      <c r="C3433" s="1">
        <v>5003.8701170000004</v>
      </c>
    </row>
    <row r="3434" spans="1:3" x14ac:dyDescent="0.3">
      <c r="A3434" s="1" t="s">
        <v>510</v>
      </c>
      <c r="B3434" t="s">
        <v>430</v>
      </c>
      <c r="C3434" s="1">
        <v>5037.1401370000003</v>
      </c>
    </row>
    <row r="3435" spans="1:3" x14ac:dyDescent="0.3">
      <c r="A3435" s="1" t="s">
        <v>510</v>
      </c>
      <c r="B3435" t="s">
        <v>431</v>
      </c>
      <c r="C3435" s="1">
        <v>5117.2900390000004</v>
      </c>
    </row>
    <row r="3436" spans="1:3" x14ac:dyDescent="0.3">
      <c r="A3436" s="1" t="s">
        <v>510</v>
      </c>
      <c r="B3436" t="s">
        <v>432</v>
      </c>
      <c r="C3436" s="1">
        <v>5127.7299800000001</v>
      </c>
    </row>
    <row r="3437" spans="1:3" x14ac:dyDescent="0.3">
      <c r="A3437" s="1" t="s">
        <v>510</v>
      </c>
      <c r="B3437" t="s">
        <v>433</v>
      </c>
      <c r="C3437" s="1">
        <v>5049.2299800000001</v>
      </c>
    </row>
    <row r="3438" spans="1:3" x14ac:dyDescent="0.3">
      <c r="A3438" s="1" t="s">
        <v>510</v>
      </c>
      <c r="B3438" t="s">
        <v>434</v>
      </c>
      <c r="C3438" s="1">
        <v>5058.7797849999997</v>
      </c>
    </row>
    <row r="3439" spans="1:3" x14ac:dyDescent="0.3">
      <c r="A3439" s="1" t="s">
        <v>510</v>
      </c>
      <c r="B3439" t="s">
        <v>435</v>
      </c>
      <c r="C3439" s="1">
        <v>5118.9599609999996</v>
      </c>
    </row>
    <row r="3440" spans="1:3" x14ac:dyDescent="0.3">
      <c r="A3440" s="1" t="s">
        <v>510</v>
      </c>
      <c r="B3440" t="s">
        <v>436</v>
      </c>
      <c r="C3440" s="1">
        <v>5151.4101559999999</v>
      </c>
    </row>
    <row r="3441" spans="1:3" x14ac:dyDescent="0.3">
      <c r="A3441" s="1" t="s">
        <v>510</v>
      </c>
      <c r="B3441" t="s">
        <v>437</v>
      </c>
      <c r="C3441" s="1">
        <v>5183.7900390000004</v>
      </c>
    </row>
    <row r="3442" spans="1:3" x14ac:dyDescent="0.3">
      <c r="A3442" s="1" t="s">
        <v>510</v>
      </c>
      <c r="B3442" t="s">
        <v>438</v>
      </c>
      <c r="C3442" s="1">
        <v>5162.0898440000001</v>
      </c>
    </row>
    <row r="3443" spans="1:3" x14ac:dyDescent="0.3">
      <c r="A3443" s="1" t="s">
        <v>510</v>
      </c>
      <c r="B3443" t="s">
        <v>439</v>
      </c>
      <c r="C3443" s="1">
        <v>5127.2700199999999</v>
      </c>
    </row>
    <row r="3444" spans="1:3" x14ac:dyDescent="0.3">
      <c r="A3444" s="1" t="s">
        <v>510</v>
      </c>
      <c r="B3444" t="s">
        <v>440</v>
      </c>
      <c r="C3444" s="1">
        <v>5131.1801759999998</v>
      </c>
    </row>
    <row r="3445" spans="1:3" x14ac:dyDescent="0.3">
      <c r="A3445" s="1" t="s">
        <v>510</v>
      </c>
      <c r="B3445" t="s">
        <v>441</v>
      </c>
      <c r="C3445" s="1">
        <v>5119.75</v>
      </c>
    </row>
    <row r="3446" spans="1:3" x14ac:dyDescent="0.3">
      <c r="A3446" s="1" t="s">
        <v>510</v>
      </c>
      <c r="B3446" t="s">
        <v>442</v>
      </c>
      <c r="C3446" s="1">
        <v>5139.4101559999999</v>
      </c>
    </row>
    <row r="3447" spans="1:3" x14ac:dyDescent="0.3">
      <c r="A3447" s="1" t="s">
        <v>510</v>
      </c>
      <c r="B3447" t="s">
        <v>443</v>
      </c>
      <c r="C3447" s="1">
        <v>5071.9101559999999</v>
      </c>
    </row>
    <row r="3448" spans="1:3" x14ac:dyDescent="0.3">
      <c r="A3448" s="1" t="s">
        <v>510</v>
      </c>
      <c r="B3448" t="s">
        <v>444</v>
      </c>
      <c r="C3448" s="1">
        <v>5168.0898440000001</v>
      </c>
    </row>
    <row r="3449" spans="1:3" x14ac:dyDescent="0.3">
      <c r="A3449" s="1" t="s">
        <v>510</v>
      </c>
      <c r="B3449" t="s">
        <v>445</v>
      </c>
      <c r="C3449" s="1">
        <v>5153.3598629999997</v>
      </c>
    </row>
    <row r="3450" spans="1:3" x14ac:dyDescent="0.3">
      <c r="A3450" s="1" t="s">
        <v>510</v>
      </c>
      <c r="B3450" t="s">
        <v>446</v>
      </c>
      <c r="C3450" s="1">
        <v>5220.1601559999999</v>
      </c>
    </row>
    <row r="3451" spans="1:3" x14ac:dyDescent="0.3">
      <c r="A3451" s="1" t="s">
        <v>510</v>
      </c>
      <c r="B3451" t="s">
        <v>447</v>
      </c>
      <c r="C3451" s="1">
        <v>5202.3100590000004</v>
      </c>
    </row>
    <row r="3452" spans="1:3" x14ac:dyDescent="0.3">
      <c r="A3452" s="1" t="s">
        <v>510</v>
      </c>
      <c r="B3452" t="s">
        <v>448</v>
      </c>
      <c r="C3452" s="1">
        <v>5104.0698240000002</v>
      </c>
    </row>
    <row r="3453" spans="1:3" x14ac:dyDescent="0.3">
      <c r="A3453" s="1" t="s">
        <v>510</v>
      </c>
      <c r="B3453" t="s">
        <v>449</v>
      </c>
      <c r="C3453" s="1">
        <v>5103.3901370000003</v>
      </c>
    </row>
    <row r="3454" spans="1:3" x14ac:dyDescent="0.3">
      <c r="A3454" s="1" t="s">
        <v>510</v>
      </c>
      <c r="B3454" t="s">
        <v>450</v>
      </c>
      <c r="C3454" s="1">
        <v>5156.0097660000001</v>
      </c>
    </row>
    <row r="3455" spans="1:3" x14ac:dyDescent="0.3">
      <c r="A3455" s="1" t="s">
        <v>510</v>
      </c>
      <c r="B3455" t="s">
        <v>451</v>
      </c>
      <c r="C3455" s="1">
        <v>5160.7202150000003</v>
      </c>
    </row>
    <row r="3456" spans="1:3" x14ac:dyDescent="0.3">
      <c r="A3456" s="1" t="s">
        <v>510</v>
      </c>
      <c r="B3456" t="s">
        <v>452</v>
      </c>
      <c r="C3456" s="1">
        <v>5213.3198240000002</v>
      </c>
    </row>
    <row r="3457" spans="1:3" x14ac:dyDescent="0.3">
      <c r="A3457" s="1" t="s">
        <v>510</v>
      </c>
      <c r="B3457" t="s">
        <v>453</v>
      </c>
      <c r="C3457" s="1">
        <v>5139.6000979999999</v>
      </c>
    </row>
    <row r="3458" spans="1:3" x14ac:dyDescent="0.3">
      <c r="A3458" s="1" t="s">
        <v>510</v>
      </c>
      <c r="B3458" t="s">
        <v>454</v>
      </c>
      <c r="C3458" s="1">
        <v>5152.5</v>
      </c>
    </row>
    <row r="3459" spans="1:3" x14ac:dyDescent="0.3">
      <c r="A3459" s="1" t="s">
        <v>510</v>
      </c>
      <c r="B3459" t="s">
        <v>455</v>
      </c>
      <c r="C3459" s="1">
        <v>5188.5400390000004</v>
      </c>
    </row>
    <row r="3460" spans="1:3" x14ac:dyDescent="0.3">
      <c r="A3460" s="1" t="s">
        <v>510</v>
      </c>
      <c r="B3460" t="s">
        <v>456</v>
      </c>
      <c r="C3460" s="1">
        <v>5176.3500979999999</v>
      </c>
    </row>
    <row r="3461" spans="1:3" x14ac:dyDescent="0.3">
      <c r="A3461" s="1" t="s">
        <v>510</v>
      </c>
      <c r="B3461" t="s">
        <v>457</v>
      </c>
      <c r="C3461" s="1">
        <v>5176.330078</v>
      </c>
    </row>
    <row r="3462" spans="1:3" x14ac:dyDescent="0.3">
      <c r="A3462" s="1" t="s">
        <v>510</v>
      </c>
      <c r="B3462" t="s">
        <v>458</v>
      </c>
      <c r="C3462" s="1">
        <v>5157.9301759999998</v>
      </c>
    </row>
    <row r="3463" spans="1:3" x14ac:dyDescent="0.3">
      <c r="A3463" s="1" t="s">
        <v>510</v>
      </c>
      <c r="B3463" t="s">
        <v>459</v>
      </c>
      <c r="C3463" s="1">
        <v>5177.0600590000004</v>
      </c>
    </row>
    <row r="3464" spans="1:3" x14ac:dyDescent="0.3">
      <c r="A3464" s="1" t="s">
        <v>510</v>
      </c>
      <c r="B3464" t="s">
        <v>460</v>
      </c>
      <c r="C3464" s="1">
        <v>5217.2797849999997</v>
      </c>
    </row>
    <row r="3465" spans="1:3" x14ac:dyDescent="0.3">
      <c r="A3465" s="1" t="s">
        <v>510</v>
      </c>
      <c r="B3465" t="s">
        <v>461</v>
      </c>
      <c r="C3465" s="1"/>
    </row>
    <row r="3466" spans="1:3" x14ac:dyDescent="0.3">
      <c r="A3466" s="1" t="s">
        <v>510</v>
      </c>
      <c r="B3466" t="s">
        <v>462</v>
      </c>
      <c r="C3466" s="1">
        <v>5220.2402339999999</v>
      </c>
    </row>
    <row r="3467" spans="1:3" x14ac:dyDescent="0.3">
      <c r="A3467" s="1" t="s">
        <v>510</v>
      </c>
      <c r="B3467" t="s">
        <v>463</v>
      </c>
      <c r="C3467" s="1">
        <v>5281.2998049999997</v>
      </c>
    </row>
    <row r="3468" spans="1:3" x14ac:dyDescent="0.3">
      <c r="A3468" s="1" t="s">
        <v>510</v>
      </c>
      <c r="B3468" t="s">
        <v>464</v>
      </c>
      <c r="C3468" s="1">
        <v>5304.5097660000001</v>
      </c>
    </row>
    <row r="3469" spans="1:3" x14ac:dyDescent="0.3">
      <c r="A3469" s="1" t="s">
        <v>510</v>
      </c>
      <c r="B3469" t="s">
        <v>465</v>
      </c>
      <c r="C3469" s="1">
        <v>5316.1098629999997</v>
      </c>
    </row>
    <row r="3470" spans="1:3" x14ac:dyDescent="0.3">
      <c r="A3470" s="1" t="s">
        <v>510</v>
      </c>
      <c r="B3470" t="s">
        <v>466</v>
      </c>
      <c r="C3470" s="1">
        <v>5316.7299800000001</v>
      </c>
    </row>
    <row r="3471" spans="1:3" x14ac:dyDescent="0.3">
      <c r="A3471" s="1" t="s">
        <v>510</v>
      </c>
      <c r="B3471" t="s">
        <v>467</v>
      </c>
      <c r="C3471" s="1">
        <v>5326.2998049999997</v>
      </c>
    </row>
    <row r="3472" spans="1:3" x14ac:dyDescent="0.3">
      <c r="A3472" s="1" t="s">
        <v>510</v>
      </c>
      <c r="B3472" t="s">
        <v>468</v>
      </c>
      <c r="C3472" s="1">
        <v>5325.6098629999997</v>
      </c>
    </row>
    <row r="3473" spans="1:3" x14ac:dyDescent="0.3">
      <c r="A3473" s="1" t="s">
        <v>510</v>
      </c>
      <c r="B3473" t="s">
        <v>469</v>
      </c>
      <c r="C3473" s="1">
        <v>5301.9101559999999</v>
      </c>
    </row>
    <row r="3474" spans="1:3" x14ac:dyDescent="0.3">
      <c r="A3474" s="1" t="s">
        <v>510</v>
      </c>
      <c r="B3474" t="s">
        <v>470</v>
      </c>
      <c r="C3474" s="1">
        <v>5344.6601559999999</v>
      </c>
    </row>
    <row r="3475" spans="1:3" x14ac:dyDescent="0.3">
      <c r="A3475" s="1" t="s">
        <v>510</v>
      </c>
      <c r="B3475" t="s">
        <v>471</v>
      </c>
      <c r="C3475" s="1">
        <v>5375.7299800000001</v>
      </c>
    </row>
    <row r="3476" spans="1:3" x14ac:dyDescent="0.3">
      <c r="A3476" s="1" t="s">
        <v>510</v>
      </c>
      <c r="B3476" t="s">
        <v>472</v>
      </c>
      <c r="C3476" s="1">
        <v>5354.2299800000001</v>
      </c>
    </row>
    <row r="3477" spans="1:3" x14ac:dyDescent="0.3">
      <c r="A3477" s="1" t="s">
        <v>510</v>
      </c>
      <c r="B3477" t="s">
        <v>473</v>
      </c>
      <c r="C3477" s="1">
        <v>5360.1201170000004</v>
      </c>
    </row>
    <row r="3478" spans="1:3" x14ac:dyDescent="0.3">
      <c r="A3478" s="1" t="s">
        <v>510</v>
      </c>
      <c r="B3478" t="s">
        <v>474</v>
      </c>
      <c r="C3478" s="1">
        <v>5319.6499020000001</v>
      </c>
    </row>
    <row r="3479" spans="1:3" x14ac:dyDescent="0.3">
      <c r="A3479" s="1" t="s">
        <v>510</v>
      </c>
      <c r="B3479" t="s">
        <v>475</v>
      </c>
      <c r="C3479" s="1">
        <v>5274.1401370000003</v>
      </c>
    </row>
    <row r="3480" spans="1:3" x14ac:dyDescent="0.3">
      <c r="A3480" s="1" t="s">
        <v>510</v>
      </c>
      <c r="B3480" t="s">
        <v>476</v>
      </c>
      <c r="C3480" s="1">
        <v>5299.669922</v>
      </c>
    </row>
    <row r="3481" spans="1:3" x14ac:dyDescent="0.3">
      <c r="A3481" s="1" t="s">
        <v>510</v>
      </c>
      <c r="B3481" t="s">
        <v>477</v>
      </c>
      <c r="C3481" s="1">
        <v>5328.1000979999999</v>
      </c>
    </row>
    <row r="3482" spans="1:3" x14ac:dyDescent="0.3">
      <c r="A3482" s="1" t="s">
        <v>510</v>
      </c>
      <c r="B3482" t="s">
        <v>478</v>
      </c>
      <c r="C3482" s="1">
        <v>5285.4599609999996</v>
      </c>
    </row>
    <row r="3483" spans="1:3" x14ac:dyDescent="0.3">
      <c r="A3483" s="1" t="s">
        <v>510</v>
      </c>
      <c r="B3483" t="s">
        <v>479</v>
      </c>
      <c r="C3483" s="1">
        <v>5340.4501950000003</v>
      </c>
    </row>
    <row r="3484" spans="1:3" x14ac:dyDescent="0.3">
      <c r="A3484" s="1" t="s">
        <v>510</v>
      </c>
      <c r="B3484" t="s">
        <v>480</v>
      </c>
      <c r="C3484" s="1">
        <v>5352.5297849999997</v>
      </c>
    </row>
    <row r="3485" spans="1:3" x14ac:dyDescent="0.3">
      <c r="A3485" s="1" t="s">
        <v>510</v>
      </c>
      <c r="B3485" t="s">
        <v>481</v>
      </c>
      <c r="C3485" s="1">
        <v>5370.6601559999999</v>
      </c>
    </row>
    <row r="3486" spans="1:3" x14ac:dyDescent="0.3">
      <c r="A3486" s="1" t="s">
        <v>510</v>
      </c>
      <c r="B3486" t="s">
        <v>482</v>
      </c>
      <c r="C3486" s="1">
        <v>5331.7700199999999</v>
      </c>
    </row>
    <row r="3487" spans="1:3" x14ac:dyDescent="0.3">
      <c r="A3487" s="1" t="s">
        <v>510</v>
      </c>
      <c r="B3487" t="s">
        <v>483</v>
      </c>
      <c r="C3487" s="1">
        <v>5363.25</v>
      </c>
    </row>
    <row r="3488" spans="1:3" x14ac:dyDescent="0.3">
      <c r="A3488" s="1" t="s">
        <v>510</v>
      </c>
      <c r="B3488" t="s">
        <v>484</v>
      </c>
      <c r="C3488" s="1">
        <v>5388.6098629999997</v>
      </c>
    </row>
    <row r="3489" spans="1:3" x14ac:dyDescent="0.3">
      <c r="A3489" s="1" t="s">
        <v>510</v>
      </c>
      <c r="B3489" t="s">
        <v>485</v>
      </c>
      <c r="C3489" s="1"/>
    </row>
    <row r="3490" spans="1:3" x14ac:dyDescent="0.3">
      <c r="A3490" s="1" t="s">
        <v>510</v>
      </c>
      <c r="B3490" t="s">
        <v>486</v>
      </c>
      <c r="C3490" s="1">
        <v>5402.7202150000003</v>
      </c>
    </row>
    <row r="3491" spans="1:3" x14ac:dyDescent="0.3">
      <c r="A3491" s="1" t="s">
        <v>510</v>
      </c>
      <c r="B3491" t="s">
        <v>487</v>
      </c>
      <c r="C3491" s="1">
        <v>5443.7001950000003</v>
      </c>
    </row>
    <row r="3492" spans="1:3" x14ac:dyDescent="0.3">
      <c r="A3492" s="1" t="s">
        <v>510</v>
      </c>
      <c r="B3492" t="s">
        <v>488</v>
      </c>
      <c r="C3492" s="1">
        <v>5383.3198240000002</v>
      </c>
    </row>
    <row r="3493" spans="1:3" x14ac:dyDescent="0.3">
      <c r="A3493" s="1" t="s">
        <v>510</v>
      </c>
      <c r="B3493" t="s">
        <v>489</v>
      </c>
      <c r="C3493" s="1">
        <v>5443.4101559999999</v>
      </c>
    </row>
    <row r="3494" spans="1:3" x14ac:dyDescent="0.3">
      <c r="A3494" s="1" t="s">
        <v>510</v>
      </c>
      <c r="B3494" t="s">
        <v>490</v>
      </c>
      <c r="C3494" s="1">
        <v>5487.4702150000003</v>
      </c>
    </row>
    <row r="3495" spans="1:3" x14ac:dyDescent="0.3">
      <c r="A3495" s="1" t="s">
        <v>510</v>
      </c>
      <c r="B3495" t="s">
        <v>491</v>
      </c>
      <c r="C3495" s="1">
        <v>5528.0698240000002</v>
      </c>
    </row>
    <row r="3496" spans="1:3" x14ac:dyDescent="0.3">
      <c r="A3496" s="1" t="s">
        <v>510</v>
      </c>
      <c r="B3496" t="s">
        <v>492</v>
      </c>
      <c r="C3496" s="1">
        <v>5549.1098629999997</v>
      </c>
    </row>
    <row r="3497" spans="1:3" x14ac:dyDescent="0.3">
      <c r="A3497" s="1" t="s">
        <v>510</v>
      </c>
      <c r="B3497" t="s">
        <v>493</v>
      </c>
      <c r="C3497" s="1">
        <v>5515.4702150000003</v>
      </c>
    </row>
    <row r="3498" spans="1:3" x14ac:dyDescent="0.3">
      <c r="A3498" s="1" t="s">
        <v>510</v>
      </c>
      <c r="B3498" t="s">
        <v>494</v>
      </c>
      <c r="C3498" s="1">
        <v>5510.5498049999997</v>
      </c>
    </row>
    <row r="3499" spans="1:3" x14ac:dyDescent="0.3">
      <c r="A3499" s="1" t="s">
        <v>510</v>
      </c>
      <c r="B3499" t="s">
        <v>495</v>
      </c>
      <c r="C3499" s="1">
        <v>5398.1401370000003</v>
      </c>
    </row>
    <row r="3500" spans="1:3" x14ac:dyDescent="0.3">
      <c r="A3500" s="1" t="s">
        <v>510</v>
      </c>
      <c r="B3500" t="s">
        <v>496</v>
      </c>
      <c r="C3500" s="1">
        <v>5475.580078</v>
      </c>
    </row>
    <row r="3501" spans="1:3" x14ac:dyDescent="0.3">
      <c r="A3501" s="1" t="s">
        <v>510</v>
      </c>
      <c r="B3501" t="s">
        <v>497</v>
      </c>
      <c r="C3501" s="1">
        <v>5546.6401370000003</v>
      </c>
    </row>
    <row r="3502" spans="1:3" x14ac:dyDescent="0.3">
      <c r="A3502" s="1" t="s">
        <v>510</v>
      </c>
      <c r="B3502" t="s">
        <v>498</v>
      </c>
      <c r="C3502" s="1">
        <v>5583.7202150000003</v>
      </c>
    </row>
    <row r="3503" spans="1:3" x14ac:dyDescent="0.3">
      <c r="A3503" s="1" t="s">
        <v>510</v>
      </c>
      <c r="B3503" t="s">
        <v>499</v>
      </c>
      <c r="C3503" s="1">
        <v>5661.2001950000003</v>
      </c>
    </row>
    <row r="3504" spans="1:3" x14ac:dyDescent="0.3">
      <c r="A3504" s="1" t="s">
        <v>510</v>
      </c>
      <c r="B3504" t="s">
        <v>500</v>
      </c>
      <c r="C3504" s="1">
        <v>5679.2700199999999</v>
      </c>
    </row>
    <row r="3505" spans="1:3" x14ac:dyDescent="0.3">
      <c r="A3505" s="1" t="s">
        <v>510</v>
      </c>
      <c r="B3505" t="s">
        <v>501</v>
      </c>
      <c r="C3505" s="1">
        <v>5625.4902339999999</v>
      </c>
    </row>
    <row r="3506" spans="1:3" x14ac:dyDescent="0.3">
      <c r="A3506" s="1" t="s">
        <v>510</v>
      </c>
      <c r="B3506" t="s">
        <v>502</v>
      </c>
      <c r="C3506" s="1">
        <v>5610.4799800000001</v>
      </c>
    </row>
    <row r="3507" spans="1:3" x14ac:dyDescent="0.3">
      <c r="A3507" s="1" t="s">
        <v>510</v>
      </c>
      <c r="B3507" t="s">
        <v>503</v>
      </c>
      <c r="C3507" s="1">
        <v>5655.1601559999999</v>
      </c>
    </row>
    <row r="3508" spans="1:3" x14ac:dyDescent="0.3">
      <c r="A3508" s="1" t="s">
        <v>510</v>
      </c>
      <c r="B3508" t="s">
        <v>504</v>
      </c>
      <c r="C3508" s="1">
        <v>5626.2597660000001</v>
      </c>
    </row>
    <row r="3509" spans="1:3" x14ac:dyDescent="0.3">
      <c r="A3509" s="1" t="s">
        <v>512</v>
      </c>
      <c r="B3509" t="s">
        <v>4</v>
      </c>
      <c r="C3509" s="1">
        <v>27.379591000000001</v>
      </c>
    </row>
    <row r="3510" spans="1:3" x14ac:dyDescent="0.3">
      <c r="A3510" s="1" t="s">
        <v>512</v>
      </c>
      <c r="B3510" t="s">
        <v>5</v>
      </c>
      <c r="C3510" s="1">
        <v>27.423950000000001</v>
      </c>
    </row>
    <row r="3511" spans="1:3" x14ac:dyDescent="0.3">
      <c r="A3511" s="1" t="s">
        <v>512</v>
      </c>
      <c r="B3511" t="s">
        <v>6</v>
      </c>
      <c r="C3511" s="1">
        <v>27.849817000000002</v>
      </c>
    </row>
    <row r="3512" spans="1:3" x14ac:dyDescent="0.3">
      <c r="A3512" s="1" t="s">
        <v>512</v>
      </c>
      <c r="B3512" t="s">
        <v>7</v>
      </c>
      <c r="C3512" s="1">
        <v>27.911921</v>
      </c>
    </row>
    <row r="3513" spans="1:3" x14ac:dyDescent="0.3">
      <c r="A3513" s="1" t="s">
        <v>512</v>
      </c>
      <c r="B3513" t="s">
        <v>8</v>
      </c>
      <c r="C3513" s="1">
        <v>27.725607</v>
      </c>
    </row>
    <row r="3514" spans="1:3" x14ac:dyDescent="0.3">
      <c r="A3514" s="1" t="s">
        <v>512</v>
      </c>
      <c r="B3514" t="s">
        <v>9</v>
      </c>
      <c r="C3514" s="1">
        <v>28.745911</v>
      </c>
    </row>
    <row r="3515" spans="1:3" x14ac:dyDescent="0.3">
      <c r="A3515" s="1" t="s">
        <v>512</v>
      </c>
      <c r="B3515" t="s">
        <v>10</v>
      </c>
      <c r="C3515" s="1">
        <v>29.127413000000001</v>
      </c>
    </row>
    <row r="3516" spans="1:3" x14ac:dyDescent="0.3">
      <c r="A3516" s="1" t="s">
        <v>512</v>
      </c>
      <c r="B3516" t="s">
        <v>11</v>
      </c>
      <c r="C3516" s="1">
        <v>29.083051999999999</v>
      </c>
    </row>
    <row r="3517" spans="1:3" x14ac:dyDescent="0.3">
      <c r="A3517" s="1" t="s">
        <v>512</v>
      </c>
      <c r="B3517" t="s">
        <v>12</v>
      </c>
      <c r="C3517" s="1">
        <v>29.154029999999999</v>
      </c>
    </row>
    <row r="3518" spans="1:3" x14ac:dyDescent="0.3">
      <c r="A3518" s="1" t="s">
        <v>512</v>
      </c>
      <c r="B3518" t="s">
        <v>13</v>
      </c>
      <c r="C3518" s="1">
        <v>28.666059000000001</v>
      </c>
    </row>
    <row r="3519" spans="1:3" x14ac:dyDescent="0.3">
      <c r="A3519" s="1" t="s">
        <v>512</v>
      </c>
      <c r="B3519" t="s">
        <v>14</v>
      </c>
      <c r="C3519" s="1">
        <v>28.559588999999999</v>
      </c>
    </row>
    <row r="3520" spans="1:3" x14ac:dyDescent="0.3">
      <c r="A3520" s="1" t="s">
        <v>512</v>
      </c>
      <c r="B3520" t="s">
        <v>15</v>
      </c>
      <c r="C3520" s="1">
        <v>28.870121000000001</v>
      </c>
    </row>
    <row r="3521" spans="1:3" x14ac:dyDescent="0.3">
      <c r="A3521" s="1" t="s">
        <v>512</v>
      </c>
      <c r="B3521" t="s">
        <v>16</v>
      </c>
      <c r="C3521" s="1">
        <v>29.624255999999999</v>
      </c>
    </row>
    <row r="3522" spans="1:3" x14ac:dyDescent="0.3">
      <c r="A3522" s="1" t="s">
        <v>512</v>
      </c>
      <c r="B3522" t="s">
        <v>17</v>
      </c>
      <c r="C3522" s="1">
        <v>29.411324</v>
      </c>
    </row>
    <row r="3523" spans="1:3" x14ac:dyDescent="0.3">
      <c r="A3523" s="1" t="s">
        <v>512</v>
      </c>
      <c r="B3523" t="s">
        <v>18</v>
      </c>
      <c r="C3523" s="1">
        <v>29.783957000000001</v>
      </c>
    </row>
    <row r="3524" spans="1:3" x14ac:dyDescent="0.3">
      <c r="A3524" s="1" t="s">
        <v>512</v>
      </c>
      <c r="B3524" t="s">
        <v>19</v>
      </c>
      <c r="C3524" s="1">
        <v>29.633130999999999</v>
      </c>
    </row>
    <row r="3525" spans="1:3" x14ac:dyDescent="0.3">
      <c r="A3525" s="1" t="s">
        <v>512</v>
      </c>
      <c r="B3525" t="s">
        <v>20</v>
      </c>
      <c r="C3525" s="1">
        <v>30.298544</v>
      </c>
    </row>
    <row r="3526" spans="1:3" x14ac:dyDescent="0.3">
      <c r="A3526" s="1" t="s">
        <v>512</v>
      </c>
      <c r="B3526" t="s">
        <v>21</v>
      </c>
      <c r="C3526" s="1">
        <v>30.236439000000001</v>
      </c>
    </row>
    <row r="3527" spans="1:3" x14ac:dyDescent="0.3">
      <c r="A3527" s="1" t="s">
        <v>512</v>
      </c>
      <c r="B3527" t="s">
        <v>22</v>
      </c>
      <c r="C3527" s="1">
        <v>30.493728999999998</v>
      </c>
    </row>
    <row r="3528" spans="1:3" x14ac:dyDescent="0.3">
      <c r="A3528" s="1" t="s">
        <v>512</v>
      </c>
      <c r="B3528" t="s">
        <v>23</v>
      </c>
      <c r="C3528" s="1">
        <v>30.023503999999999</v>
      </c>
    </row>
    <row r="3529" spans="1:3" x14ac:dyDescent="0.3">
      <c r="A3529" s="1" t="s">
        <v>512</v>
      </c>
      <c r="B3529" t="s">
        <v>24</v>
      </c>
      <c r="C3529" s="1">
        <v>30.032374999999998</v>
      </c>
    </row>
    <row r="3530" spans="1:3" x14ac:dyDescent="0.3">
      <c r="A3530" s="1" t="s">
        <v>512</v>
      </c>
      <c r="B3530" t="s">
        <v>25</v>
      </c>
      <c r="C3530" s="1">
        <v>29.961400999999999</v>
      </c>
    </row>
    <row r="3531" spans="1:3" x14ac:dyDescent="0.3">
      <c r="A3531" s="1" t="s">
        <v>512</v>
      </c>
      <c r="B3531" t="s">
        <v>26</v>
      </c>
      <c r="C3531" s="1">
        <v>30.316284</v>
      </c>
    </row>
    <row r="3532" spans="1:3" x14ac:dyDescent="0.3">
      <c r="A3532" s="1" t="s">
        <v>512</v>
      </c>
      <c r="B3532" t="s">
        <v>27</v>
      </c>
      <c r="C3532" s="1">
        <v>29.925910999999999</v>
      </c>
    </row>
    <row r="3533" spans="1:3" x14ac:dyDescent="0.3">
      <c r="A3533" s="1" t="s">
        <v>512</v>
      </c>
      <c r="B3533" t="s">
        <v>28</v>
      </c>
      <c r="C3533" s="1">
        <v>30.307413</v>
      </c>
    </row>
    <row r="3534" spans="1:3" x14ac:dyDescent="0.3">
      <c r="A3534" s="1" t="s">
        <v>512</v>
      </c>
      <c r="B3534" t="s">
        <v>29</v>
      </c>
      <c r="C3534" s="1">
        <v>30.147715000000002</v>
      </c>
    </row>
    <row r="3535" spans="1:3" x14ac:dyDescent="0.3">
      <c r="A3535" s="1" t="s">
        <v>512</v>
      </c>
      <c r="B3535" t="s">
        <v>30</v>
      </c>
      <c r="C3535" s="1">
        <v>29.837191000000001</v>
      </c>
    </row>
    <row r="3536" spans="1:3" x14ac:dyDescent="0.3">
      <c r="A3536" s="1" t="s">
        <v>512</v>
      </c>
      <c r="B3536" t="s">
        <v>31</v>
      </c>
      <c r="C3536" s="1">
        <v>29.686361000000002</v>
      </c>
    </row>
    <row r="3537" spans="1:3" x14ac:dyDescent="0.3">
      <c r="A3537" s="1" t="s">
        <v>512</v>
      </c>
      <c r="B3537" t="s">
        <v>32</v>
      </c>
      <c r="C3537" s="1">
        <v>28.621694999999999</v>
      </c>
    </row>
    <row r="3538" spans="1:3" x14ac:dyDescent="0.3">
      <c r="A3538" s="1" t="s">
        <v>512</v>
      </c>
      <c r="B3538" t="s">
        <v>33</v>
      </c>
      <c r="C3538" s="1">
        <v>28.364405000000001</v>
      </c>
    </row>
    <row r="3539" spans="1:3" x14ac:dyDescent="0.3">
      <c r="A3539" s="1" t="s">
        <v>512</v>
      </c>
      <c r="B3539" t="s">
        <v>34</v>
      </c>
      <c r="C3539" s="1">
        <v>28.701547999999999</v>
      </c>
    </row>
    <row r="3540" spans="1:3" x14ac:dyDescent="0.3">
      <c r="A3540" s="1" t="s">
        <v>512</v>
      </c>
      <c r="B3540" t="s">
        <v>35</v>
      </c>
      <c r="C3540" s="1">
        <v>28.444254000000001</v>
      </c>
    </row>
    <row r="3541" spans="1:3" x14ac:dyDescent="0.3">
      <c r="A3541" s="1" t="s">
        <v>512</v>
      </c>
      <c r="B3541" t="s">
        <v>36</v>
      </c>
      <c r="C3541" s="1">
        <v>29.100795999999999</v>
      </c>
    </row>
    <row r="3542" spans="1:3" x14ac:dyDescent="0.3">
      <c r="A3542" s="1" t="s">
        <v>512</v>
      </c>
      <c r="B3542" t="s">
        <v>37</v>
      </c>
      <c r="C3542" s="1">
        <v>29.020945000000001</v>
      </c>
    </row>
    <row r="3543" spans="1:3" x14ac:dyDescent="0.3">
      <c r="A3543" s="1" t="s">
        <v>512</v>
      </c>
      <c r="B3543" t="s">
        <v>38</v>
      </c>
      <c r="C3543" s="1">
        <v>28.861248</v>
      </c>
    </row>
    <row r="3544" spans="1:3" x14ac:dyDescent="0.3">
      <c r="A3544" s="1" t="s">
        <v>512</v>
      </c>
      <c r="B3544" t="s">
        <v>39</v>
      </c>
      <c r="C3544" s="1">
        <v>29.189518</v>
      </c>
    </row>
    <row r="3545" spans="1:3" x14ac:dyDescent="0.3">
      <c r="A3545" s="1" t="s">
        <v>512</v>
      </c>
      <c r="B3545" t="s">
        <v>40</v>
      </c>
      <c r="C3545" s="1">
        <v>29.198391000000001</v>
      </c>
    </row>
    <row r="3546" spans="1:3" x14ac:dyDescent="0.3">
      <c r="A3546" s="1" t="s">
        <v>512</v>
      </c>
      <c r="B3546" t="s">
        <v>41</v>
      </c>
      <c r="C3546" s="1">
        <v>29.375834000000001</v>
      </c>
    </row>
    <row r="3547" spans="1:3" x14ac:dyDescent="0.3">
      <c r="A3547" s="1" t="s">
        <v>512</v>
      </c>
      <c r="B3547" t="s">
        <v>42</v>
      </c>
      <c r="C3547" s="1">
        <v>29.721851000000001</v>
      </c>
    </row>
    <row r="3548" spans="1:3" x14ac:dyDescent="0.3">
      <c r="A3548" s="1" t="s">
        <v>512</v>
      </c>
      <c r="B3548" t="s">
        <v>43</v>
      </c>
      <c r="C3548" s="1">
        <v>29.748466000000001</v>
      </c>
    </row>
    <row r="3549" spans="1:3" x14ac:dyDescent="0.3">
      <c r="A3549" s="1" t="s">
        <v>512</v>
      </c>
      <c r="B3549" t="s">
        <v>44</v>
      </c>
      <c r="C3549" s="1">
        <v>30.121099000000001</v>
      </c>
    </row>
    <row r="3550" spans="1:3" x14ac:dyDescent="0.3">
      <c r="A3550" s="1" t="s">
        <v>512</v>
      </c>
      <c r="B3550" t="s">
        <v>45</v>
      </c>
      <c r="C3550" s="1">
        <v>30.271923000000001</v>
      </c>
    </row>
    <row r="3551" spans="1:3" x14ac:dyDescent="0.3">
      <c r="A3551" s="1" t="s">
        <v>512</v>
      </c>
      <c r="B3551" t="s">
        <v>46</v>
      </c>
      <c r="C3551" s="1">
        <v>30.360648999999999</v>
      </c>
    </row>
    <row r="3552" spans="1:3" x14ac:dyDescent="0.3">
      <c r="A3552" s="1" t="s">
        <v>512</v>
      </c>
      <c r="B3552" t="s">
        <v>47</v>
      </c>
      <c r="C3552" s="1">
        <v>30.174330000000001</v>
      </c>
    </row>
    <row r="3553" spans="1:3" x14ac:dyDescent="0.3">
      <c r="A3553" s="1" t="s">
        <v>512</v>
      </c>
      <c r="B3553" t="s">
        <v>48</v>
      </c>
      <c r="C3553" s="1">
        <v>29.695236000000001</v>
      </c>
    </row>
    <row r="3554" spans="1:3" x14ac:dyDescent="0.3">
      <c r="A3554" s="1" t="s">
        <v>512</v>
      </c>
      <c r="B3554" t="s">
        <v>49</v>
      </c>
      <c r="C3554" s="1">
        <v>28.905608999999998</v>
      </c>
    </row>
    <row r="3555" spans="1:3" x14ac:dyDescent="0.3">
      <c r="A3555" s="1" t="s">
        <v>512</v>
      </c>
      <c r="B3555" t="s">
        <v>50</v>
      </c>
      <c r="C3555" s="1">
        <v>29.100795999999999</v>
      </c>
    </row>
    <row r="3556" spans="1:3" x14ac:dyDescent="0.3">
      <c r="A3556" s="1" t="s">
        <v>512</v>
      </c>
      <c r="B3556" t="s">
        <v>51</v>
      </c>
      <c r="C3556" s="1">
        <v>29.393578999999999</v>
      </c>
    </row>
    <row r="3557" spans="1:3" x14ac:dyDescent="0.3">
      <c r="A3557" s="1" t="s">
        <v>512</v>
      </c>
      <c r="B3557" t="s">
        <v>52</v>
      </c>
      <c r="C3557" s="1">
        <v>28.79027</v>
      </c>
    </row>
    <row r="3558" spans="1:3" x14ac:dyDescent="0.3">
      <c r="A3558" s="1" t="s">
        <v>512</v>
      </c>
      <c r="B3558" t="s">
        <v>53</v>
      </c>
      <c r="C3558" s="1">
        <v>28.94997</v>
      </c>
    </row>
    <row r="3559" spans="1:3" x14ac:dyDescent="0.3">
      <c r="A3559" s="1" t="s">
        <v>512</v>
      </c>
      <c r="B3559" t="s">
        <v>54</v>
      </c>
      <c r="C3559" s="1">
        <v>29.340343000000001</v>
      </c>
    </row>
    <row r="3560" spans="1:3" x14ac:dyDescent="0.3">
      <c r="A3560" s="1" t="s">
        <v>512</v>
      </c>
      <c r="B3560" t="s">
        <v>55</v>
      </c>
      <c r="C3560" s="1">
        <v>29.500043999999999</v>
      </c>
    </row>
    <row r="3561" spans="1:3" x14ac:dyDescent="0.3">
      <c r="A3561" s="1" t="s">
        <v>512</v>
      </c>
      <c r="B3561" t="s">
        <v>56</v>
      </c>
      <c r="C3561" s="1">
        <v>29.695236000000001</v>
      </c>
    </row>
    <row r="3562" spans="1:3" x14ac:dyDescent="0.3">
      <c r="A3562" s="1" t="s">
        <v>512</v>
      </c>
      <c r="B3562" t="s">
        <v>57</v>
      </c>
      <c r="C3562" s="1">
        <v>30.467113000000001</v>
      </c>
    </row>
    <row r="3563" spans="1:3" x14ac:dyDescent="0.3">
      <c r="A3563" s="1" t="s">
        <v>512</v>
      </c>
      <c r="B3563" t="s">
        <v>58</v>
      </c>
      <c r="C3563" s="1">
        <v>30.076740000000001</v>
      </c>
    </row>
    <row r="3564" spans="1:3" x14ac:dyDescent="0.3">
      <c r="A3564" s="1" t="s">
        <v>512</v>
      </c>
      <c r="B3564" t="s">
        <v>59</v>
      </c>
      <c r="C3564" s="1">
        <v>30.174330000000001</v>
      </c>
    </row>
    <row r="3565" spans="1:3" x14ac:dyDescent="0.3">
      <c r="A3565" s="1" t="s">
        <v>512</v>
      </c>
      <c r="B3565" t="s">
        <v>60</v>
      </c>
      <c r="C3565" s="1">
        <v>30.129971000000001</v>
      </c>
    </row>
    <row r="3566" spans="1:3" x14ac:dyDescent="0.3">
      <c r="A3566" s="1" t="s">
        <v>512</v>
      </c>
      <c r="B3566" t="s">
        <v>61</v>
      </c>
      <c r="C3566" s="1">
        <v>30.209820000000001</v>
      </c>
    </row>
    <row r="3567" spans="1:3" x14ac:dyDescent="0.3">
      <c r="A3567" s="1" t="s">
        <v>512</v>
      </c>
      <c r="B3567" t="s">
        <v>62</v>
      </c>
      <c r="C3567" s="1">
        <v>29.970269999999999</v>
      </c>
    </row>
    <row r="3568" spans="1:3" x14ac:dyDescent="0.3">
      <c r="A3568" s="1" t="s">
        <v>512</v>
      </c>
      <c r="B3568" t="s">
        <v>63</v>
      </c>
      <c r="C3568" s="1">
        <v>30.662307999999999</v>
      </c>
    </row>
    <row r="3569" spans="1:3" x14ac:dyDescent="0.3">
      <c r="A3569" s="1" t="s">
        <v>512</v>
      </c>
      <c r="B3569" t="s">
        <v>64</v>
      </c>
      <c r="C3569" s="1">
        <v>33.563510999999998</v>
      </c>
    </row>
    <row r="3570" spans="1:3" x14ac:dyDescent="0.3">
      <c r="A3570" s="1" t="s">
        <v>512</v>
      </c>
      <c r="B3570" t="s">
        <v>65</v>
      </c>
      <c r="C3570" s="1">
        <v>34.645916</v>
      </c>
    </row>
    <row r="3571" spans="1:3" x14ac:dyDescent="0.3">
      <c r="A3571" s="1" t="s">
        <v>512</v>
      </c>
      <c r="B3571" t="s">
        <v>66</v>
      </c>
      <c r="C3571" s="1">
        <v>35.408928000000003</v>
      </c>
    </row>
    <row r="3572" spans="1:3" x14ac:dyDescent="0.3">
      <c r="A3572" s="1" t="s">
        <v>512</v>
      </c>
      <c r="B3572" t="s">
        <v>67</v>
      </c>
      <c r="C3572" s="1">
        <v>35.879150000000003</v>
      </c>
    </row>
    <row r="3573" spans="1:3" x14ac:dyDescent="0.3">
      <c r="A3573" s="1" t="s">
        <v>512</v>
      </c>
      <c r="B3573" t="s">
        <v>68</v>
      </c>
      <c r="C3573" s="1">
        <v>36.021107000000001</v>
      </c>
    </row>
    <row r="3574" spans="1:3" x14ac:dyDescent="0.3">
      <c r="A3574" s="1" t="s">
        <v>512</v>
      </c>
      <c r="B3574" t="s">
        <v>69</v>
      </c>
      <c r="C3574" s="1">
        <v>35.258102000000001</v>
      </c>
    </row>
    <row r="3575" spans="1:3" x14ac:dyDescent="0.3">
      <c r="A3575" s="1" t="s">
        <v>512</v>
      </c>
      <c r="B3575" t="s">
        <v>70</v>
      </c>
      <c r="C3575" s="1">
        <v>35.577499000000003</v>
      </c>
    </row>
    <row r="3576" spans="1:3" x14ac:dyDescent="0.3">
      <c r="A3576" s="1" t="s">
        <v>512</v>
      </c>
      <c r="B3576" t="s">
        <v>71</v>
      </c>
      <c r="C3576" s="1">
        <v>35.666218000000001</v>
      </c>
    </row>
    <row r="3577" spans="1:3" x14ac:dyDescent="0.3">
      <c r="A3577" s="1" t="s">
        <v>512</v>
      </c>
      <c r="B3577" t="s">
        <v>72</v>
      </c>
      <c r="C3577" s="1">
        <v>35.604115</v>
      </c>
    </row>
    <row r="3578" spans="1:3" x14ac:dyDescent="0.3">
      <c r="A3578" s="1" t="s">
        <v>512</v>
      </c>
      <c r="B3578" t="s">
        <v>73</v>
      </c>
      <c r="C3578" s="1">
        <v>35.843665999999999</v>
      </c>
    </row>
    <row r="3579" spans="1:3" x14ac:dyDescent="0.3">
      <c r="A3579" s="1" t="s">
        <v>512</v>
      </c>
      <c r="B3579" t="s">
        <v>74</v>
      </c>
      <c r="C3579" s="1">
        <v>35.710579000000003</v>
      </c>
    </row>
    <row r="3580" spans="1:3" x14ac:dyDescent="0.3">
      <c r="A3580" s="1" t="s">
        <v>512</v>
      </c>
      <c r="B3580" t="s">
        <v>75</v>
      </c>
      <c r="C3580" s="1">
        <v>36.074340999999997</v>
      </c>
    </row>
    <row r="3581" spans="1:3" x14ac:dyDescent="0.3">
      <c r="A3581" s="1" t="s">
        <v>512</v>
      </c>
      <c r="B3581" t="s">
        <v>76</v>
      </c>
      <c r="C3581" s="1">
        <v>35.453288999999998</v>
      </c>
    </row>
    <row r="3582" spans="1:3" x14ac:dyDescent="0.3">
      <c r="A3582" s="1" t="s">
        <v>512</v>
      </c>
      <c r="B3582" t="s">
        <v>77</v>
      </c>
      <c r="C3582" s="1">
        <v>35.754939999999998</v>
      </c>
    </row>
    <row r="3583" spans="1:3" x14ac:dyDescent="0.3">
      <c r="A3583" s="1" t="s">
        <v>512</v>
      </c>
      <c r="B3583" t="s">
        <v>78</v>
      </c>
      <c r="C3583" s="1">
        <v>35.577499000000003</v>
      </c>
    </row>
    <row r="3584" spans="1:3" x14ac:dyDescent="0.3">
      <c r="A3584" s="1" t="s">
        <v>512</v>
      </c>
      <c r="B3584" t="s">
        <v>79</v>
      </c>
      <c r="C3584" s="1">
        <v>35.160507000000003</v>
      </c>
    </row>
    <row r="3585" spans="1:3" x14ac:dyDescent="0.3">
      <c r="A3585" s="1" t="s">
        <v>512</v>
      </c>
      <c r="B3585" t="s">
        <v>80</v>
      </c>
      <c r="C3585" s="1">
        <v>35.479903999999998</v>
      </c>
    </row>
    <row r="3586" spans="1:3" x14ac:dyDescent="0.3">
      <c r="A3586" s="1" t="s">
        <v>512</v>
      </c>
      <c r="B3586" t="s">
        <v>81</v>
      </c>
      <c r="C3586" s="1">
        <v>35.417797</v>
      </c>
    </row>
    <row r="3587" spans="1:3" x14ac:dyDescent="0.3">
      <c r="A3587" s="1" t="s">
        <v>512</v>
      </c>
      <c r="B3587" t="s">
        <v>82</v>
      </c>
      <c r="C3587" s="1">
        <v>35.293587000000002</v>
      </c>
    </row>
    <row r="3588" spans="1:3" x14ac:dyDescent="0.3">
      <c r="A3588" s="1" t="s">
        <v>512</v>
      </c>
      <c r="B3588" t="s">
        <v>83</v>
      </c>
      <c r="C3588" s="1">
        <v>35.843665999999999</v>
      </c>
    </row>
    <row r="3589" spans="1:3" x14ac:dyDescent="0.3">
      <c r="A3589" s="1" t="s">
        <v>512</v>
      </c>
      <c r="B3589" t="s">
        <v>84</v>
      </c>
      <c r="C3589" s="1">
        <v>35.187122000000002</v>
      </c>
    </row>
    <row r="3590" spans="1:3" x14ac:dyDescent="0.3">
      <c r="A3590" s="1" t="s">
        <v>512</v>
      </c>
      <c r="B3590" t="s">
        <v>85</v>
      </c>
      <c r="C3590" s="1">
        <v>35.125019000000002</v>
      </c>
    </row>
    <row r="3591" spans="1:3" x14ac:dyDescent="0.3">
      <c r="A3591" s="1" t="s">
        <v>512</v>
      </c>
      <c r="B3591" t="s">
        <v>86</v>
      </c>
      <c r="C3591" s="1">
        <v>35.302464000000001</v>
      </c>
    </row>
    <row r="3592" spans="1:3" x14ac:dyDescent="0.3">
      <c r="A3592" s="1" t="s">
        <v>512</v>
      </c>
      <c r="B3592" t="s">
        <v>87</v>
      </c>
      <c r="C3592" s="1">
        <v>35.657349000000004</v>
      </c>
    </row>
    <row r="3593" spans="1:3" x14ac:dyDescent="0.3">
      <c r="A3593" s="1" t="s">
        <v>512</v>
      </c>
      <c r="B3593" t="s">
        <v>88</v>
      </c>
      <c r="C3593" s="1">
        <v>35.293587000000002</v>
      </c>
    </row>
    <row r="3594" spans="1:3" x14ac:dyDescent="0.3">
      <c r="A3594" s="1" t="s">
        <v>512</v>
      </c>
      <c r="B3594" t="s">
        <v>89</v>
      </c>
      <c r="C3594" s="1">
        <v>34.974186000000003</v>
      </c>
    </row>
    <row r="3595" spans="1:3" x14ac:dyDescent="0.3">
      <c r="A3595" s="1" t="s">
        <v>512</v>
      </c>
      <c r="B3595" t="s">
        <v>90</v>
      </c>
      <c r="C3595" s="1">
        <v>35.045166000000002</v>
      </c>
    </row>
    <row r="3596" spans="1:3" x14ac:dyDescent="0.3">
      <c r="A3596" s="1" t="s">
        <v>512</v>
      </c>
      <c r="B3596" t="s">
        <v>91</v>
      </c>
      <c r="C3596" s="1">
        <v>35.116149999999998</v>
      </c>
    </row>
    <row r="3597" spans="1:3" x14ac:dyDescent="0.3">
      <c r="A3597" s="1" t="s">
        <v>512</v>
      </c>
      <c r="B3597" t="s">
        <v>92</v>
      </c>
      <c r="C3597" s="1">
        <v>35.675091000000002</v>
      </c>
    </row>
    <row r="3598" spans="1:3" x14ac:dyDescent="0.3">
      <c r="A3598" s="1" t="s">
        <v>512</v>
      </c>
      <c r="B3598" t="s">
        <v>93</v>
      </c>
      <c r="C3598" s="1">
        <v>35.488776999999999</v>
      </c>
    </row>
    <row r="3599" spans="1:3" x14ac:dyDescent="0.3">
      <c r="A3599" s="1" t="s">
        <v>512</v>
      </c>
      <c r="B3599" t="s">
        <v>94</v>
      </c>
      <c r="C3599" s="1">
        <v>35.142761</v>
      </c>
    </row>
    <row r="3600" spans="1:3" x14ac:dyDescent="0.3">
      <c r="A3600" s="1" t="s">
        <v>512</v>
      </c>
      <c r="B3600" t="s">
        <v>95</v>
      </c>
      <c r="C3600" s="1">
        <v>35.506523000000001</v>
      </c>
    </row>
    <row r="3601" spans="1:3" x14ac:dyDescent="0.3">
      <c r="A3601" s="1" t="s">
        <v>512</v>
      </c>
      <c r="B3601" t="s">
        <v>96</v>
      </c>
      <c r="C3601" s="1">
        <v>35.737197999999999</v>
      </c>
    </row>
    <row r="3602" spans="1:3" x14ac:dyDescent="0.3">
      <c r="A3602" s="1" t="s">
        <v>512</v>
      </c>
      <c r="B3602" t="s">
        <v>97</v>
      </c>
      <c r="C3602" s="1">
        <v>35.959003000000003</v>
      </c>
    </row>
    <row r="3603" spans="1:3" x14ac:dyDescent="0.3">
      <c r="A3603" s="1" t="s">
        <v>512</v>
      </c>
      <c r="B3603" t="s">
        <v>98</v>
      </c>
      <c r="C3603" s="1">
        <v>35.772686</v>
      </c>
    </row>
    <row r="3604" spans="1:3" x14ac:dyDescent="0.3">
      <c r="A3604" s="1" t="s">
        <v>512</v>
      </c>
      <c r="B3604" t="s">
        <v>99</v>
      </c>
      <c r="C3604" s="1">
        <v>35.045166000000002</v>
      </c>
    </row>
    <row r="3605" spans="1:3" x14ac:dyDescent="0.3">
      <c r="A3605" s="1" t="s">
        <v>512</v>
      </c>
      <c r="B3605" t="s">
        <v>100</v>
      </c>
      <c r="C3605" s="1">
        <v>34.938698000000002</v>
      </c>
    </row>
    <row r="3606" spans="1:3" x14ac:dyDescent="0.3">
      <c r="A3606" s="1" t="s">
        <v>512</v>
      </c>
      <c r="B3606" t="s">
        <v>101</v>
      </c>
      <c r="C3606" s="1">
        <v>35.187122000000002</v>
      </c>
    </row>
    <row r="3607" spans="1:3" x14ac:dyDescent="0.3">
      <c r="A3607" s="1" t="s">
        <v>512</v>
      </c>
      <c r="B3607" t="s">
        <v>102</v>
      </c>
      <c r="C3607" s="1">
        <v>35.852535000000003</v>
      </c>
    </row>
    <row r="3608" spans="1:3" x14ac:dyDescent="0.3">
      <c r="A3608" s="1" t="s">
        <v>512</v>
      </c>
      <c r="B3608" t="s">
        <v>103</v>
      </c>
      <c r="C3608" s="1">
        <v>37.316451999999998</v>
      </c>
    </row>
    <row r="3609" spans="1:3" x14ac:dyDescent="0.3">
      <c r="A3609" s="1" t="s">
        <v>512</v>
      </c>
      <c r="B3609" t="s">
        <v>104</v>
      </c>
      <c r="C3609" s="1">
        <v>37.555999999999997</v>
      </c>
    </row>
    <row r="3610" spans="1:3" x14ac:dyDescent="0.3">
      <c r="A3610" s="1" t="s">
        <v>512</v>
      </c>
      <c r="B3610" t="s">
        <v>105</v>
      </c>
      <c r="C3610" s="1">
        <v>36.970427999999998</v>
      </c>
    </row>
    <row r="3611" spans="1:3" x14ac:dyDescent="0.3">
      <c r="A3611" s="1" t="s">
        <v>512</v>
      </c>
      <c r="B3611" t="s">
        <v>106</v>
      </c>
      <c r="C3611" s="1">
        <v>37.085769999999997</v>
      </c>
    </row>
    <row r="3612" spans="1:3" x14ac:dyDescent="0.3">
      <c r="A3612" s="1" t="s">
        <v>512</v>
      </c>
      <c r="B3612" t="s">
        <v>107</v>
      </c>
      <c r="C3612" s="1">
        <v>36.615543000000002</v>
      </c>
    </row>
    <row r="3613" spans="1:3" x14ac:dyDescent="0.3">
      <c r="A3613" s="1" t="s">
        <v>512</v>
      </c>
      <c r="B3613" t="s">
        <v>108</v>
      </c>
      <c r="C3613" s="1">
        <v>37.103515999999999</v>
      </c>
    </row>
    <row r="3614" spans="1:3" x14ac:dyDescent="0.3">
      <c r="A3614" s="1" t="s">
        <v>512</v>
      </c>
      <c r="B3614" t="s">
        <v>109</v>
      </c>
      <c r="C3614" s="1">
        <v>37.059154999999997</v>
      </c>
    </row>
    <row r="3615" spans="1:3" x14ac:dyDescent="0.3">
      <c r="A3615" s="1" t="s">
        <v>512</v>
      </c>
      <c r="B3615" t="s">
        <v>110</v>
      </c>
      <c r="C3615" s="1">
        <v>36.748626999999999</v>
      </c>
    </row>
    <row r="3616" spans="1:3" x14ac:dyDescent="0.3">
      <c r="A3616" s="1" t="s">
        <v>512</v>
      </c>
      <c r="B3616" t="s">
        <v>111</v>
      </c>
      <c r="C3616" s="1">
        <v>36.651035</v>
      </c>
    </row>
    <row r="3617" spans="1:3" x14ac:dyDescent="0.3">
      <c r="A3617" s="1" t="s">
        <v>512</v>
      </c>
      <c r="B3617" t="s">
        <v>112</v>
      </c>
      <c r="C3617" s="1">
        <v>36.775246000000003</v>
      </c>
    </row>
    <row r="3618" spans="1:3" x14ac:dyDescent="0.3">
      <c r="A3618" s="1" t="s">
        <v>512</v>
      </c>
      <c r="B3618" t="s">
        <v>113</v>
      </c>
      <c r="C3618" s="1">
        <v>37.094642999999998</v>
      </c>
    </row>
    <row r="3619" spans="1:3" x14ac:dyDescent="0.3">
      <c r="A3619" s="1" t="s">
        <v>512</v>
      </c>
      <c r="B3619" t="s">
        <v>114</v>
      </c>
      <c r="C3619" s="1">
        <v>37.680210000000002</v>
      </c>
    </row>
    <row r="3620" spans="1:3" x14ac:dyDescent="0.3">
      <c r="A3620" s="1" t="s">
        <v>512</v>
      </c>
      <c r="B3620" t="s">
        <v>115</v>
      </c>
      <c r="C3620" s="1">
        <v>37.174495999999998</v>
      </c>
    </row>
    <row r="3621" spans="1:3" x14ac:dyDescent="0.3">
      <c r="A3621" s="1" t="s">
        <v>512</v>
      </c>
      <c r="B3621" t="s">
        <v>116</v>
      </c>
      <c r="C3621" s="1">
        <v>38.141562999999998</v>
      </c>
    </row>
    <row r="3622" spans="1:3" x14ac:dyDescent="0.3">
      <c r="A3622" s="1" t="s">
        <v>512</v>
      </c>
      <c r="B3622" t="s">
        <v>117</v>
      </c>
      <c r="C3622" s="1">
        <v>38.549686000000001</v>
      </c>
    </row>
    <row r="3623" spans="1:3" x14ac:dyDescent="0.3">
      <c r="A3623" s="1" t="s">
        <v>512</v>
      </c>
      <c r="B3623" t="s">
        <v>118</v>
      </c>
      <c r="C3623" s="1">
        <v>39.028782</v>
      </c>
    </row>
    <row r="3624" spans="1:3" x14ac:dyDescent="0.3">
      <c r="A3624" s="1" t="s">
        <v>512</v>
      </c>
      <c r="B3624" t="s">
        <v>119</v>
      </c>
      <c r="C3624" s="1">
        <v>39.090885</v>
      </c>
    </row>
    <row r="3625" spans="1:3" x14ac:dyDescent="0.3">
      <c r="A3625" s="1" t="s">
        <v>512</v>
      </c>
      <c r="B3625" t="s">
        <v>120</v>
      </c>
      <c r="C3625" s="1">
        <v>38.744869000000001</v>
      </c>
    </row>
    <row r="3626" spans="1:3" x14ac:dyDescent="0.3">
      <c r="A3626" s="1" t="s">
        <v>512</v>
      </c>
      <c r="B3626" t="s">
        <v>121</v>
      </c>
      <c r="C3626" s="1">
        <v>39.002167</v>
      </c>
    </row>
    <row r="3627" spans="1:3" x14ac:dyDescent="0.3">
      <c r="A3627" s="1" t="s">
        <v>512</v>
      </c>
      <c r="B3627" t="s">
        <v>122</v>
      </c>
      <c r="C3627" s="1">
        <v>38.46096</v>
      </c>
    </row>
    <row r="3628" spans="1:3" x14ac:dyDescent="0.3">
      <c r="A3628" s="1" t="s">
        <v>512</v>
      </c>
      <c r="B3628" t="s">
        <v>123</v>
      </c>
      <c r="C3628" s="1">
        <v>38.487578999999997</v>
      </c>
    </row>
    <row r="3629" spans="1:3" x14ac:dyDescent="0.3">
      <c r="A3629" s="1" t="s">
        <v>512</v>
      </c>
      <c r="B3629" t="s">
        <v>124</v>
      </c>
      <c r="C3629" s="1">
        <v>37.786673999999998</v>
      </c>
    </row>
    <row r="3630" spans="1:3" x14ac:dyDescent="0.3">
      <c r="A3630" s="1" t="s">
        <v>512</v>
      </c>
      <c r="B3630" t="s">
        <v>125</v>
      </c>
      <c r="C3630" s="1">
        <v>38.452091000000003</v>
      </c>
    </row>
    <row r="3631" spans="1:3" x14ac:dyDescent="0.3">
      <c r="A3631" s="1" t="s">
        <v>512</v>
      </c>
      <c r="B3631" t="s">
        <v>126</v>
      </c>
      <c r="C3631" s="1">
        <v>37.999606999999997</v>
      </c>
    </row>
    <row r="3632" spans="1:3" x14ac:dyDescent="0.3">
      <c r="A3632" s="1" t="s">
        <v>512</v>
      </c>
      <c r="B3632" t="s">
        <v>127</v>
      </c>
      <c r="C3632" s="1">
        <v>37.928631000000003</v>
      </c>
    </row>
    <row r="3633" spans="1:3" x14ac:dyDescent="0.3">
      <c r="A3633" s="1" t="s">
        <v>512</v>
      </c>
      <c r="B3633" t="s">
        <v>128</v>
      </c>
      <c r="C3633" s="1">
        <v>37.857650999999997</v>
      </c>
    </row>
    <row r="3634" spans="1:3" x14ac:dyDescent="0.3">
      <c r="A3634" s="1" t="s">
        <v>512</v>
      </c>
      <c r="B3634" t="s">
        <v>129</v>
      </c>
      <c r="C3634" s="1">
        <v>37.564869000000002</v>
      </c>
    </row>
    <row r="3635" spans="1:3" x14ac:dyDescent="0.3">
      <c r="A3635" s="1" t="s">
        <v>512</v>
      </c>
      <c r="B3635" t="s">
        <v>130</v>
      </c>
      <c r="C3635" s="1">
        <v>37.626975999999999</v>
      </c>
    </row>
    <row r="3636" spans="1:3" x14ac:dyDescent="0.3">
      <c r="A3636" s="1" t="s">
        <v>512</v>
      </c>
      <c r="B3636" t="s">
        <v>131</v>
      </c>
      <c r="C3636" s="1">
        <v>37.671337000000001</v>
      </c>
    </row>
    <row r="3637" spans="1:3" x14ac:dyDescent="0.3">
      <c r="A3637" s="1" t="s">
        <v>512</v>
      </c>
      <c r="B3637" t="s">
        <v>132</v>
      </c>
      <c r="C3637" s="1">
        <v>34.858851999999999</v>
      </c>
    </row>
    <row r="3638" spans="1:3" x14ac:dyDescent="0.3">
      <c r="A3638" s="1" t="s">
        <v>512</v>
      </c>
      <c r="B3638" t="s">
        <v>133</v>
      </c>
      <c r="C3638" s="1">
        <v>34.521706000000002</v>
      </c>
    </row>
    <row r="3639" spans="1:3" x14ac:dyDescent="0.3">
      <c r="A3639" s="1" t="s">
        <v>512</v>
      </c>
      <c r="B3639" t="s">
        <v>134</v>
      </c>
      <c r="C3639" s="1">
        <v>34.974186000000003</v>
      </c>
    </row>
    <row r="3640" spans="1:3" x14ac:dyDescent="0.3">
      <c r="A3640" s="1" t="s">
        <v>512</v>
      </c>
      <c r="B3640" t="s">
        <v>135</v>
      </c>
      <c r="C3640" s="1">
        <v>35.222614</v>
      </c>
    </row>
    <row r="3641" spans="1:3" x14ac:dyDescent="0.3">
      <c r="A3641" s="1" t="s">
        <v>512</v>
      </c>
      <c r="B3641" t="s">
        <v>136</v>
      </c>
      <c r="C3641" s="1">
        <v>34.424114000000003</v>
      </c>
    </row>
    <row r="3642" spans="1:3" x14ac:dyDescent="0.3">
      <c r="A3642" s="1" t="s">
        <v>512</v>
      </c>
      <c r="B3642" t="s">
        <v>137</v>
      </c>
      <c r="C3642" s="1">
        <v>34.681404000000001</v>
      </c>
    </row>
    <row r="3643" spans="1:3" x14ac:dyDescent="0.3">
      <c r="A3643" s="1" t="s">
        <v>512</v>
      </c>
      <c r="B3643" t="s">
        <v>138</v>
      </c>
      <c r="C3643" s="1">
        <v>34.761257000000001</v>
      </c>
    </row>
    <row r="3644" spans="1:3" x14ac:dyDescent="0.3">
      <c r="A3644" s="1" t="s">
        <v>512</v>
      </c>
      <c r="B3644" t="s">
        <v>139</v>
      </c>
      <c r="C3644" s="1">
        <v>34.725765000000003</v>
      </c>
    </row>
    <row r="3645" spans="1:3" x14ac:dyDescent="0.3">
      <c r="A3645" s="1" t="s">
        <v>512</v>
      </c>
      <c r="B3645" t="s">
        <v>140</v>
      </c>
      <c r="C3645" s="1">
        <v>34.228928000000003</v>
      </c>
    </row>
    <row r="3646" spans="1:3" x14ac:dyDescent="0.3">
      <c r="A3646" s="1" t="s">
        <v>512</v>
      </c>
      <c r="B3646" t="s">
        <v>141</v>
      </c>
      <c r="C3646" s="1">
        <v>34.477347999999999</v>
      </c>
    </row>
    <row r="3647" spans="1:3" x14ac:dyDescent="0.3">
      <c r="A3647" s="1" t="s">
        <v>512</v>
      </c>
      <c r="B3647" t="s">
        <v>142</v>
      </c>
      <c r="C3647" s="1">
        <v>34.113585999999998</v>
      </c>
    </row>
    <row r="3648" spans="1:3" x14ac:dyDescent="0.3">
      <c r="A3648" s="1" t="s">
        <v>512</v>
      </c>
      <c r="B3648" t="s">
        <v>143</v>
      </c>
      <c r="C3648" s="1">
        <v>34.779003000000003</v>
      </c>
    </row>
    <row r="3649" spans="1:3" x14ac:dyDescent="0.3">
      <c r="A3649" s="1" t="s">
        <v>512</v>
      </c>
      <c r="B3649" t="s">
        <v>144</v>
      </c>
      <c r="C3649" s="1">
        <v>33.811931999999999</v>
      </c>
    </row>
    <row r="3650" spans="1:3" x14ac:dyDescent="0.3">
      <c r="A3650" s="1" t="s">
        <v>512</v>
      </c>
      <c r="B3650" t="s">
        <v>145</v>
      </c>
      <c r="C3650" s="1">
        <v>32.534336000000003</v>
      </c>
    </row>
    <row r="3651" spans="1:3" x14ac:dyDescent="0.3">
      <c r="A3651" s="1" t="s">
        <v>512</v>
      </c>
      <c r="B3651" t="s">
        <v>146</v>
      </c>
      <c r="C3651" s="1">
        <v>33.004562</v>
      </c>
    </row>
    <row r="3652" spans="1:3" x14ac:dyDescent="0.3">
      <c r="A3652" s="1" t="s">
        <v>512</v>
      </c>
      <c r="B3652" t="s">
        <v>147</v>
      </c>
      <c r="C3652" s="1">
        <v>32.330272999999998</v>
      </c>
    </row>
    <row r="3653" spans="1:3" x14ac:dyDescent="0.3">
      <c r="A3653" s="1" t="s">
        <v>512</v>
      </c>
      <c r="B3653" t="s">
        <v>148</v>
      </c>
      <c r="C3653" s="1">
        <v>31.89554</v>
      </c>
    </row>
    <row r="3654" spans="1:3" x14ac:dyDescent="0.3">
      <c r="A3654" s="1" t="s">
        <v>512</v>
      </c>
      <c r="B3654" t="s">
        <v>149</v>
      </c>
      <c r="C3654" s="1">
        <v>32.072983000000001</v>
      </c>
    </row>
    <row r="3655" spans="1:3" x14ac:dyDescent="0.3">
      <c r="A3655" s="1" t="s">
        <v>512</v>
      </c>
      <c r="B3655" t="s">
        <v>150</v>
      </c>
      <c r="C3655" s="1">
        <v>32.596443000000001</v>
      </c>
    </row>
    <row r="3656" spans="1:3" x14ac:dyDescent="0.3">
      <c r="A3656" s="1" t="s">
        <v>512</v>
      </c>
      <c r="B3656" t="s">
        <v>151</v>
      </c>
      <c r="C3656" s="1">
        <v>33.492531</v>
      </c>
    </row>
    <row r="3657" spans="1:3" x14ac:dyDescent="0.3">
      <c r="A3657" s="1" t="s">
        <v>512</v>
      </c>
      <c r="B3657" t="s">
        <v>152</v>
      </c>
      <c r="C3657" s="1">
        <v>32.889225000000003</v>
      </c>
    </row>
    <row r="3658" spans="1:3" x14ac:dyDescent="0.3">
      <c r="A3658" s="1" t="s">
        <v>512</v>
      </c>
      <c r="B3658" t="s">
        <v>153</v>
      </c>
      <c r="C3658" s="1">
        <v>31.664857999999999</v>
      </c>
    </row>
    <row r="3659" spans="1:3" x14ac:dyDescent="0.3">
      <c r="A3659" s="1" t="s">
        <v>512</v>
      </c>
      <c r="B3659" t="s">
        <v>154</v>
      </c>
      <c r="C3659" s="1">
        <v>30.688918999999999</v>
      </c>
    </row>
    <row r="3660" spans="1:3" x14ac:dyDescent="0.3">
      <c r="A3660" s="1" t="s">
        <v>512</v>
      </c>
      <c r="B3660" t="s">
        <v>155</v>
      </c>
      <c r="C3660" s="1">
        <v>29.899296</v>
      </c>
    </row>
    <row r="3661" spans="1:3" x14ac:dyDescent="0.3">
      <c r="A3661" s="1" t="s">
        <v>512</v>
      </c>
      <c r="B3661" t="s">
        <v>156</v>
      </c>
      <c r="C3661" s="1">
        <v>30.369517999999999</v>
      </c>
    </row>
    <row r="3662" spans="1:3" x14ac:dyDescent="0.3">
      <c r="A3662" s="1" t="s">
        <v>512</v>
      </c>
      <c r="B3662" t="s">
        <v>157</v>
      </c>
      <c r="C3662" s="1">
        <v>29.020945000000001</v>
      </c>
    </row>
    <row r="3663" spans="1:3" x14ac:dyDescent="0.3">
      <c r="A3663" s="1" t="s">
        <v>512</v>
      </c>
      <c r="B3663" t="s">
        <v>158</v>
      </c>
      <c r="C3663" s="1">
        <v>27.938538000000001</v>
      </c>
    </row>
    <row r="3664" spans="1:3" x14ac:dyDescent="0.3">
      <c r="A3664" s="1" t="s">
        <v>512</v>
      </c>
      <c r="B3664" t="s">
        <v>159</v>
      </c>
      <c r="C3664" s="1">
        <v>27.707861000000001</v>
      </c>
    </row>
    <row r="3665" spans="1:3" x14ac:dyDescent="0.3">
      <c r="A3665" s="1" t="s">
        <v>512</v>
      </c>
      <c r="B3665" t="s">
        <v>160</v>
      </c>
      <c r="C3665" s="1">
        <v>28.843499999999999</v>
      </c>
    </row>
    <row r="3666" spans="1:3" x14ac:dyDescent="0.3">
      <c r="A3666" s="1" t="s">
        <v>512</v>
      </c>
      <c r="B3666" t="s">
        <v>161</v>
      </c>
      <c r="C3666" s="1">
        <v>27.849817000000002</v>
      </c>
    </row>
    <row r="3667" spans="1:3" x14ac:dyDescent="0.3">
      <c r="A3667" s="1" t="s">
        <v>512</v>
      </c>
      <c r="B3667" t="s">
        <v>162</v>
      </c>
      <c r="C3667" s="1">
        <v>27.947412</v>
      </c>
    </row>
    <row r="3668" spans="1:3" x14ac:dyDescent="0.3">
      <c r="A3668" s="1" t="s">
        <v>512</v>
      </c>
      <c r="B3668" t="s">
        <v>163</v>
      </c>
      <c r="C3668" s="1">
        <v>30.005759999999999</v>
      </c>
    </row>
    <row r="3669" spans="1:3" x14ac:dyDescent="0.3">
      <c r="A3669" s="1" t="s">
        <v>512</v>
      </c>
      <c r="B3669" t="s">
        <v>164</v>
      </c>
      <c r="C3669" s="1">
        <v>29.553281999999999</v>
      </c>
    </row>
    <row r="3670" spans="1:3" x14ac:dyDescent="0.3">
      <c r="A3670" s="1" t="s">
        <v>512</v>
      </c>
      <c r="B3670" t="s">
        <v>165</v>
      </c>
      <c r="C3670" s="1">
        <v>28.843499999999999</v>
      </c>
    </row>
    <row r="3671" spans="1:3" x14ac:dyDescent="0.3">
      <c r="A3671" s="1" t="s">
        <v>512</v>
      </c>
      <c r="B3671" t="s">
        <v>166</v>
      </c>
      <c r="C3671" s="1">
        <v>30.617940999999998</v>
      </c>
    </row>
    <row r="3672" spans="1:3" x14ac:dyDescent="0.3">
      <c r="A3672" s="1" t="s">
        <v>512</v>
      </c>
      <c r="B3672" t="s">
        <v>167</v>
      </c>
      <c r="C3672" s="1">
        <v>33.17794</v>
      </c>
    </row>
    <row r="3673" spans="1:3" x14ac:dyDescent="0.3">
      <c r="A3673" s="1" t="s">
        <v>512</v>
      </c>
      <c r="B3673" t="s">
        <v>168</v>
      </c>
      <c r="C3673" s="1">
        <v>32.936779000000001</v>
      </c>
    </row>
    <row r="3674" spans="1:3" x14ac:dyDescent="0.3">
      <c r="A3674" s="1" t="s">
        <v>512</v>
      </c>
      <c r="B3674" t="s">
        <v>169</v>
      </c>
      <c r="C3674" s="1">
        <v>33.910693999999999</v>
      </c>
    </row>
    <row r="3675" spans="1:3" x14ac:dyDescent="0.3">
      <c r="A3675" s="1" t="s">
        <v>512</v>
      </c>
      <c r="B3675" t="s">
        <v>170</v>
      </c>
      <c r="C3675" s="1">
        <v>34.578518000000003</v>
      </c>
    </row>
    <row r="3676" spans="1:3" x14ac:dyDescent="0.3">
      <c r="A3676" s="1" t="s">
        <v>512</v>
      </c>
      <c r="B3676" t="s">
        <v>171</v>
      </c>
      <c r="C3676" s="1">
        <v>35.190688999999999</v>
      </c>
    </row>
    <row r="3677" spans="1:3" x14ac:dyDescent="0.3">
      <c r="A3677" s="1" t="s">
        <v>512</v>
      </c>
      <c r="B3677" t="s">
        <v>172</v>
      </c>
      <c r="C3677" s="1">
        <v>34.420836999999999</v>
      </c>
    </row>
    <row r="3678" spans="1:3" x14ac:dyDescent="0.3">
      <c r="A3678" s="1" t="s">
        <v>512</v>
      </c>
      <c r="B3678" t="s">
        <v>173</v>
      </c>
      <c r="C3678" s="1">
        <v>36.192428999999997</v>
      </c>
    </row>
    <row r="3679" spans="1:3" x14ac:dyDescent="0.3">
      <c r="A3679" s="1" t="s">
        <v>512</v>
      </c>
      <c r="B3679" t="s">
        <v>174</v>
      </c>
      <c r="C3679" s="1">
        <v>35.802864</v>
      </c>
    </row>
    <row r="3680" spans="1:3" x14ac:dyDescent="0.3">
      <c r="A3680" s="1" t="s">
        <v>512</v>
      </c>
      <c r="B3680" t="s">
        <v>175</v>
      </c>
      <c r="C3680" s="1">
        <v>36.062576</v>
      </c>
    </row>
    <row r="3681" spans="1:3" x14ac:dyDescent="0.3">
      <c r="A3681" s="1" t="s">
        <v>512</v>
      </c>
      <c r="B3681" t="s">
        <v>176</v>
      </c>
      <c r="C3681" s="1">
        <v>36.693302000000003</v>
      </c>
    </row>
    <row r="3682" spans="1:3" x14ac:dyDescent="0.3">
      <c r="A3682" s="1" t="s">
        <v>512</v>
      </c>
      <c r="B3682" t="s">
        <v>177</v>
      </c>
      <c r="C3682" s="1">
        <v>37.426048000000002</v>
      </c>
    </row>
    <row r="3683" spans="1:3" x14ac:dyDescent="0.3">
      <c r="A3683" s="1" t="s">
        <v>512</v>
      </c>
      <c r="B3683" t="s">
        <v>178</v>
      </c>
      <c r="C3683" s="1">
        <v>40.403441999999998</v>
      </c>
    </row>
    <row r="3684" spans="1:3" x14ac:dyDescent="0.3">
      <c r="A3684" s="1" t="s">
        <v>512</v>
      </c>
      <c r="B3684" t="s">
        <v>179</v>
      </c>
      <c r="C3684" s="1">
        <v>39.457355</v>
      </c>
    </row>
    <row r="3685" spans="1:3" x14ac:dyDescent="0.3">
      <c r="A3685" s="1" t="s">
        <v>512</v>
      </c>
      <c r="B3685" t="s">
        <v>180</v>
      </c>
      <c r="C3685" s="1">
        <v>40.505465999999998</v>
      </c>
    </row>
    <row r="3686" spans="1:3" x14ac:dyDescent="0.3">
      <c r="A3686" s="1" t="s">
        <v>512</v>
      </c>
      <c r="B3686" t="s">
        <v>181</v>
      </c>
      <c r="C3686" s="1">
        <v>38.743153</v>
      </c>
    </row>
    <row r="3687" spans="1:3" x14ac:dyDescent="0.3">
      <c r="A3687" s="1" t="s">
        <v>512</v>
      </c>
      <c r="B3687" t="s">
        <v>182</v>
      </c>
      <c r="C3687" s="1">
        <v>39.605758999999999</v>
      </c>
    </row>
    <row r="3688" spans="1:3" x14ac:dyDescent="0.3">
      <c r="A3688" s="1" t="s">
        <v>512</v>
      </c>
      <c r="B3688" t="s">
        <v>183</v>
      </c>
      <c r="C3688" s="1">
        <v>39.809814000000003</v>
      </c>
    </row>
    <row r="3689" spans="1:3" x14ac:dyDescent="0.3">
      <c r="A3689" s="1" t="s">
        <v>512</v>
      </c>
      <c r="B3689" t="s">
        <v>184</v>
      </c>
      <c r="C3689" s="1">
        <v>40.245761999999999</v>
      </c>
    </row>
    <row r="3690" spans="1:3" x14ac:dyDescent="0.3">
      <c r="A3690" s="1" t="s">
        <v>512</v>
      </c>
      <c r="B3690" t="s">
        <v>185</v>
      </c>
      <c r="C3690" s="1">
        <v>42.091557000000002</v>
      </c>
    </row>
    <row r="3691" spans="1:3" x14ac:dyDescent="0.3">
      <c r="A3691" s="1" t="s">
        <v>512</v>
      </c>
      <c r="B3691" t="s">
        <v>186</v>
      </c>
      <c r="C3691" s="1">
        <v>43.779671</v>
      </c>
    </row>
    <row r="3692" spans="1:3" x14ac:dyDescent="0.3">
      <c r="A3692" s="1" t="s">
        <v>512</v>
      </c>
      <c r="B3692" t="s">
        <v>187</v>
      </c>
      <c r="C3692" s="1">
        <v>43.538505999999998</v>
      </c>
    </row>
    <row r="3693" spans="1:3" x14ac:dyDescent="0.3">
      <c r="A3693" s="1" t="s">
        <v>512</v>
      </c>
      <c r="B3693" t="s">
        <v>188</v>
      </c>
      <c r="C3693" s="1">
        <v>44.549522000000003</v>
      </c>
    </row>
    <row r="3694" spans="1:3" x14ac:dyDescent="0.3">
      <c r="A3694" s="1" t="s">
        <v>512</v>
      </c>
      <c r="B3694" t="s">
        <v>189</v>
      </c>
      <c r="C3694" s="1">
        <v>43.130394000000003</v>
      </c>
    </row>
    <row r="3695" spans="1:3" x14ac:dyDescent="0.3">
      <c r="A3695" s="1" t="s">
        <v>512</v>
      </c>
      <c r="B3695" t="s">
        <v>190</v>
      </c>
      <c r="C3695" s="1">
        <v>43.019092999999998</v>
      </c>
    </row>
    <row r="3696" spans="1:3" x14ac:dyDescent="0.3">
      <c r="A3696" s="1" t="s">
        <v>512</v>
      </c>
      <c r="B3696" t="s">
        <v>191</v>
      </c>
      <c r="C3696" s="1">
        <v>43.640537000000002</v>
      </c>
    </row>
    <row r="3697" spans="1:3" x14ac:dyDescent="0.3">
      <c r="A3697" s="1" t="s">
        <v>512</v>
      </c>
      <c r="B3697" t="s">
        <v>192</v>
      </c>
      <c r="C3697" s="1">
        <v>44.901989</v>
      </c>
    </row>
    <row r="3698" spans="1:3" x14ac:dyDescent="0.3">
      <c r="A3698" s="1" t="s">
        <v>512</v>
      </c>
      <c r="B3698" t="s">
        <v>193</v>
      </c>
      <c r="C3698" s="1">
        <v>45.031841</v>
      </c>
    </row>
    <row r="3699" spans="1:3" x14ac:dyDescent="0.3">
      <c r="A3699" s="1" t="s">
        <v>512</v>
      </c>
      <c r="B3699" t="s">
        <v>194</v>
      </c>
      <c r="C3699" s="1">
        <v>43.356907</v>
      </c>
    </row>
    <row r="3700" spans="1:3" x14ac:dyDescent="0.3">
      <c r="A3700" s="1" t="s">
        <v>512</v>
      </c>
      <c r="B3700" t="s">
        <v>195</v>
      </c>
      <c r="C3700" s="1">
        <v>43.385620000000003</v>
      </c>
    </row>
    <row r="3701" spans="1:3" x14ac:dyDescent="0.3">
      <c r="A3701" s="1" t="s">
        <v>512</v>
      </c>
      <c r="B3701" t="s">
        <v>196</v>
      </c>
      <c r="C3701" s="1">
        <v>45.558250000000001</v>
      </c>
    </row>
    <row r="3702" spans="1:3" x14ac:dyDescent="0.3">
      <c r="A3702" s="1" t="s">
        <v>512</v>
      </c>
      <c r="B3702" t="s">
        <v>197</v>
      </c>
      <c r="C3702" s="1">
        <v>45.778388999999997</v>
      </c>
    </row>
    <row r="3703" spans="1:3" x14ac:dyDescent="0.3">
      <c r="A3703" s="1" t="s">
        <v>512</v>
      </c>
      <c r="B3703" t="s">
        <v>198</v>
      </c>
      <c r="C3703" s="1">
        <v>45.500824000000001</v>
      </c>
    </row>
    <row r="3704" spans="1:3" x14ac:dyDescent="0.3">
      <c r="A3704" s="1" t="s">
        <v>512</v>
      </c>
      <c r="B3704" t="s">
        <v>199</v>
      </c>
      <c r="C3704" s="1">
        <v>43.222912000000001</v>
      </c>
    </row>
    <row r="3705" spans="1:3" x14ac:dyDescent="0.3">
      <c r="A3705" s="1" t="s">
        <v>512</v>
      </c>
      <c r="B3705" t="s">
        <v>200</v>
      </c>
      <c r="C3705" s="1">
        <v>43.577041999999999</v>
      </c>
    </row>
    <row r="3706" spans="1:3" x14ac:dyDescent="0.3">
      <c r="A3706" s="1" t="s">
        <v>512</v>
      </c>
      <c r="B3706" t="s">
        <v>201</v>
      </c>
      <c r="C3706" s="1">
        <v>42.447654999999997</v>
      </c>
    </row>
    <row r="3707" spans="1:3" x14ac:dyDescent="0.3">
      <c r="A3707" s="1" t="s">
        <v>512</v>
      </c>
      <c r="B3707" t="s">
        <v>202</v>
      </c>
      <c r="C3707" s="1">
        <v>42.418940999999997</v>
      </c>
    </row>
    <row r="3708" spans="1:3" x14ac:dyDescent="0.3">
      <c r="A3708" s="1" t="s">
        <v>512</v>
      </c>
      <c r="B3708" t="s">
        <v>203</v>
      </c>
      <c r="C3708" s="1">
        <v>42.505080999999997</v>
      </c>
    </row>
    <row r="3709" spans="1:3" x14ac:dyDescent="0.3">
      <c r="A3709" s="1" t="s">
        <v>512</v>
      </c>
      <c r="B3709" t="s">
        <v>204</v>
      </c>
      <c r="C3709" s="1">
        <v>42.897494999999999</v>
      </c>
    </row>
    <row r="3710" spans="1:3" x14ac:dyDescent="0.3">
      <c r="A3710" s="1" t="s">
        <v>512</v>
      </c>
      <c r="B3710" t="s">
        <v>205</v>
      </c>
      <c r="C3710" s="1">
        <v>43.701466000000003</v>
      </c>
    </row>
    <row r="3711" spans="1:3" x14ac:dyDescent="0.3">
      <c r="A3711" s="1" t="s">
        <v>512</v>
      </c>
      <c r="B3711" t="s">
        <v>206</v>
      </c>
      <c r="C3711" s="1">
        <v>45.175407</v>
      </c>
    </row>
    <row r="3712" spans="1:3" x14ac:dyDescent="0.3">
      <c r="A3712" s="1" t="s">
        <v>512</v>
      </c>
      <c r="B3712" t="s">
        <v>207</v>
      </c>
      <c r="C3712" s="1">
        <v>43.950310000000002</v>
      </c>
    </row>
    <row r="3713" spans="1:3" x14ac:dyDescent="0.3">
      <c r="A3713" s="1" t="s">
        <v>512</v>
      </c>
      <c r="B3713" t="s">
        <v>208</v>
      </c>
      <c r="C3713" s="1">
        <v>44.888278999999997</v>
      </c>
    </row>
    <row r="3714" spans="1:3" x14ac:dyDescent="0.3">
      <c r="A3714" s="1" t="s">
        <v>512</v>
      </c>
      <c r="B3714" t="s">
        <v>209</v>
      </c>
      <c r="C3714" s="1">
        <v>46.036803999999997</v>
      </c>
    </row>
    <row r="3715" spans="1:3" x14ac:dyDescent="0.3">
      <c r="A3715" s="1" t="s">
        <v>512</v>
      </c>
      <c r="B3715" t="s">
        <v>210</v>
      </c>
      <c r="C3715" s="1">
        <v>44.830849000000001</v>
      </c>
    </row>
    <row r="3716" spans="1:3" x14ac:dyDescent="0.3">
      <c r="A3716" s="1" t="s">
        <v>512</v>
      </c>
      <c r="B3716" t="s">
        <v>211</v>
      </c>
      <c r="C3716" s="1">
        <v>43.624896999999997</v>
      </c>
    </row>
    <row r="3717" spans="1:3" x14ac:dyDescent="0.3">
      <c r="A3717" s="1" t="s">
        <v>512</v>
      </c>
      <c r="B3717" t="s">
        <v>212</v>
      </c>
      <c r="C3717" s="1">
        <v>43.289909000000002</v>
      </c>
    </row>
    <row r="3718" spans="1:3" x14ac:dyDescent="0.3">
      <c r="A3718" s="1" t="s">
        <v>512</v>
      </c>
      <c r="B3718" t="s">
        <v>213</v>
      </c>
      <c r="C3718" s="1">
        <v>42.734791000000001</v>
      </c>
    </row>
    <row r="3719" spans="1:3" x14ac:dyDescent="0.3">
      <c r="A3719" s="1" t="s">
        <v>512</v>
      </c>
      <c r="B3719" t="s">
        <v>214</v>
      </c>
      <c r="C3719" s="1">
        <v>42.294517999999997</v>
      </c>
    </row>
    <row r="3720" spans="1:3" x14ac:dyDescent="0.3">
      <c r="A3720" s="1" t="s">
        <v>512</v>
      </c>
      <c r="B3720" t="s">
        <v>215</v>
      </c>
      <c r="C3720" s="1">
        <v>40.581299000000001</v>
      </c>
    </row>
    <row r="3721" spans="1:3" x14ac:dyDescent="0.3">
      <c r="A3721" s="1" t="s">
        <v>512</v>
      </c>
      <c r="B3721" t="s">
        <v>216</v>
      </c>
      <c r="C3721" s="1">
        <v>41.528835000000001</v>
      </c>
    </row>
    <row r="3722" spans="1:3" x14ac:dyDescent="0.3">
      <c r="A3722" s="1" t="s">
        <v>512</v>
      </c>
      <c r="B3722" t="s">
        <v>217</v>
      </c>
      <c r="C3722" s="1">
        <v>41.758541000000001</v>
      </c>
    </row>
    <row r="3723" spans="1:3" x14ac:dyDescent="0.3">
      <c r="A3723" s="1" t="s">
        <v>512</v>
      </c>
      <c r="B3723" t="s">
        <v>218</v>
      </c>
      <c r="C3723" s="1">
        <v>41.567120000000003</v>
      </c>
    </row>
    <row r="3724" spans="1:3" x14ac:dyDescent="0.3">
      <c r="A3724" s="1" t="s">
        <v>512</v>
      </c>
      <c r="B3724" t="s">
        <v>219</v>
      </c>
      <c r="C3724" s="1">
        <v>41.356555999999998</v>
      </c>
    </row>
    <row r="3725" spans="1:3" x14ac:dyDescent="0.3">
      <c r="A3725" s="1" t="s">
        <v>512</v>
      </c>
      <c r="B3725" t="s">
        <v>220</v>
      </c>
      <c r="C3725" s="1">
        <v>40.724865000000001</v>
      </c>
    </row>
    <row r="3726" spans="1:3" x14ac:dyDescent="0.3">
      <c r="A3726" s="1" t="s">
        <v>512</v>
      </c>
      <c r="B3726" t="s">
        <v>221</v>
      </c>
      <c r="C3726" s="1">
        <v>41.634117000000003</v>
      </c>
    </row>
    <row r="3727" spans="1:3" x14ac:dyDescent="0.3">
      <c r="A3727" s="1" t="s">
        <v>512</v>
      </c>
      <c r="B3727" t="s">
        <v>222</v>
      </c>
      <c r="C3727" s="1">
        <v>41.806395999999999</v>
      </c>
    </row>
    <row r="3728" spans="1:3" x14ac:dyDescent="0.3">
      <c r="A3728" s="1" t="s">
        <v>512</v>
      </c>
      <c r="B3728" t="s">
        <v>223</v>
      </c>
      <c r="C3728" s="1">
        <v>43.787604999999999</v>
      </c>
    </row>
    <row r="3729" spans="1:3" x14ac:dyDescent="0.3">
      <c r="A3729" s="1" t="s">
        <v>512</v>
      </c>
      <c r="B3729" t="s">
        <v>224</v>
      </c>
      <c r="C3729" s="1">
        <v>42.725216000000003</v>
      </c>
    </row>
    <row r="3730" spans="1:3" x14ac:dyDescent="0.3">
      <c r="A3730" s="1" t="s">
        <v>512</v>
      </c>
      <c r="B3730" t="s">
        <v>225</v>
      </c>
      <c r="C3730" s="1">
        <v>42.648651000000001</v>
      </c>
    </row>
    <row r="3731" spans="1:3" x14ac:dyDescent="0.3">
      <c r="A3731" s="1" t="s">
        <v>512</v>
      </c>
      <c r="B3731" t="s">
        <v>226</v>
      </c>
      <c r="C3731" s="1">
        <v>41.624546000000002</v>
      </c>
    </row>
    <row r="3732" spans="1:3" x14ac:dyDescent="0.3">
      <c r="A3732" s="1" t="s">
        <v>512</v>
      </c>
      <c r="B3732" t="s">
        <v>227</v>
      </c>
      <c r="C3732" s="1">
        <v>41.701115000000001</v>
      </c>
    </row>
    <row r="3733" spans="1:3" x14ac:dyDescent="0.3">
      <c r="A3733" s="1" t="s">
        <v>512</v>
      </c>
      <c r="B3733" t="s">
        <v>228</v>
      </c>
      <c r="C3733" s="1">
        <v>42.639076000000003</v>
      </c>
    </row>
    <row r="3734" spans="1:3" x14ac:dyDescent="0.3">
      <c r="A3734" s="1" t="s">
        <v>512</v>
      </c>
      <c r="B3734" t="s">
        <v>229</v>
      </c>
      <c r="C3734" s="1">
        <v>41.969101000000002</v>
      </c>
    </row>
    <row r="3735" spans="1:3" x14ac:dyDescent="0.3">
      <c r="A3735" s="1" t="s">
        <v>512</v>
      </c>
      <c r="B3735" t="s">
        <v>230</v>
      </c>
      <c r="C3735" s="1">
        <v>41.212989999999998</v>
      </c>
    </row>
    <row r="3736" spans="1:3" x14ac:dyDescent="0.3">
      <c r="A3736" s="1" t="s">
        <v>512</v>
      </c>
      <c r="B3736" t="s">
        <v>231</v>
      </c>
      <c r="C3736" s="1">
        <v>41.643684</v>
      </c>
    </row>
    <row r="3737" spans="1:3" x14ac:dyDescent="0.3">
      <c r="A3737" s="1" t="s">
        <v>512</v>
      </c>
      <c r="B3737" t="s">
        <v>232</v>
      </c>
      <c r="C3737" s="1">
        <v>42.351944000000003</v>
      </c>
    </row>
    <row r="3738" spans="1:3" x14ac:dyDescent="0.3">
      <c r="A3738" s="1" t="s">
        <v>512</v>
      </c>
      <c r="B3738" t="s">
        <v>233</v>
      </c>
      <c r="C3738" s="1">
        <v>42.265804000000003</v>
      </c>
    </row>
    <row r="3739" spans="1:3" x14ac:dyDescent="0.3">
      <c r="A3739" s="1" t="s">
        <v>512</v>
      </c>
      <c r="B3739" t="s">
        <v>234</v>
      </c>
      <c r="C3739" s="1">
        <v>42.418940999999997</v>
      </c>
    </row>
    <row r="3740" spans="1:3" x14ac:dyDescent="0.3">
      <c r="A3740" s="1" t="s">
        <v>512</v>
      </c>
      <c r="B3740" t="s">
        <v>235</v>
      </c>
      <c r="C3740" s="1">
        <v>41.624546000000002</v>
      </c>
    </row>
    <row r="3741" spans="1:3" x14ac:dyDescent="0.3">
      <c r="A3741" s="1" t="s">
        <v>512</v>
      </c>
      <c r="B3741" t="s">
        <v>236</v>
      </c>
      <c r="C3741" s="1">
        <v>42.074382999999997</v>
      </c>
    </row>
    <row r="3742" spans="1:3" x14ac:dyDescent="0.3">
      <c r="A3742" s="1" t="s">
        <v>512</v>
      </c>
      <c r="B3742" t="s">
        <v>237</v>
      </c>
      <c r="C3742" s="1">
        <v>43.845032000000003</v>
      </c>
    </row>
    <row r="3743" spans="1:3" x14ac:dyDescent="0.3">
      <c r="A3743" s="1" t="s">
        <v>512</v>
      </c>
      <c r="B3743" t="s">
        <v>238</v>
      </c>
      <c r="C3743" s="1">
        <v>42.811356000000004</v>
      </c>
    </row>
    <row r="3744" spans="1:3" x14ac:dyDescent="0.3">
      <c r="A3744" s="1" t="s">
        <v>512</v>
      </c>
      <c r="B3744" t="s">
        <v>239</v>
      </c>
      <c r="C3744" s="1">
        <v>44.132164000000003</v>
      </c>
    </row>
    <row r="3745" spans="1:3" x14ac:dyDescent="0.3">
      <c r="A3745" s="1" t="s">
        <v>512</v>
      </c>
      <c r="B3745" t="s">
        <v>240</v>
      </c>
      <c r="C3745" s="1">
        <v>43.069775</v>
      </c>
    </row>
    <row r="3746" spans="1:3" x14ac:dyDescent="0.3">
      <c r="A3746" s="1" t="s">
        <v>512</v>
      </c>
      <c r="B3746" t="s">
        <v>241</v>
      </c>
      <c r="C3746" s="1">
        <v>43.615326000000003</v>
      </c>
    </row>
    <row r="3747" spans="1:3" x14ac:dyDescent="0.3">
      <c r="A3747" s="1" t="s">
        <v>512</v>
      </c>
      <c r="B3747" t="s">
        <v>242</v>
      </c>
      <c r="C3747" s="1">
        <v>42.926208000000003</v>
      </c>
    </row>
    <row r="3748" spans="1:3" x14ac:dyDescent="0.3">
      <c r="A3748" s="1" t="s">
        <v>512</v>
      </c>
      <c r="B3748" t="s">
        <v>243</v>
      </c>
      <c r="C3748" s="1">
        <v>42.428516000000002</v>
      </c>
    </row>
    <row r="3749" spans="1:3" x14ac:dyDescent="0.3">
      <c r="A3749" s="1" t="s">
        <v>512</v>
      </c>
      <c r="B3749" t="s">
        <v>244</v>
      </c>
      <c r="C3749" s="1">
        <v>44.486289999999997</v>
      </c>
    </row>
    <row r="3750" spans="1:3" x14ac:dyDescent="0.3">
      <c r="A3750" s="1" t="s">
        <v>512</v>
      </c>
      <c r="B3750" t="s">
        <v>245</v>
      </c>
      <c r="C3750" s="1">
        <v>42.505080999999997</v>
      </c>
    </row>
    <row r="3751" spans="1:3" x14ac:dyDescent="0.3">
      <c r="A3751" s="1" t="s">
        <v>512</v>
      </c>
      <c r="B3751" t="s">
        <v>246</v>
      </c>
      <c r="C3751" s="1">
        <v>42.332802000000001</v>
      </c>
    </row>
    <row r="3752" spans="1:3" x14ac:dyDescent="0.3">
      <c r="A3752" s="1" t="s">
        <v>512</v>
      </c>
      <c r="B3752" t="s">
        <v>247</v>
      </c>
      <c r="C3752" s="1">
        <v>42.237094999999997</v>
      </c>
    </row>
    <row r="3753" spans="1:3" x14ac:dyDescent="0.3">
      <c r="A3753" s="1" t="s">
        <v>512</v>
      </c>
      <c r="B3753" t="s">
        <v>248</v>
      </c>
      <c r="C3753" s="1">
        <v>41.538406000000002</v>
      </c>
    </row>
    <row r="3754" spans="1:3" x14ac:dyDescent="0.3">
      <c r="A3754" s="1" t="s">
        <v>512</v>
      </c>
      <c r="B3754" t="s">
        <v>249</v>
      </c>
      <c r="C3754" s="1">
        <v>41.528835000000001</v>
      </c>
    </row>
    <row r="3755" spans="1:3" x14ac:dyDescent="0.3">
      <c r="A3755" s="1" t="s">
        <v>512</v>
      </c>
      <c r="B3755" t="s">
        <v>250</v>
      </c>
      <c r="C3755" s="1">
        <v>41.413981999999997</v>
      </c>
    </row>
    <row r="3756" spans="1:3" x14ac:dyDescent="0.3">
      <c r="A3756" s="1" t="s">
        <v>512</v>
      </c>
      <c r="B3756" t="s">
        <v>251</v>
      </c>
      <c r="C3756" s="1">
        <v>36.532738000000002</v>
      </c>
    </row>
    <row r="3757" spans="1:3" x14ac:dyDescent="0.3">
      <c r="A3757" s="1" t="s">
        <v>512</v>
      </c>
      <c r="B3757" t="s">
        <v>252</v>
      </c>
      <c r="C3757" s="1">
        <v>35.594776000000003</v>
      </c>
    </row>
    <row r="3758" spans="1:3" x14ac:dyDescent="0.3">
      <c r="A3758" s="1" t="s">
        <v>512</v>
      </c>
      <c r="B3758" t="s">
        <v>253</v>
      </c>
      <c r="C3758" s="1">
        <v>35.432068000000001</v>
      </c>
    </row>
    <row r="3759" spans="1:3" x14ac:dyDescent="0.3">
      <c r="A3759" s="1" t="s">
        <v>512</v>
      </c>
      <c r="B3759" t="s">
        <v>254</v>
      </c>
      <c r="C3759" s="1">
        <v>35.929763999999999</v>
      </c>
    </row>
    <row r="3760" spans="1:3" x14ac:dyDescent="0.3">
      <c r="A3760" s="1" t="s">
        <v>512</v>
      </c>
      <c r="B3760" t="s">
        <v>255</v>
      </c>
      <c r="C3760" s="1">
        <v>35.805340000000001</v>
      </c>
    </row>
    <row r="3761" spans="1:3" x14ac:dyDescent="0.3">
      <c r="A3761" s="1" t="s">
        <v>512</v>
      </c>
      <c r="B3761" t="s">
        <v>256</v>
      </c>
      <c r="C3761" s="1">
        <v>35.814911000000002</v>
      </c>
    </row>
    <row r="3762" spans="1:3" x14ac:dyDescent="0.3">
      <c r="A3762" s="1" t="s">
        <v>512</v>
      </c>
      <c r="B3762" t="s">
        <v>257</v>
      </c>
      <c r="C3762" s="1">
        <v>36.484881999999999</v>
      </c>
    </row>
    <row r="3763" spans="1:3" x14ac:dyDescent="0.3">
      <c r="A3763" s="1" t="s">
        <v>512</v>
      </c>
      <c r="B3763" t="s">
        <v>258</v>
      </c>
      <c r="C3763" s="1">
        <v>36.839016000000001</v>
      </c>
    </row>
    <row r="3764" spans="1:3" x14ac:dyDescent="0.3">
      <c r="A3764" s="1" t="s">
        <v>512</v>
      </c>
      <c r="B3764" t="s">
        <v>259</v>
      </c>
      <c r="C3764" s="1">
        <v>36.599739</v>
      </c>
    </row>
    <row r="3765" spans="1:3" x14ac:dyDescent="0.3">
      <c r="A3765" s="1" t="s">
        <v>512</v>
      </c>
      <c r="B3765" t="s">
        <v>260</v>
      </c>
      <c r="C3765" s="1">
        <v>37.164433000000002</v>
      </c>
    </row>
    <row r="3766" spans="1:3" x14ac:dyDescent="0.3">
      <c r="A3766" s="1" t="s">
        <v>512</v>
      </c>
      <c r="B3766" t="s">
        <v>261</v>
      </c>
      <c r="C3766" s="1">
        <v>38.159821000000001</v>
      </c>
    </row>
    <row r="3767" spans="1:3" x14ac:dyDescent="0.3">
      <c r="A3767" s="1" t="s">
        <v>512</v>
      </c>
      <c r="B3767" t="s">
        <v>262</v>
      </c>
      <c r="C3767" s="1">
        <v>37.997112000000001</v>
      </c>
    </row>
    <row r="3768" spans="1:3" x14ac:dyDescent="0.3">
      <c r="A3768" s="1" t="s">
        <v>512</v>
      </c>
      <c r="B3768" t="s">
        <v>263</v>
      </c>
      <c r="C3768" s="1">
        <v>37.432419000000003</v>
      </c>
    </row>
    <row r="3769" spans="1:3" x14ac:dyDescent="0.3">
      <c r="A3769" s="1" t="s">
        <v>512</v>
      </c>
      <c r="B3769" t="s">
        <v>264</v>
      </c>
      <c r="C3769" s="1">
        <v>38.159821000000001</v>
      </c>
    </row>
    <row r="3770" spans="1:3" x14ac:dyDescent="0.3">
      <c r="A3770" s="1" t="s">
        <v>512</v>
      </c>
      <c r="B3770" t="s">
        <v>265</v>
      </c>
      <c r="C3770" s="1">
        <v>38.332099999999997</v>
      </c>
    </row>
    <row r="3771" spans="1:3" x14ac:dyDescent="0.3">
      <c r="A3771" s="1" t="s">
        <v>512</v>
      </c>
      <c r="B3771" t="s">
        <v>266</v>
      </c>
      <c r="C3771" s="1">
        <v>38.303387000000001</v>
      </c>
    </row>
    <row r="3772" spans="1:3" x14ac:dyDescent="0.3">
      <c r="A3772" s="1" t="s">
        <v>512</v>
      </c>
      <c r="B3772" t="s">
        <v>267</v>
      </c>
      <c r="C3772" s="1">
        <v>38.226818000000002</v>
      </c>
    </row>
    <row r="3773" spans="1:3" x14ac:dyDescent="0.3">
      <c r="A3773" s="1" t="s">
        <v>512</v>
      </c>
      <c r="B3773" t="s">
        <v>268</v>
      </c>
      <c r="C3773" s="1">
        <v>37.968398999999998</v>
      </c>
    </row>
    <row r="3774" spans="1:3" x14ac:dyDescent="0.3">
      <c r="A3774" s="1" t="s">
        <v>512</v>
      </c>
      <c r="B3774" t="s">
        <v>269</v>
      </c>
      <c r="C3774" s="1">
        <v>37.786549000000001</v>
      </c>
    </row>
    <row r="3775" spans="1:3" x14ac:dyDescent="0.3">
      <c r="A3775" s="1" t="s">
        <v>512</v>
      </c>
      <c r="B3775" t="s">
        <v>270</v>
      </c>
      <c r="C3775" s="1">
        <v>37.853546000000001</v>
      </c>
    </row>
    <row r="3776" spans="1:3" x14ac:dyDescent="0.3">
      <c r="A3776" s="1" t="s">
        <v>512</v>
      </c>
      <c r="B3776" t="s">
        <v>271</v>
      </c>
      <c r="C3776" s="1">
        <v>38.092823000000003</v>
      </c>
    </row>
    <row r="3777" spans="1:3" x14ac:dyDescent="0.3">
      <c r="A3777" s="1" t="s">
        <v>512</v>
      </c>
      <c r="B3777" t="s">
        <v>272</v>
      </c>
      <c r="C3777" s="1">
        <v>37.776980999999999</v>
      </c>
    </row>
    <row r="3778" spans="1:3" x14ac:dyDescent="0.3">
      <c r="A3778" s="1" t="s">
        <v>512</v>
      </c>
      <c r="B3778" t="s">
        <v>273</v>
      </c>
      <c r="C3778" s="1">
        <v>37.662125000000003</v>
      </c>
    </row>
    <row r="3779" spans="1:3" x14ac:dyDescent="0.3">
      <c r="A3779" s="1" t="s">
        <v>512</v>
      </c>
      <c r="B3779" t="s">
        <v>274</v>
      </c>
      <c r="C3779" s="1">
        <v>37.633411000000002</v>
      </c>
    </row>
    <row r="3780" spans="1:3" x14ac:dyDescent="0.3">
      <c r="A3780" s="1" t="s">
        <v>512</v>
      </c>
      <c r="B3780" t="s">
        <v>275</v>
      </c>
      <c r="C3780" s="1">
        <v>37.327137</v>
      </c>
    </row>
    <row r="3781" spans="1:3" x14ac:dyDescent="0.3">
      <c r="A3781" s="1" t="s">
        <v>512</v>
      </c>
      <c r="B3781" t="s">
        <v>276</v>
      </c>
      <c r="C3781" s="1">
        <v>37.384566999999997</v>
      </c>
    </row>
    <row r="3782" spans="1:3" x14ac:dyDescent="0.3">
      <c r="A3782" s="1" t="s">
        <v>512</v>
      </c>
      <c r="B3782" t="s">
        <v>277</v>
      </c>
      <c r="C3782" s="1">
        <v>36.867728999999997</v>
      </c>
    </row>
    <row r="3783" spans="1:3" x14ac:dyDescent="0.3">
      <c r="A3783" s="1" t="s">
        <v>512</v>
      </c>
      <c r="B3783" t="s">
        <v>278</v>
      </c>
      <c r="C3783" s="1">
        <v>36.197754000000003</v>
      </c>
    </row>
    <row r="3784" spans="1:3" x14ac:dyDescent="0.3">
      <c r="A3784" s="1" t="s">
        <v>512</v>
      </c>
      <c r="B3784" t="s">
        <v>279</v>
      </c>
      <c r="C3784" s="1">
        <v>37.279285000000002</v>
      </c>
    </row>
    <row r="3785" spans="1:3" x14ac:dyDescent="0.3">
      <c r="A3785" s="1" t="s">
        <v>512</v>
      </c>
      <c r="B3785" t="s">
        <v>280</v>
      </c>
      <c r="C3785" s="1">
        <v>36.484881999999999</v>
      </c>
    </row>
    <row r="3786" spans="1:3" x14ac:dyDescent="0.3">
      <c r="A3786" s="1" t="s">
        <v>512</v>
      </c>
      <c r="B3786" t="s">
        <v>281</v>
      </c>
      <c r="C3786" s="1">
        <v>36.743301000000002</v>
      </c>
    </row>
    <row r="3787" spans="1:3" x14ac:dyDescent="0.3">
      <c r="A3787" s="1" t="s">
        <v>512</v>
      </c>
      <c r="B3787" t="s">
        <v>282</v>
      </c>
      <c r="C3787" s="1">
        <v>36.800731999999996</v>
      </c>
    </row>
    <row r="3788" spans="1:3" x14ac:dyDescent="0.3">
      <c r="A3788" s="1" t="s">
        <v>512</v>
      </c>
      <c r="B3788" t="s">
        <v>283</v>
      </c>
      <c r="C3788" s="1">
        <v>37.059151</v>
      </c>
    </row>
    <row r="3789" spans="1:3" x14ac:dyDescent="0.3">
      <c r="A3789" s="1" t="s">
        <v>512</v>
      </c>
      <c r="B3789" t="s">
        <v>284</v>
      </c>
      <c r="C3789" s="1">
        <v>36.848587000000002</v>
      </c>
    </row>
    <row r="3790" spans="1:3" x14ac:dyDescent="0.3">
      <c r="A3790" s="1" t="s">
        <v>512</v>
      </c>
      <c r="B3790" t="s">
        <v>285</v>
      </c>
      <c r="C3790" s="1">
        <v>37.528129999999997</v>
      </c>
    </row>
    <row r="3791" spans="1:3" x14ac:dyDescent="0.3">
      <c r="A3791" s="1" t="s">
        <v>512</v>
      </c>
      <c r="B3791" t="s">
        <v>286</v>
      </c>
      <c r="C3791" s="1">
        <v>37.212288000000001</v>
      </c>
    </row>
    <row r="3792" spans="1:3" x14ac:dyDescent="0.3">
      <c r="A3792" s="1" t="s">
        <v>512</v>
      </c>
      <c r="B3792" t="s">
        <v>287</v>
      </c>
      <c r="C3792" s="1">
        <v>37.432419000000003</v>
      </c>
    </row>
    <row r="3793" spans="1:3" x14ac:dyDescent="0.3">
      <c r="A3793" s="1" t="s">
        <v>512</v>
      </c>
      <c r="B3793" t="s">
        <v>288</v>
      </c>
      <c r="C3793" s="1">
        <v>38.178963000000003</v>
      </c>
    </row>
    <row r="3794" spans="1:3" x14ac:dyDescent="0.3">
      <c r="A3794" s="1" t="s">
        <v>512</v>
      </c>
      <c r="B3794" t="s">
        <v>289</v>
      </c>
      <c r="C3794" s="1">
        <v>37.087859999999999</v>
      </c>
    </row>
    <row r="3795" spans="1:3" x14ac:dyDescent="0.3">
      <c r="A3795" s="1" t="s">
        <v>512</v>
      </c>
      <c r="B3795" t="s">
        <v>290</v>
      </c>
      <c r="C3795" s="1">
        <v>37.403708999999999</v>
      </c>
    </row>
    <row r="3796" spans="1:3" x14ac:dyDescent="0.3">
      <c r="A3796" s="1" t="s">
        <v>512</v>
      </c>
      <c r="B3796" t="s">
        <v>291</v>
      </c>
      <c r="C3796" s="1">
        <v>37.949261</v>
      </c>
    </row>
    <row r="3797" spans="1:3" x14ac:dyDescent="0.3">
      <c r="A3797" s="1" t="s">
        <v>512</v>
      </c>
      <c r="B3797" t="s">
        <v>292</v>
      </c>
      <c r="C3797" s="1">
        <v>37.537703999999998</v>
      </c>
    </row>
    <row r="3798" spans="1:3" x14ac:dyDescent="0.3">
      <c r="A3798" s="1" t="s">
        <v>512</v>
      </c>
      <c r="B3798" t="s">
        <v>293</v>
      </c>
      <c r="C3798" s="1">
        <v>36.408318000000001</v>
      </c>
    </row>
    <row r="3799" spans="1:3" x14ac:dyDescent="0.3">
      <c r="A3799" s="1" t="s">
        <v>512</v>
      </c>
      <c r="B3799" t="s">
        <v>294</v>
      </c>
      <c r="C3799" s="1">
        <v>36.618876999999998</v>
      </c>
    </row>
    <row r="3800" spans="1:3" x14ac:dyDescent="0.3">
      <c r="A3800" s="1" t="s">
        <v>512</v>
      </c>
      <c r="B3800" t="s">
        <v>295</v>
      </c>
      <c r="C3800" s="1">
        <v>36.551879999999997</v>
      </c>
    </row>
    <row r="3801" spans="1:3" x14ac:dyDescent="0.3">
      <c r="A3801" s="1" t="s">
        <v>512</v>
      </c>
      <c r="B3801" t="s">
        <v>296</v>
      </c>
      <c r="C3801" s="1">
        <v>37.011291999999997</v>
      </c>
    </row>
    <row r="3802" spans="1:3" x14ac:dyDescent="0.3">
      <c r="A3802" s="1" t="s">
        <v>512</v>
      </c>
      <c r="B3802" t="s">
        <v>297</v>
      </c>
      <c r="C3802" s="1">
        <v>36.695450000000001</v>
      </c>
    </row>
    <row r="3803" spans="1:3" x14ac:dyDescent="0.3">
      <c r="A3803" s="1" t="s">
        <v>512</v>
      </c>
      <c r="B3803" t="s">
        <v>298</v>
      </c>
      <c r="C3803" s="1">
        <v>36.973011</v>
      </c>
    </row>
    <row r="3804" spans="1:3" x14ac:dyDescent="0.3">
      <c r="A3804" s="1" t="s">
        <v>512</v>
      </c>
      <c r="B3804" t="s">
        <v>299</v>
      </c>
      <c r="C3804" s="1">
        <v>38.006683000000002</v>
      </c>
    </row>
    <row r="3805" spans="1:3" x14ac:dyDescent="0.3">
      <c r="A3805" s="1" t="s">
        <v>512</v>
      </c>
      <c r="B3805" t="s">
        <v>300</v>
      </c>
      <c r="C3805" s="1">
        <v>37.815261999999997</v>
      </c>
    </row>
    <row r="3806" spans="1:3" x14ac:dyDescent="0.3">
      <c r="A3806" s="1" t="s">
        <v>512</v>
      </c>
      <c r="B3806" t="s">
        <v>301</v>
      </c>
      <c r="C3806" s="1">
        <v>38.035400000000003</v>
      </c>
    </row>
    <row r="3807" spans="1:3" x14ac:dyDescent="0.3">
      <c r="A3807" s="1" t="s">
        <v>512</v>
      </c>
      <c r="B3807" t="s">
        <v>302</v>
      </c>
      <c r="C3807" s="1">
        <v>37.834403999999999</v>
      </c>
    </row>
    <row r="3808" spans="1:3" x14ac:dyDescent="0.3">
      <c r="A3808" s="1" t="s">
        <v>512</v>
      </c>
      <c r="B3808" t="s">
        <v>303</v>
      </c>
      <c r="C3808" s="1">
        <v>38.896793000000002</v>
      </c>
    </row>
    <row r="3809" spans="1:3" x14ac:dyDescent="0.3">
      <c r="A3809" s="1" t="s">
        <v>512</v>
      </c>
      <c r="B3809" t="s">
        <v>304</v>
      </c>
      <c r="C3809" s="1">
        <v>39.183922000000003</v>
      </c>
    </row>
    <row r="3810" spans="1:3" x14ac:dyDescent="0.3">
      <c r="A3810" s="1" t="s">
        <v>512</v>
      </c>
      <c r="B3810" t="s">
        <v>305</v>
      </c>
      <c r="C3810" s="1">
        <v>38.791508</v>
      </c>
    </row>
    <row r="3811" spans="1:3" x14ac:dyDescent="0.3">
      <c r="A3811" s="1" t="s">
        <v>512</v>
      </c>
      <c r="B3811" t="s">
        <v>306</v>
      </c>
      <c r="C3811" s="1">
        <v>38.274673</v>
      </c>
    </row>
    <row r="3812" spans="1:3" x14ac:dyDescent="0.3">
      <c r="A3812" s="1" t="s">
        <v>512</v>
      </c>
      <c r="B3812" t="s">
        <v>307</v>
      </c>
      <c r="C3812" s="1">
        <v>37.011291999999997</v>
      </c>
    </row>
    <row r="3813" spans="1:3" x14ac:dyDescent="0.3">
      <c r="A3813" s="1" t="s">
        <v>512</v>
      </c>
      <c r="B3813" t="s">
        <v>308</v>
      </c>
      <c r="C3813" s="1">
        <v>36.877296000000001</v>
      </c>
    </row>
    <row r="3814" spans="1:3" x14ac:dyDescent="0.3">
      <c r="A3814" s="1" t="s">
        <v>512</v>
      </c>
      <c r="B3814" t="s">
        <v>309</v>
      </c>
      <c r="C3814" s="1">
        <v>36.494456999999997</v>
      </c>
    </row>
    <row r="3815" spans="1:3" x14ac:dyDescent="0.3">
      <c r="A3815" s="1" t="s">
        <v>512</v>
      </c>
      <c r="B3815" t="s">
        <v>310</v>
      </c>
      <c r="C3815" s="1">
        <v>36.465739999999997</v>
      </c>
    </row>
    <row r="3816" spans="1:3" x14ac:dyDescent="0.3">
      <c r="A3816" s="1" t="s">
        <v>512</v>
      </c>
      <c r="B3816" t="s">
        <v>311</v>
      </c>
      <c r="C3816" s="1">
        <v>34.752524999999999</v>
      </c>
    </row>
    <row r="3817" spans="1:3" x14ac:dyDescent="0.3">
      <c r="A3817" s="1" t="s">
        <v>512</v>
      </c>
      <c r="B3817" t="s">
        <v>312</v>
      </c>
      <c r="C3817" s="1">
        <v>36.446601999999999</v>
      </c>
    </row>
    <row r="3818" spans="1:3" x14ac:dyDescent="0.3">
      <c r="A3818" s="1" t="s">
        <v>512</v>
      </c>
      <c r="B3818" t="s">
        <v>313</v>
      </c>
      <c r="C3818" s="1">
        <v>36.437030999999998</v>
      </c>
    </row>
    <row r="3819" spans="1:3" x14ac:dyDescent="0.3">
      <c r="A3819" s="1" t="s">
        <v>512</v>
      </c>
      <c r="B3819" t="s">
        <v>314</v>
      </c>
      <c r="C3819" s="1">
        <v>35.929763999999999</v>
      </c>
    </row>
    <row r="3820" spans="1:3" x14ac:dyDescent="0.3">
      <c r="A3820" s="1" t="s">
        <v>512</v>
      </c>
      <c r="B3820" t="s">
        <v>315</v>
      </c>
      <c r="C3820" s="1">
        <v>36.331749000000002</v>
      </c>
    </row>
    <row r="3821" spans="1:3" x14ac:dyDescent="0.3">
      <c r="A3821" s="1" t="s">
        <v>512</v>
      </c>
      <c r="B3821" t="s">
        <v>316</v>
      </c>
      <c r="C3821" s="1">
        <v>35.518208000000001</v>
      </c>
    </row>
    <row r="3822" spans="1:3" x14ac:dyDescent="0.3">
      <c r="A3822" s="1" t="s">
        <v>512</v>
      </c>
      <c r="B3822" t="s">
        <v>317</v>
      </c>
      <c r="C3822" s="1">
        <v>35.422497</v>
      </c>
    </row>
    <row r="3823" spans="1:3" x14ac:dyDescent="0.3">
      <c r="A3823" s="1" t="s">
        <v>512</v>
      </c>
      <c r="B3823" t="s">
        <v>318</v>
      </c>
      <c r="C3823" s="1">
        <v>35.173648999999997</v>
      </c>
    </row>
    <row r="3824" spans="1:3" x14ac:dyDescent="0.3">
      <c r="A3824" s="1" t="s">
        <v>512</v>
      </c>
      <c r="B3824" t="s">
        <v>319</v>
      </c>
      <c r="C3824" s="1">
        <v>35.661774000000001</v>
      </c>
    </row>
    <row r="3825" spans="1:3" x14ac:dyDescent="0.3">
      <c r="A3825" s="1" t="s">
        <v>512</v>
      </c>
      <c r="B3825" t="s">
        <v>320</v>
      </c>
      <c r="C3825" s="1">
        <v>37.097431</v>
      </c>
    </row>
    <row r="3826" spans="1:3" x14ac:dyDescent="0.3">
      <c r="A3826" s="1" t="s">
        <v>512</v>
      </c>
      <c r="B3826" t="s">
        <v>321</v>
      </c>
      <c r="C3826" s="1">
        <v>37.910972999999998</v>
      </c>
    </row>
    <row r="3827" spans="1:3" x14ac:dyDescent="0.3">
      <c r="A3827" s="1" t="s">
        <v>512</v>
      </c>
      <c r="B3827" t="s">
        <v>322</v>
      </c>
      <c r="C3827" s="1">
        <v>37.939686000000002</v>
      </c>
    </row>
    <row r="3828" spans="1:3" x14ac:dyDescent="0.3">
      <c r="A3828" s="1" t="s">
        <v>512</v>
      </c>
      <c r="B3828" t="s">
        <v>323</v>
      </c>
      <c r="C3828" s="1">
        <v>37.796123999999999</v>
      </c>
    </row>
    <row r="3829" spans="1:3" x14ac:dyDescent="0.3">
      <c r="A3829" s="1" t="s">
        <v>512</v>
      </c>
      <c r="B3829" t="s">
        <v>324</v>
      </c>
      <c r="C3829" s="1">
        <v>37.834403999999999</v>
      </c>
    </row>
    <row r="3830" spans="1:3" x14ac:dyDescent="0.3">
      <c r="A3830" s="1" t="s">
        <v>512</v>
      </c>
      <c r="B3830" t="s">
        <v>325</v>
      </c>
      <c r="C3830" s="1">
        <v>37.298428000000001</v>
      </c>
    </row>
    <row r="3831" spans="1:3" x14ac:dyDescent="0.3">
      <c r="A3831" s="1" t="s">
        <v>512</v>
      </c>
      <c r="B3831" t="s">
        <v>326</v>
      </c>
      <c r="C3831" s="1">
        <v>37.776980999999999</v>
      </c>
    </row>
    <row r="3832" spans="1:3" x14ac:dyDescent="0.3">
      <c r="A3832" s="1" t="s">
        <v>512</v>
      </c>
      <c r="B3832" t="s">
        <v>327</v>
      </c>
      <c r="C3832" s="1">
        <v>37.480274000000001</v>
      </c>
    </row>
    <row r="3833" spans="1:3" x14ac:dyDescent="0.3">
      <c r="A3833" s="1" t="s">
        <v>512</v>
      </c>
      <c r="B3833" t="s">
        <v>328</v>
      </c>
      <c r="C3833" s="1">
        <v>38.044967999999997</v>
      </c>
    </row>
    <row r="3834" spans="1:3" x14ac:dyDescent="0.3">
      <c r="A3834" s="1" t="s">
        <v>512</v>
      </c>
      <c r="B3834" t="s">
        <v>329</v>
      </c>
      <c r="C3834" s="1">
        <v>37.461131999999999</v>
      </c>
    </row>
    <row r="3835" spans="1:3" x14ac:dyDescent="0.3">
      <c r="A3835" s="1" t="s">
        <v>512</v>
      </c>
      <c r="B3835" t="s">
        <v>330</v>
      </c>
      <c r="C3835" s="1">
        <v>37.040008999999998</v>
      </c>
    </row>
    <row r="3836" spans="1:3" x14ac:dyDescent="0.3">
      <c r="A3836" s="1" t="s">
        <v>512</v>
      </c>
      <c r="B3836" t="s">
        <v>331</v>
      </c>
      <c r="C3836" s="1">
        <v>37.279285000000002</v>
      </c>
    </row>
    <row r="3837" spans="1:3" x14ac:dyDescent="0.3">
      <c r="A3837" s="1" t="s">
        <v>512</v>
      </c>
      <c r="B3837" t="s">
        <v>332</v>
      </c>
      <c r="C3837" s="1">
        <v>37.882263000000002</v>
      </c>
    </row>
    <row r="3838" spans="1:3" x14ac:dyDescent="0.3">
      <c r="A3838" s="1" t="s">
        <v>512</v>
      </c>
      <c r="B3838" t="s">
        <v>333</v>
      </c>
      <c r="C3838" s="1">
        <v>38.188533999999997</v>
      </c>
    </row>
    <row r="3839" spans="1:3" x14ac:dyDescent="0.3">
      <c r="A3839" s="1" t="s">
        <v>512</v>
      </c>
      <c r="B3839" t="s">
        <v>334</v>
      </c>
      <c r="C3839" s="1">
        <v>37.796123999999999</v>
      </c>
    </row>
    <row r="3840" spans="1:3" x14ac:dyDescent="0.3">
      <c r="A3840" s="1" t="s">
        <v>512</v>
      </c>
      <c r="B3840" t="s">
        <v>335</v>
      </c>
      <c r="C3840" s="1">
        <v>37.623843999999998</v>
      </c>
    </row>
    <row r="3841" spans="1:3" x14ac:dyDescent="0.3">
      <c r="A3841" s="1" t="s">
        <v>512</v>
      </c>
      <c r="B3841" t="s">
        <v>336</v>
      </c>
      <c r="C3841" s="1">
        <v>37.575985000000003</v>
      </c>
    </row>
    <row r="3842" spans="1:3" x14ac:dyDescent="0.3">
      <c r="A3842" s="1" t="s">
        <v>512</v>
      </c>
      <c r="B3842" t="s">
        <v>337</v>
      </c>
      <c r="C3842" s="1">
        <v>38.140678000000001</v>
      </c>
    </row>
    <row r="3843" spans="1:3" x14ac:dyDescent="0.3">
      <c r="A3843" s="1" t="s">
        <v>512</v>
      </c>
      <c r="B3843" t="s">
        <v>338</v>
      </c>
      <c r="C3843" s="1">
        <v>38.274673</v>
      </c>
    </row>
    <row r="3844" spans="1:3" x14ac:dyDescent="0.3">
      <c r="A3844" s="1" t="s">
        <v>512</v>
      </c>
      <c r="B3844" t="s">
        <v>339</v>
      </c>
      <c r="C3844" s="1">
        <v>37.767406000000001</v>
      </c>
    </row>
    <row r="3845" spans="1:3" x14ac:dyDescent="0.3">
      <c r="A3845" s="1" t="s">
        <v>512</v>
      </c>
      <c r="B3845" t="s">
        <v>340</v>
      </c>
      <c r="C3845" s="1">
        <v>37.097431</v>
      </c>
    </row>
    <row r="3846" spans="1:3" x14ac:dyDescent="0.3">
      <c r="A3846" s="1" t="s">
        <v>512</v>
      </c>
      <c r="B3846" t="s">
        <v>341</v>
      </c>
      <c r="C3846" s="1">
        <v>37.757835</v>
      </c>
    </row>
    <row r="3847" spans="1:3" x14ac:dyDescent="0.3">
      <c r="A3847" s="1" t="s">
        <v>512</v>
      </c>
      <c r="B3847" t="s">
        <v>342</v>
      </c>
      <c r="C3847" s="1">
        <v>37.604697999999999</v>
      </c>
    </row>
    <row r="3848" spans="1:3" x14ac:dyDescent="0.3">
      <c r="A3848" s="1" t="s">
        <v>512</v>
      </c>
      <c r="B3848" t="s">
        <v>343</v>
      </c>
      <c r="C3848" s="1">
        <v>38.360813</v>
      </c>
    </row>
    <row r="3849" spans="1:3" x14ac:dyDescent="0.3">
      <c r="A3849" s="1" t="s">
        <v>512</v>
      </c>
      <c r="B3849" t="s">
        <v>344</v>
      </c>
      <c r="C3849" s="1">
        <v>37.279285000000002</v>
      </c>
    </row>
    <row r="3850" spans="1:3" x14ac:dyDescent="0.3">
      <c r="A3850" s="1" t="s">
        <v>512</v>
      </c>
      <c r="B3850" t="s">
        <v>345</v>
      </c>
      <c r="C3850" s="1">
        <v>37.556846999999998</v>
      </c>
    </row>
    <row r="3851" spans="1:3" x14ac:dyDescent="0.3">
      <c r="A3851" s="1" t="s">
        <v>512</v>
      </c>
      <c r="B3851" t="s">
        <v>346</v>
      </c>
      <c r="C3851" s="1">
        <v>37.327137</v>
      </c>
    </row>
    <row r="3852" spans="1:3" x14ac:dyDescent="0.3">
      <c r="A3852" s="1" t="s">
        <v>512</v>
      </c>
      <c r="B3852" t="s">
        <v>347</v>
      </c>
      <c r="C3852" s="1">
        <v>36.906013000000002</v>
      </c>
    </row>
    <row r="3853" spans="1:3" x14ac:dyDescent="0.3">
      <c r="A3853" s="1" t="s">
        <v>512</v>
      </c>
      <c r="B3853" t="s">
        <v>348</v>
      </c>
      <c r="C3853" s="1">
        <v>35.977618999999997</v>
      </c>
    </row>
    <row r="3854" spans="1:3" x14ac:dyDescent="0.3">
      <c r="A3854" s="1" t="s">
        <v>512</v>
      </c>
      <c r="B3854" t="s">
        <v>349</v>
      </c>
      <c r="C3854" s="1">
        <v>36.408318000000001</v>
      </c>
    </row>
    <row r="3855" spans="1:3" x14ac:dyDescent="0.3">
      <c r="A3855" s="1" t="s">
        <v>512</v>
      </c>
      <c r="B3855" t="s">
        <v>350</v>
      </c>
      <c r="C3855" s="1">
        <v>35.623488999999999</v>
      </c>
    </row>
    <row r="3856" spans="1:3" x14ac:dyDescent="0.3">
      <c r="A3856" s="1" t="s">
        <v>512</v>
      </c>
      <c r="B3856" t="s">
        <v>351</v>
      </c>
      <c r="C3856" s="1">
        <v>36.638019999999997</v>
      </c>
    </row>
    <row r="3857" spans="1:3" x14ac:dyDescent="0.3">
      <c r="A3857" s="1" t="s">
        <v>512</v>
      </c>
      <c r="B3857" t="s">
        <v>352</v>
      </c>
      <c r="C3857" s="1">
        <v>36.063758999999997</v>
      </c>
    </row>
    <row r="3858" spans="1:3" x14ac:dyDescent="0.3">
      <c r="A3858" s="1" t="s">
        <v>512</v>
      </c>
      <c r="B3858" t="s">
        <v>353</v>
      </c>
      <c r="C3858" s="1">
        <v>36.264750999999997</v>
      </c>
    </row>
    <row r="3859" spans="1:3" x14ac:dyDescent="0.3">
      <c r="A3859" s="1" t="s">
        <v>512</v>
      </c>
      <c r="B3859" t="s">
        <v>354</v>
      </c>
      <c r="C3859" s="1">
        <v>35.594776000000003</v>
      </c>
    </row>
    <row r="3860" spans="1:3" x14ac:dyDescent="0.3">
      <c r="A3860" s="1" t="s">
        <v>512</v>
      </c>
      <c r="B3860" t="s">
        <v>355</v>
      </c>
      <c r="C3860" s="1">
        <v>35.719200000000001</v>
      </c>
    </row>
    <row r="3861" spans="1:3" x14ac:dyDescent="0.3">
      <c r="A3861" s="1" t="s">
        <v>512</v>
      </c>
      <c r="B3861" t="s">
        <v>356</v>
      </c>
      <c r="C3861" s="1">
        <v>35.508636000000003</v>
      </c>
    </row>
    <row r="3862" spans="1:3" x14ac:dyDescent="0.3">
      <c r="A3862" s="1" t="s">
        <v>512</v>
      </c>
      <c r="B3862" t="s">
        <v>357</v>
      </c>
      <c r="C3862" s="1">
        <v>35.546920999999998</v>
      </c>
    </row>
    <row r="3863" spans="1:3" x14ac:dyDescent="0.3">
      <c r="A3863" s="1" t="s">
        <v>512</v>
      </c>
      <c r="B3863" t="s">
        <v>358</v>
      </c>
      <c r="C3863" s="1">
        <v>35.948906000000001</v>
      </c>
    </row>
    <row r="3864" spans="1:3" x14ac:dyDescent="0.3">
      <c r="A3864" s="1" t="s">
        <v>512</v>
      </c>
      <c r="B3864" t="s">
        <v>359</v>
      </c>
      <c r="C3864" s="1">
        <v>35.920192999999998</v>
      </c>
    </row>
    <row r="3865" spans="1:3" x14ac:dyDescent="0.3">
      <c r="A3865" s="1" t="s">
        <v>512</v>
      </c>
      <c r="B3865" t="s">
        <v>360</v>
      </c>
      <c r="C3865" s="1">
        <v>36.293461000000001</v>
      </c>
    </row>
    <row r="3866" spans="1:3" x14ac:dyDescent="0.3">
      <c r="A3866" s="1" t="s">
        <v>512</v>
      </c>
      <c r="B3866" t="s">
        <v>361</v>
      </c>
      <c r="C3866" s="1">
        <v>35.853194999999999</v>
      </c>
    </row>
    <row r="3867" spans="1:3" x14ac:dyDescent="0.3">
      <c r="A3867" s="1" t="s">
        <v>512</v>
      </c>
      <c r="B3867" t="s">
        <v>362</v>
      </c>
      <c r="C3867" s="1">
        <v>35.805340000000001</v>
      </c>
    </row>
    <row r="3868" spans="1:3" x14ac:dyDescent="0.3">
      <c r="A3868" s="1" t="s">
        <v>512</v>
      </c>
      <c r="B3868" t="s">
        <v>363</v>
      </c>
      <c r="C3868" s="1">
        <v>35.910621999999996</v>
      </c>
    </row>
    <row r="3869" spans="1:3" x14ac:dyDescent="0.3">
      <c r="A3869" s="1" t="s">
        <v>512</v>
      </c>
      <c r="B3869" t="s">
        <v>364</v>
      </c>
      <c r="C3869" s="1">
        <v>35.814911000000002</v>
      </c>
    </row>
    <row r="3870" spans="1:3" x14ac:dyDescent="0.3">
      <c r="A3870" s="1" t="s">
        <v>512</v>
      </c>
      <c r="B3870" t="s">
        <v>365</v>
      </c>
      <c r="C3870" s="1">
        <v>35.508636000000003</v>
      </c>
    </row>
    <row r="3871" spans="1:3" x14ac:dyDescent="0.3">
      <c r="A3871" s="1" t="s">
        <v>512</v>
      </c>
      <c r="B3871" t="s">
        <v>366</v>
      </c>
      <c r="C3871" s="1">
        <v>36.274323000000003</v>
      </c>
    </row>
    <row r="3872" spans="1:3" x14ac:dyDescent="0.3">
      <c r="A3872" s="1" t="s">
        <v>512</v>
      </c>
      <c r="B3872" t="s">
        <v>367</v>
      </c>
      <c r="C3872" s="1">
        <v>36.542313</v>
      </c>
    </row>
    <row r="3873" spans="1:3" x14ac:dyDescent="0.3">
      <c r="A3873" s="1" t="s">
        <v>512</v>
      </c>
      <c r="B3873" t="s">
        <v>368</v>
      </c>
      <c r="C3873" s="1">
        <v>37.470706999999997</v>
      </c>
    </row>
    <row r="3874" spans="1:3" x14ac:dyDescent="0.3">
      <c r="A3874" s="1" t="s">
        <v>512</v>
      </c>
      <c r="B3874" t="s">
        <v>369</v>
      </c>
      <c r="C3874" s="1">
        <v>37.461131999999999</v>
      </c>
    </row>
    <row r="3875" spans="1:3" x14ac:dyDescent="0.3">
      <c r="A3875" s="1" t="s">
        <v>512</v>
      </c>
      <c r="B3875" t="s">
        <v>370</v>
      </c>
      <c r="C3875" s="1">
        <v>37.585555999999997</v>
      </c>
    </row>
    <row r="3876" spans="1:3" x14ac:dyDescent="0.3">
      <c r="A3876" s="1" t="s">
        <v>512</v>
      </c>
      <c r="B3876" t="s">
        <v>371</v>
      </c>
      <c r="C3876" s="1">
        <v>37.097431</v>
      </c>
    </row>
    <row r="3877" spans="1:3" x14ac:dyDescent="0.3">
      <c r="A3877" s="1" t="s">
        <v>512</v>
      </c>
      <c r="B3877" t="s">
        <v>372</v>
      </c>
      <c r="C3877" s="1">
        <v>36.992153000000002</v>
      </c>
    </row>
    <row r="3878" spans="1:3" x14ac:dyDescent="0.3">
      <c r="A3878" s="1" t="s">
        <v>512</v>
      </c>
      <c r="B3878" t="s">
        <v>373</v>
      </c>
      <c r="C3878" s="1">
        <v>36.925156000000001</v>
      </c>
    </row>
    <row r="3879" spans="1:3" x14ac:dyDescent="0.3">
      <c r="A3879" s="1" t="s">
        <v>512</v>
      </c>
      <c r="B3879" t="s">
        <v>374</v>
      </c>
      <c r="C3879" s="1">
        <v>36.724159</v>
      </c>
    </row>
    <row r="3880" spans="1:3" x14ac:dyDescent="0.3">
      <c r="A3880" s="1" t="s">
        <v>512</v>
      </c>
      <c r="B3880" t="s">
        <v>375</v>
      </c>
      <c r="C3880" s="1">
        <v>37.049576000000002</v>
      </c>
    </row>
    <row r="3881" spans="1:3" x14ac:dyDescent="0.3">
      <c r="A3881" s="1" t="s">
        <v>512</v>
      </c>
      <c r="B3881" t="s">
        <v>376</v>
      </c>
      <c r="C3881" s="1">
        <v>36.618876999999998</v>
      </c>
    </row>
    <row r="3882" spans="1:3" x14ac:dyDescent="0.3">
      <c r="A3882" s="1" t="s">
        <v>512</v>
      </c>
      <c r="B3882" t="s">
        <v>377</v>
      </c>
      <c r="C3882" s="1">
        <v>36.848587000000002</v>
      </c>
    </row>
    <row r="3883" spans="1:3" x14ac:dyDescent="0.3">
      <c r="A3883" s="1" t="s">
        <v>512</v>
      </c>
      <c r="B3883" t="s">
        <v>378</v>
      </c>
      <c r="C3883" s="1">
        <v>36.216895999999998</v>
      </c>
    </row>
    <row r="3884" spans="1:3" x14ac:dyDescent="0.3">
      <c r="A3884" s="1" t="s">
        <v>512</v>
      </c>
      <c r="B3884" t="s">
        <v>379</v>
      </c>
      <c r="C3884" s="1">
        <v>36.331749000000002</v>
      </c>
    </row>
    <row r="3885" spans="1:3" x14ac:dyDescent="0.3">
      <c r="A3885" s="1" t="s">
        <v>512</v>
      </c>
      <c r="B3885" t="s">
        <v>380</v>
      </c>
      <c r="C3885" s="1">
        <v>36.226463000000003</v>
      </c>
    </row>
    <row r="3886" spans="1:3" x14ac:dyDescent="0.3">
      <c r="A3886" s="1" t="s">
        <v>512</v>
      </c>
      <c r="B3886" t="s">
        <v>381</v>
      </c>
      <c r="C3886" s="1">
        <v>36.063758999999997</v>
      </c>
    </row>
    <row r="3887" spans="1:3" x14ac:dyDescent="0.3">
      <c r="A3887" s="1" t="s">
        <v>512</v>
      </c>
      <c r="B3887" t="s">
        <v>382</v>
      </c>
      <c r="C3887" s="1">
        <v>36.609310000000001</v>
      </c>
    </row>
    <row r="3888" spans="1:3" x14ac:dyDescent="0.3">
      <c r="A3888" s="1" t="s">
        <v>512</v>
      </c>
      <c r="B3888" t="s">
        <v>383</v>
      </c>
      <c r="C3888" s="1">
        <v>36.925156000000001</v>
      </c>
    </row>
    <row r="3889" spans="1:3" x14ac:dyDescent="0.3">
      <c r="A3889" s="1" t="s">
        <v>512</v>
      </c>
      <c r="B3889" t="s">
        <v>384</v>
      </c>
      <c r="C3889" s="1">
        <v>37.355849999999997</v>
      </c>
    </row>
    <row r="3890" spans="1:3" x14ac:dyDescent="0.3">
      <c r="A3890" s="1" t="s">
        <v>512</v>
      </c>
      <c r="B3890" t="s">
        <v>385</v>
      </c>
      <c r="C3890" s="1">
        <v>34.082549999999998</v>
      </c>
    </row>
    <row r="3891" spans="1:3" x14ac:dyDescent="0.3">
      <c r="A3891" s="1" t="s">
        <v>512</v>
      </c>
      <c r="B3891" t="s">
        <v>386</v>
      </c>
      <c r="C3891" s="1">
        <v>34.025120000000001</v>
      </c>
    </row>
    <row r="3892" spans="1:3" x14ac:dyDescent="0.3">
      <c r="A3892" s="1" t="s">
        <v>512</v>
      </c>
      <c r="B3892" t="s">
        <v>387</v>
      </c>
      <c r="C3892" s="1">
        <v>34.092117000000002</v>
      </c>
    </row>
    <row r="3893" spans="1:3" x14ac:dyDescent="0.3">
      <c r="A3893" s="1" t="s">
        <v>512</v>
      </c>
      <c r="B3893" t="s">
        <v>388</v>
      </c>
      <c r="C3893" s="1">
        <v>34.273972000000001</v>
      </c>
    </row>
    <row r="3894" spans="1:3" x14ac:dyDescent="0.3">
      <c r="A3894" s="1" t="s">
        <v>512</v>
      </c>
      <c r="B3894" t="s">
        <v>389</v>
      </c>
      <c r="C3894" s="1">
        <v>34.599387999999998</v>
      </c>
    </row>
    <row r="3895" spans="1:3" x14ac:dyDescent="0.3">
      <c r="A3895" s="1" t="s">
        <v>512</v>
      </c>
      <c r="B3895" t="s">
        <v>390</v>
      </c>
      <c r="C3895" s="1">
        <v>34.350535999999998</v>
      </c>
    </row>
    <row r="3896" spans="1:3" x14ac:dyDescent="0.3">
      <c r="A3896" s="1" t="s">
        <v>512</v>
      </c>
      <c r="B3896" t="s">
        <v>391</v>
      </c>
      <c r="C3896" s="1">
        <v>34.388824</v>
      </c>
    </row>
    <row r="3897" spans="1:3" x14ac:dyDescent="0.3">
      <c r="A3897" s="1" t="s">
        <v>512</v>
      </c>
      <c r="B3897" t="s">
        <v>392</v>
      </c>
      <c r="C3897" s="1">
        <v>34.283538999999998</v>
      </c>
    </row>
    <row r="3898" spans="1:3" x14ac:dyDescent="0.3">
      <c r="A3898" s="1" t="s">
        <v>512</v>
      </c>
      <c r="B3898" t="s">
        <v>393</v>
      </c>
      <c r="C3898" s="1">
        <v>34.350535999999998</v>
      </c>
    </row>
    <row r="3899" spans="1:3" x14ac:dyDescent="0.3">
      <c r="A3899" s="1" t="s">
        <v>512</v>
      </c>
      <c r="B3899" t="s">
        <v>394</v>
      </c>
      <c r="C3899" s="1">
        <v>34.120834000000002</v>
      </c>
    </row>
    <row r="3900" spans="1:3" x14ac:dyDescent="0.3">
      <c r="A3900" s="1" t="s">
        <v>512</v>
      </c>
      <c r="B3900" t="s">
        <v>395</v>
      </c>
      <c r="C3900" s="1">
        <v>33.871986</v>
      </c>
    </row>
    <row r="3901" spans="1:3" x14ac:dyDescent="0.3">
      <c r="A3901" s="1" t="s">
        <v>512</v>
      </c>
      <c r="B3901" t="s">
        <v>396</v>
      </c>
      <c r="C3901" s="1">
        <v>33.613567000000003</v>
      </c>
    </row>
    <row r="3902" spans="1:3" x14ac:dyDescent="0.3">
      <c r="A3902" s="1" t="s">
        <v>512</v>
      </c>
      <c r="B3902" t="s">
        <v>397</v>
      </c>
      <c r="C3902" s="1">
        <v>33.374290000000002</v>
      </c>
    </row>
    <row r="3903" spans="1:3" x14ac:dyDescent="0.3">
      <c r="A3903" s="1" t="s">
        <v>512</v>
      </c>
      <c r="B3903" t="s">
        <v>398</v>
      </c>
      <c r="C3903" s="1">
        <v>32.512897000000002</v>
      </c>
    </row>
    <row r="3904" spans="1:3" x14ac:dyDescent="0.3">
      <c r="A3904" s="1" t="s">
        <v>512</v>
      </c>
      <c r="B3904" t="s">
        <v>399</v>
      </c>
      <c r="C3904" s="1">
        <v>32.484180000000002</v>
      </c>
    </row>
    <row r="3905" spans="1:3" x14ac:dyDescent="0.3">
      <c r="A3905" s="1" t="s">
        <v>512</v>
      </c>
      <c r="B3905" t="s">
        <v>400</v>
      </c>
      <c r="C3905" s="1">
        <v>32.225760999999999</v>
      </c>
    </row>
    <row r="3906" spans="1:3" x14ac:dyDescent="0.3">
      <c r="A3906" s="1" t="s">
        <v>512</v>
      </c>
      <c r="B3906" t="s">
        <v>401</v>
      </c>
      <c r="C3906" s="1">
        <v>32.139626</v>
      </c>
    </row>
    <row r="3907" spans="1:3" x14ac:dyDescent="0.3">
      <c r="A3907" s="1" t="s">
        <v>512</v>
      </c>
      <c r="B3907" t="s">
        <v>402</v>
      </c>
      <c r="C3907" s="1">
        <v>31.507930999999999</v>
      </c>
    </row>
    <row r="3908" spans="1:3" x14ac:dyDescent="0.3">
      <c r="A3908" s="1" t="s">
        <v>512</v>
      </c>
      <c r="B3908" t="s">
        <v>403</v>
      </c>
      <c r="C3908" s="1">
        <v>31.613213999999999</v>
      </c>
    </row>
    <row r="3909" spans="1:3" x14ac:dyDescent="0.3">
      <c r="A3909" s="1" t="s">
        <v>512</v>
      </c>
      <c r="B3909" t="s">
        <v>404</v>
      </c>
      <c r="C3909" s="1">
        <v>32.235332</v>
      </c>
    </row>
    <row r="3910" spans="1:3" x14ac:dyDescent="0.3">
      <c r="A3910" s="1" t="s">
        <v>512</v>
      </c>
      <c r="B3910" t="s">
        <v>405</v>
      </c>
      <c r="C3910" s="1">
        <v>32.474609000000001</v>
      </c>
    </row>
    <row r="3911" spans="1:3" x14ac:dyDescent="0.3">
      <c r="A3911" s="1" t="s">
        <v>512</v>
      </c>
      <c r="B3911" t="s">
        <v>406</v>
      </c>
      <c r="C3911" s="1">
        <v>32.656460000000003</v>
      </c>
    </row>
    <row r="3912" spans="1:3" x14ac:dyDescent="0.3">
      <c r="A3912" s="1" t="s">
        <v>512</v>
      </c>
      <c r="B3912" t="s">
        <v>407</v>
      </c>
      <c r="C3912" s="1">
        <v>32.445900000000002</v>
      </c>
    </row>
    <row r="3913" spans="1:3" x14ac:dyDescent="0.3">
      <c r="A3913" s="1" t="s">
        <v>512</v>
      </c>
      <c r="B3913" t="s">
        <v>408</v>
      </c>
      <c r="C3913" s="1">
        <v>32.417183000000001</v>
      </c>
    </row>
    <row r="3914" spans="1:3" x14ac:dyDescent="0.3">
      <c r="A3914" s="1" t="s">
        <v>512</v>
      </c>
      <c r="B3914" t="s">
        <v>409</v>
      </c>
      <c r="C3914" s="1">
        <v>33.029732000000003</v>
      </c>
    </row>
    <row r="3915" spans="1:3" x14ac:dyDescent="0.3">
      <c r="A3915" s="1" t="s">
        <v>512</v>
      </c>
      <c r="B3915" t="s">
        <v>410</v>
      </c>
      <c r="C3915" s="1">
        <v>33.077587000000001</v>
      </c>
    </row>
    <row r="3916" spans="1:3" x14ac:dyDescent="0.3">
      <c r="A3916" s="1" t="s">
        <v>512</v>
      </c>
      <c r="B3916" t="s">
        <v>411</v>
      </c>
      <c r="C3916" s="1">
        <v>33.001018999999999</v>
      </c>
    </row>
    <row r="3917" spans="1:3" x14ac:dyDescent="0.3">
      <c r="A3917" s="1" t="s">
        <v>512</v>
      </c>
      <c r="B3917" t="s">
        <v>412</v>
      </c>
      <c r="C3917" s="1">
        <v>33.163727000000002</v>
      </c>
    </row>
    <row r="3918" spans="1:3" x14ac:dyDescent="0.3">
      <c r="A3918" s="1" t="s">
        <v>512</v>
      </c>
      <c r="B3918" t="s">
        <v>413</v>
      </c>
      <c r="C3918" s="1">
        <v>33.249865999999997</v>
      </c>
    </row>
    <row r="3919" spans="1:3" x14ac:dyDescent="0.3">
      <c r="A3919" s="1" t="s">
        <v>512</v>
      </c>
      <c r="B3919" t="s">
        <v>414</v>
      </c>
      <c r="C3919" s="1">
        <v>33.584854</v>
      </c>
    </row>
    <row r="3920" spans="1:3" x14ac:dyDescent="0.3">
      <c r="A3920" s="1" t="s">
        <v>512</v>
      </c>
      <c r="B3920" t="s">
        <v>415</v>
      </c>
      <c r="C3920" s="1">
        <v>33.623137999999997</v>
      </c>
    </row>
    <row r="3921" spans="1:3" x14ac:dyDescent="0.3">
      <c r="A3921" s="1" t="s">
        <v>512</v>
      </c>
      <c r="B3921" t="s">
        <v>416</v>
      </c>
      <c r="C3921" s="1">
        <v>33.422142000000001</v>
      </c>
    </row>
    <row r="3922" spans="1:3" x14ac:dyDescent="0.3">
      <c r="A3922" s="1" t="s">
        <v>512</v>
      </c>
      <c r="B3922" t="s">
        <v>417</v>
      </c>
      <c r="C3922" s="1">
        <v>33.470001000000003</v>
      </c>
    </row>
    <row r="3923" spans="1:3" x14ac:dyDescent="0.3">
      <c r="A3923" s="1" t="s">
        <v>512</v>
      </c>
      <c r="B3923" t="s">
        <v>418</v>
      </c>
      <c r="C3923" s="1">
        <v>33.919998</v>
      </c>
    </row>
    <row r="3924" spans="1:3" x14ac:dyDescent="0.3">
      <c r="A3924" s="1" t="s">
        <v>512</v>
      </c>
      <c r="B3924" t="s">
        <v>419</v>
      </c>
      <c r="C3924" s="1">
        <v>34.240001999999997</v>
      </c>
    </row>
    <row r="3925" spans="1:3" x14ac:dyDescent="0.3">
      <c r="A3925" s="1" t="s">
        <v>512</v>
      </c>
      <c r="B3925" t="s">
        <v>420</v>
      </c>
      <c r="C3925" s="1">
        <v>34.049999</v>
      </c>
    </row>
    <row r="3926" spans="1:3" x14ac:dyDescent="0.3">
      <c r="A3926" s="1" t="s">
        <v>512</v>
      </c>
      <c r="B3926" t="s">
        <v>421</v>
      </c>
      <c r="C3926" s="1">
        <v>34.169998</v>
      </c>
    </row>
    <row r="3927" spans="1:3" x14ac:dyDescent="0.3">
      <c r="A3927" s="1" t="s">
        <v>512</v>
      </c>
      <c r="B3927" t="s">
        <v>422</v>
      </c>
      <c r="C3927" s="1">
        <v>34.459999000000003</v>
      </c>
    </row>
    <row r="3928" spans="1:3" x14ac:dyDescent="0.3">
      <c r="A3928" s="1" t="s">
        <v>512</v>
      </c>
      <c r="B3928" t="s">
        <v>423</v>
      </c>
      <c r="C3928" s="1">
        <v>34.520000000000003</v>
      </c>
    </row>
    <row r="3929" spans="1:3" x14ac:dyDescent="0.3">
      <c r="A3929" s="1" t="s">
        <v>512</v>
      </c>
      <c r="B3929" t="s">
        <v>424</v>
      </c>
      <c r="C3929" s="1">
        <v>34.659999999999997</v>
      </c>
    </row>
    <row r="3930" spans="1:3" x14ac:dyDescent="0.3">
      <c r="A3930" s="1" t="s">
        <v>512</v>
      </c>
      <c r="B3930" t="s">
        <v>425</v>
      </c>
      <c r="C3930" s="1">
        <v>34.810001</v>
      </c>
    </row>
    <row r="3931" spans="1:3" x14ac:dyDescent="0.3">
      <c r="A3931" s="1" t="s">
        <v>512</v>
      </c>
      <c r="B3931" t="s">
        <v>426</v>
      </c>
      <c r="C3931" s="1">
        <v>35.189999</v>
      </c>
    </row>
    <row r="3932" spans="1:3" x14ac:dyDescent="0.3">
      <c r="A3932" s="1" t="s">
        <v>512</v>
      </c>
      <c r="B3932" t="s">
        <v>427</v>
      </c>
      <c r="C3932" s="1">
        <v>34.869999</v>
      </c>
    </row>
    <row r="3933" spans="1:3" x14ac:dyDescent="0.3">
      <c r="A3933" s="1" t="s">
        <v>512</v>
      </c>
      <c r="B3933" t="s">
        <v>428</v>
      </c>
      <c r="C3933" s="1">
        <v>34.900002000000001</v>
      </c>
    </row>
    <row r="3934" spans="1:3" x14ac:dyDescent="0.3">
      <c r="A3934" s="1" t="s">
        <v>512</v>
      </c>
      <c r="B3934" t="s">
        <v>429</v>
      </c>
      <c r="C3934" s="1">
        <v>35.029998999999997</v>
      </c>
    </row>
    <row r="3935" spans="1:3" x14ac:dyDescent="0.3">
      <c r="A3935" s="1" t="s">
        <v>512</v>
      </c>
      <c r="B3935" t="s">
        <v>430</v>
      </c>
      <c r="C3935" s="1">
        <v>35.110000999999997</v>
      </c>
    </row>
    <row r="3936" spans="1:3" x14ac:dyDescent="0.3">
      <c r="A3936" s="1" t="s">
        <v>512</v>
      </c>
      <c r="B3936" t="s">
        <v>431</v>
      </c>
      <c r="C3936" s="1">
        <v>35.340000000000003</v>
      </c>
    </row>
    <row r="3937" spans="1:3" x14ac:dyDescent="0.3">
      <c r="A3937" s="1" t="s">
        <v>512</v>
      </c>
      <c r="B3937" t="s">
        <v>432</v>
      </c>
      <c r="C3937" s="1">
        <v>35.790000999999997</v>
      </c>
    </row>
    <row r="3938" spans="1:3" x14ac:dyDescent="0.3">
      <c r="A3938" s="1" t="s">
        <v>512</v>
      </c>
      <c r="B3938" t="s">
        <v>433</v>
      </c>
      <c r="C3938" s="1">
        <v>35.849997999999999</v>
      </c>
    </row>
    <row r="3939" spans="1:3" x14ac:dyDescent="0.3">
      <c r="A3939" s="1" t="s">
        <v>512</v>
      </c>
      <c r="B3939" t="s">
        <v>434</v>
      </c>
      <c r="C3939" s="1">
        <v>36.060001</v>
      </c>
    </row>
    <row r="3940" spans="1:3" x14ac:dyDescent="0.3">
      <c r="A3940" s="1" t="s">
        <v>512</v>
      </c>
      <c r="B3940" t="s">
        <v>435</v>
      </c>
      <c r="C3940" s="1">
        <v>36.419998</v>
      </c>
    </row>
    <row r="3941" spans="1:3" x14ac:dyDescent="0.3">
      <c r="A3941" s="1" t="s">
        <v>512</v>
      </c>
      <c r="B3941" t="s">
        <v>436</v>
      </c>
      <c r="C3941" s="1">
        <v>36.200001</v>
      </c>
    </row>
    <row r="3942" spans="1:3" x14ac:dyDescent="0.3">
      <c r="A3942" s="1" t="s">
        <v>512</v>
      </c>
      <c r="B3942" t="s">
        <v>437</v>
      </c>
      <c r="C3942" s="1">
        <v>36.209999000000003</v>
      </c>
    </row>
    <row r="3943" spans="1:3" x14ac:dyDescent="0.3">
      <c r="A3943" s="1" t="s">
        <v>512</v>
      </c>
      <c r="B3943" t="s">
        <v>438</v>
      </c>
      <c r="C3943" s="1">
        <v>36.130001</v>
      </c>
    </row>
    <row r="3944" spans="1:3" x14ac:dyDescent="0.3">
      <c r="A3944" s="1" t="s">
        <v>512</v>
      </c>
      <c r="B3944" t="s">
        <v>439</v>
      </c>
      <c r="C3944" s="1">
        <v>36.340000000000003</v>
      </c>
    </row>
    <row r="3945" spans="1:3" x14ac:dyDescent="0.3">
      <c r="A3945" s="1" t="s">
        <v>512</v>
      </c>
      <c r="B3945" t="s">
        <v>440</v>
      </c>
      <c r="C3945" s="1">
        <v>36.409999999999997</v>
      </c>
    </row>
    <row r="3946" spans="1:3" x14ac:dyDescent="0.3">
      <c r="A3946" s="1" t="s">
        <v>512</v>
      </c>
      <c r="B3946" t="s">
        <v>441</v>
      </c>
      <c r="C3946" s="1">
        <v>36.830002</v>
      </c>
    </row>
    <row r="3947" spans="1:3" x14ac:dyDescent="0.3">
      <c r="A3947" s="1" t="s">
        <v>512</v>
      </c>
      <c r="B3947" t="s">
        <v>442</v>
      </c>
      <c r="C3947" s="1">
        <v>36.840000000000003</v>
      </c>
    </row>
    <row r="3948" spans="1:3" x14ac:dyDescent="0.3">
      <c r="A3948" s="1" t="s">
        <v>512</v>
      </c>
      <c r="B3948" t="s">
        <v>443</v>
      </c>
      <c r="C3948" s="1">
        <v>36.009998000000003</v>
      </c>
    </row>
    <row r="3949" spans="1:3" x14ac:dyDescent="0.3">
      <c r="A3949" s="1" t="s">
        <v>512</v>
      </c>
      <c r="B3949" t="s">
        <v>444</v>
      </c>
      <c r="C3949" s="1">
        <v>36.049999</v>
      </c>
    </row>
    <row r="3950" spans="1:3" x14ac:dyDescent="0.3">
      <c r="A3950" s="1" t="s">
        <v>512</v>
      </c>
      <c r="B3950" t="s">
        <v>445</v>
      </c>
      <c r="C3950" s="1">
        <v>35.990001999999997</v>
      </c>
    </row>
    <row r="3951" spans="1:3" x14ac:dyDescent="0.3">
      <c r="A3951" s="1" t="s">
        <v>512</v>
      </c>
      <c r="B3951" t="s">
        <v>446</v>
      </c>
      <c r="C3951" s="1">
        <v>36.520000000000003</v>
      </c>
    </row>
    <row r="3952" spans="1:3" x14ac:dyDescent="0.3">
      <c r="A3952" s="1" t="s">
        <v>512</v>
      </c>
      <c r="B3952" t="s">
        <v>447</v>
      </c>
      <c r="C3952" s="1">
        <v>36.610000999999997</v>
      </c>
    </row>
    <row r="3953" spans="1:3" x14ac:dyDescent="0.3">
      <c r="A3953" s="1" t="s">
        <v>512</v>
      </c>
      <c r="B3953" t="s">
        <v>448</v>
      </c>
      <c r="C3953" s="1">
        <v>35.700001</v>
      </c>
    </row>
    <row r="3954" spans="1:3" x14ac:dyDescent="0.3">
      <c r="A3954" s="1" t="s">
        <v>512</v>
      </c>
      <c r="B3954" t="s">
        <v>449</v>
      </c>
      <c r="C3954" s="1">
        <v>35.959999000000003</v>
      </c>
    </row>
    <row r="3955" spans="1:3" x14ac:dyDescent="0.3">
      <c r="A3955" s="1" t="s">
        <v>512</v>
      </c>
      <c r="B3955" t="s">
        <v>450</v>
      </c>
      <c r="C3955" s="1">
        <v>36.639999000000003</v>
      </c>
    </row>
    <row r="3956" spans="1:3" x14ac:dyDescent="0.3">
      <c r="A3956" s="1" t="s">
        <v>512</v>
      </c>
      <c r="B3956" t="s">
        <v>451</v>
      </c>
      <c r="C3956" s="1">
        <v>36.959999000000003</v>
      </c>
    </row>
    <row r="3957" spans="1:3" x14ac:dyDescent="0.3">
      <c r="A3957" s="1" t="s">
        <v>512</v>
      </c>
      <c r="B3957" t="s">
        <v>452</v>
      </c>
      <c r="C3957" s="1">
        <v>37.029998999999997</v>
      </c>
    </row>
    <row r="3958" spans="1:3" x14ac:dyDescent="0.3">
      <c r="A3958" s="1" t="s">
        <v>512</v>
      </c>
      <c r="B3958" t="s">
        <v>453</v>
      </c>
      <c r="C3958" s="1">
        <v>36.610000999999997</v>
      </c>
    </row>
    <row r="3959" spans="1:3" x14ac:dyDescent="0.3">
      <c r="A3959" s="1" t="s">
        <v>512</v>
      </c>
      <c r="B3959" t="s">
        <v>454</v>
      </c>
      <c r="C3959" s="1">
        <v>36.729999999999997</v>
      </c>
    </row>
    <row r="3960" spans="1:3" x14ac:dyDescent="0.3">
      <c r="A3960" s="1" t="s">
        <v>512</v>
      </c>
      <c r="B3960" t="s">
        <v>455</v>
      </c>
      <c r="C3960" s="1">
        <v>36.919998</v>
      </c>
    </row>
    <row r="3961" spans="1:3" x14ac:dyDescent="0.3">
      <c r="A3961" s="1" t="s">
        <v>512</v>
      </c>
      <c r="B3961" t="s">
        <v>456</v>
      </c>
      <c r="C3961" s="1">
        <v>37.099997999999999</v>
      </c>
    </row>
    <row r="3962" spans="1:3" x14ac:dyDescent="0.3">
      <c r="A3962" s="1" t="s">
        <v>512</v>
      </c>
      <c r="B3962" t="s">
        <v>457</v>
      </c>
      <c r="C3962" s="1">
        <v>36.869999</v>
      </c>
    </row>
    <row r="3963" spans="1:3" x14ac:dyDescent="0.3">
      <c r="A3963" s="1" t="s">
        <v>512</v>
      </c>
      <c r="B3963" t="s">
        <v>458</v>
      </c>
      <c r="C3963" s="1">
        <v>36.330002</v>
      </c>
    </row>
    <row r="3964" spans="1:3" x14ac:dyDescent="0.3">
      <c r="A3964" s="1" t="s">
        <v>512</v>
      </c>
      <c r="B3964" t="s">
        <v>459</v>
      </c>
      <c r="C3964" s="1">
        <v>36.549999</v>
      </c>
    </row>
    <row r="3965" spans="1:3" x14ac:dyDescent="0.3">
      <c r="A3965" s="1" t="s">
        <v>512</v>
      </c>
      <c r="B3965" t="s">
        <v>460</v>
      </c>
      <c r="C3965" s="1">
        <v>36.229999999999997</v>
      </c>
    </row>
    <row r="3966" spans="1:3" x14ac:dyDescent="0.3">
      <c r="A3966" s="1" t="s">
        <v>512</v>
      </c>
      <c r="B3966" t="s">
        <v>461</v>
      </c>
      <c r="C3966" s="1">
        <v>35.200001</v>
      </c>
    </row>
    <row r="3967" spans="1:3" x14ac:dyDescent="0.3">
      <c r="A3967" s="1" t="s">
        <v>512</v>
      </c>
      <c r="B3967" t="s">
        <v>462</v>
      </c>
      <c r="C3967" s="1">
        <v>35.009998000000003</v>
      </c>
    </row>
    <row r="3968" spans="1:3" x14ac:dyDescent="0.3">
      <c r="A3968" s="1" t="s">
        <v>512</v>
      </c>
      <c r="B3968" t="s">
        <v>463</v>
      </c>
      <c r="C3968" s="1">
        <v>34.860000999999997</v>
      </c>
    </row>
    <row r="3969" spans="1:3" x14ac:dyDescent="0.3">
      <c r="A3969" s="1" t="s">
        <v>512</v>
      </c>
      <c r="B3969" t="s">
        <v>464</v>
      </c>
      <c r="C3969" s="1">
        <v>35.139999000000003</v>
      </c>
    </row>
    <row r="3970" spans="1:3" x14ac:dyDescent="0.3">
      <c r="A3970" s="1" t="s">
        <v>512</v>
      </c>
      <c r="B3970" t="s">
        <v>465</v>
      </c>
      <c r="C3970" s="1">
        <v>35.270000000000003</v>
      </c>
    </row>
    <row r="3971" spans="1:3" x14ac:dyDescent="0.3">
      <c r="A3971" s="1" t="s">
        <v>512</v>
      </c>
      <c r="B3971" t="s">
        <v>466</v>
      </c>
      <c r="C3971" s="1">
        <v>36.400002000000001</v>
      </c>
    </row>
    <row r="3972" spans="1:3" x14ac:dyDescent="0.3">
      <c r="A3972" s="1" t="s">
        <v>512</v>
      </c>
      <c r="B3972" t="s">
        <v>467</v>
      </c>
      <c r="C3972" s="1">
        <v>36.950001</v>
      </c>
    </row>
    <row r="3973" spans="1:3" x14ac:dyDescent="0.3">
      <c r="A3973" s="1" t="s">
        <v>512</v>
      </c>
      <c r="B3973" t="s">
        <v>468</v>
      </c>
      <c r="C3973" s="1">
        <v>37.57</v>
      </c>
    </row>
    <row r="3974" spans="1:3" x14ac:dyDescent="0.3">
      <c r="A3974" s="1" t="s">
        <v>512</v>
      </c>
      <c r="B3974" t="s">
        <v>469</v>
      </c>
      <c r="C3974" s="1">
        <v>37.919998</v>
      </c>
    </row>
    <row r="3975" spans="1:3" x14ac:dyDescent="0.3">
      <c r="A3975" s="1" t="s">
        <v>512</v>
      </c>
      <c r="B3975" t="s">
        <v>470</v>
      </c>
      <c r="C3975" s="1">
        <v>37.880001</v>
      </c>
    </row>
    <row r="3976" spans="1:3" x14ac:dyDescent="0.3">
      <c r="A3976" s="1" t="s">
        <v>512</v>
      </c>
      <c r="B3976" t="s">
        <v>471</v>
      </c>
      <c r="C3976" s="1">
        <v>37.93</v>
      </c>
    </row>
    <row r="3977" spans="1:3" x14ac:dyDescent="0.3">
      <c r="A3977" s="1" t="s">
        <v>512</v>
      </c>
      <c r="B3977" t="s">
        <v>472</v>
      </c>
      <c r="C3977" s="1">
        <v>37.889999000000003</v>
      </c>
    </row>
    <row r="3978" spans="1:3" x14ac:dyDescent="0.3">
      <c r="A3978" s="1" t="s">
        <v>512</v>
      </c>
      <c r="B3978" t="s">
        <v>473</v>
      </c>
      <c r="C3978" s="1">
        <v>37.990001999999997</v>
      </c>
    </row>
    <row r="3979" spans="1:3" x14ac:dyDescent="0.3">
      <c r="A3979" s="1" t="s">
        <v>512</v>
      </c>
      <c r="B3979" t="s">
        <v>474</v>
      </c>
      <c r="C3979" s="1">
        <v>37.759998000000003</v>
      </c>
    </row>
    <row r="3980" spans="1:3" x14ac:dyDescent="0.3">
      <c r="A3980" s="1" t="s">
        <v>512</v>
      </c>
      <c r="B3980" t="s">
        <v>475</v>
      </c>
      <c r="C3980" s="1">
        <v>37.240001999999997</v>
      </c>
    </row>
    <row r="3981" spans="1:3" x14ac:dyDescent="0.3">
      <c r="A3981" s="1" t="s">
        <v>512</v>
      </c>
      <c r="B3981" t="s">
        <v>476</v>
      </c>
      <c r="C3981" s="1">
        <v>37.110000999999997</v>
      </c>
    </row>
    <row r="3982" spans="1:3" x14ac:dyDescent="0.3">
      <c r="A3982" s="1" t="s">
        <v>512</v>
      </c>
      <c r="B3982" t="s">
        <v>477</v>
      </c>
      <c r="C3982" s="1">
        <v>37.130001</v>
      </c>
    </row>
    <row r="3983" spans="1:3" x14ac:dyDescent="0.3">
      <c r="A3983" s="1" t="s">
        <v>512</v>
      </c>
      <c r="B3983" t="s">
        <v>478</v>
      </c>
      <c r="C3983" s="1">
        <v>36.450001</v>
      </c>
    </row>
    <row r="3984" spans="1:3" x14ac:dyDescent="0.3">
      <c r="A3984" s="1" t="s">
        <v>512</v>
      </c>
      <c r="B3984" t="s">
        <v>479</v>
      </c>
      <c r="C3984" s="1">
        <v>36.630001</v>
      </c>
    </row>
    <row r="3985" spans="1:3" x14ac:dyDescent="0.3">
      <c r="A3985" s="1" t="s">
        <v>512</v>
      </c>
      <c r="B3985" t="s">
        <v>480</v>
      </c>
      <c r="C3985" s="1">
        <v>36.509998000000003</v>
      </c>
    </row>
    <row r="3986" spans="1:3" x14ac:dyDescent="0.3">
      <c r="A3986" s="1" t="s">
        <v>512</v>
      </c>
      <c r="B3986" t="s">
        <v>481</v>
      </c>
      <c r="C3986" s="1">
        <v>36.669998</v>
      </c>
    </row>
    <row r="3987" spans="1:3" x14ac:dyDescent="0.3">
      <c r="A3987" s="1" t="s">
        <v>512</v>
      </c>
      <c r="B3987" t="s">
        <v>482</v>
      </c>
      <c r="C3987" s="1">
        <v>36.25</v>
      </c>
    </row>
    <row r="3988" spans="1:3" x14ac:dyDescent="0.3">
      <c r="A3988" s="1" t="s">
        <v>512</v>
      </c>
      <c r="B3988" t="s">
        <v>483</v>
      </c>
      <c r="C3988" s="1">
        <v>36.549999</v>
      </c>
    </row>
    <row r="3989" spans="1:3" x14ac:dyDescent="0.3">
      <c r="A3989" s="1" t="s">
        <v>512</v>
      </c>
      <c r="B3989" t="s">
        <v>484</v>
      </c>
      <c r="C3989" s="1">
        <v>36.619999</v>
      </c>
    </row>
    <row r="3990" spans="1:3" x14ac:dyDescent="0.3">
      <c r="A3990" s="1" t="s">
        <v>512</v>
      </c>
      <c r="B3990" t="s">
        <v>485</v>
      </c>
      <c r="C3990" s="1">
        <v>36.82</v>
      </c>
    </row>
    <row r="3991" spans="1:3" x14ac:dyDescent="0.3">
      <c r="A3991" s="1" t="s">
        <v>512</v>
      </c>
      <c r="B3991" t="s">
        <v>486</v>
      </c>
      <c r="C3991" s="1">
        <v>37.060001</v>
      </c>
    </row>
    <row r="3992" spans="1:3" x14ac:dyDescent="0.3">
      <c r="A3992" s="1" t="s">
        <v>512</v>
      </c>
      <c r="B3992" t="s">
        <v>487</v>
      </c>
      <c r="C3992" s="1">
        <v>37.110000999999997</v>
      </c>
    </row>
    <row r="3993" spans="1:3" x14ac:dyDescent="0.3">
      <c r="A3993" s="1" t="s">
        <v>512</v>
      </c>
      <c r="B3993" t="s">
        <v>488</v>
      </c>
      <c r="C3993" s="1">
        <v>36.950001</v>
      </c>
    </row>
    <row r="3994" spans="1:3" x14ac:dyDescent="0.3">
      <c r="A3994" s="1" t="s">
        <v>512</v>
      </c>
      <c r="B3994" t="s">
        <v>489</v>
      </c>
      <c r="C3994" s="1">
        <v>37.209999000000003</v>
      </c>
    </row>
    <row r="3995" spans="1:3" x14ac:dyDescent="0.3">
      <c r="A3995" s="1" t="s">
        <v>512</v>
      </c>
      <c r="B3995" t="s">
        <v>490</v>
      </c>
      <c r="C3995" s="1">
        <v>37.299999</v>
      </c>
    </row>
    <row r="3996" spans="1:3" x14ac:dyDescent="0.3">
      <c r="A3996" s="1" t="s">
        <v>512</v>
      </c>
      <c r="B3996" t="s">
        <v>491</v>
      </c>
      <c r="C3996" s="1">
        <v>36.919998</v>
      </c>
    </row>
    <row r="3997" spans="1:3" x14ac:dyDescent="0.3">
      <c r="A3997" s="1" t="s">
        <v>512</v>
      </c>
      <c r="B3997" t="s">
        <v>492</v>
      </c>
      <c r="C3997" s="1">
        <v>36.790000999999997</v>
      </c>
    </row>
    <row r="3998" spans="1:3" x14ac:dyDescent="0.3">
      <c r="A3998" s="1" t="s">
        <v>512</v>
      </c>
      <c r="B3998" t="s">
        <v>493</v>
      </c>
      <c r="C3998" s="1">
        <v>36.529998999999997</v>
      </c>
    </row>
    <row r="3999" spans="1:3" x14ac:dyDescent="0.3">
      <c r="A3999" s="1" t="s">
        <v>512</v>
      </c>
      <c r="B3999" t="s">
        <v>494</v>
      </c>
      <c r="C3999" s="1">
        <v>36.560001</v>
      </c>
    </row>
    <row r="4000" spans="1:3" x14ac:dyDescent="0.3">
      <c r="A4000" s="1" t="s">
        <v>512</v>
      </c>
      <c r="B4000" t="s">
        <v>495</v>
      </c>
      <c r="C4000" s="1">
        <v>35.75</v>
      </c>
    </row>
    <row r="4001" spans="1:3" x14ac:dyDescent="0.3">
      <c r="A4001" s="1" t="s">
        <v>512</v>
      </c>
      <c r="B4001" t="s">
        <v>496</v>
      </c>
      <c r="C4001" s="1">
        <v>35.409999999999997</v>
      </c>
    </row>
    <row r="4002" spans="1:3" x14ac:dyDescent="0.3">
      <c r="A4002" s="1" t="s">
        <v>512</v>
      </c>
      <c r="B4002" t="s">
        <v>497</v>
      </c>
      <c r="C4002" s="1">
        <v>35.040000999999997</v>
      </c>
    </row>
    <row r="4003" spans="1:3" x14ac:dyDescent="0.3">
      <c r="A4003" s="1" t="s">
        <v>512</v>
      </c>
      <c r="B4003" t="s">
        <v>498</v>
      </c>
      <c r="C4003" s="1">
        <v>35.229999999999997</v>
      </c>
    </row>
    <row r="4004" spans="1:3" x14ac:dyDescent="0.3">
      <c r="A4004" s="1" t="s">
        <v>512</v>
      </c>
      <c r="B4004" t="s">
        <v>499</v>
      </c>
      <c r="C4004" s="1">
        <v>35.450001</v>
      </c>
    </row>
    <row r="4005" spans="1:3" x14ac:dyDescent="0.3">
      <c r="A4005" s="1" t="s">
        <v>512</v>
      </c>
      <c r="B4005" t="s">
        <v>500</v>
      </c>
      <c r="C4005" s="1">
        <v>35.439999</v>
      </c>
    </row>
    <row r="4006" spans="1:3" x14ac:dyDescent="0.3">
      <c r="A4006" s="1" t="s">
        <v>512</v>
      </c>
      <c r="B4006" t="s">
        <v>501</v>
      </c>
      <c r="C4006" s="1">
        <v>35.389999000000003</v>
      </c>
    </row>
    <row r="4007" spans="1:3" x14ac:dyDescent="0.3">
      <c r="A4007" s="1" t="s">
        <v>512</v>
      </c>
      <c r="B4007" t="s">
        <v>502</v>
      </c>
      <c r="C4007" s="1">
        <v>35.639999000000003</v>
      </c>
    </row>
    <row r="4008" spans="1:3" x14ac:dyDescent="0.3">
      <c r="A4008" s="1" t="s">
        <v>512</v>
      </c>
      <c r="B4008" t="s">
        <v>503</v>
      </c>
      <c r="C4008" s="1">
        <v>35.520000000000003</v>
      </c>
    </row>
    <row r="4009" spans="1:3" x14ac:dyDescent="0.3">
      <c r="A4009" s="1" t="s">
        <v>512</v>
      </c>
      <c r="B4009" t="s">
        <v>504</v>
      </c>
      <c r="C4009" s="1">
        <v>35.889999000000003</v>
      </c>
    </row>
    <row r="4010" spans="1:3" x14ac:dyDescent="0.3">
      <c r="A4010" s="1" t="s">
        <v>513</v>
      </c>
      <c r="B4010" t="s">
        <v>4</v>
      </c>
      <c r="C4010" s="1">
        <v>9.2555619999999994</v>
      </c>
    </row>
    <row r="4011" spans="1:3" x14ac:dyDescent="0.3">
      <c r="A4011" s="1" t="s">
        <v>513</v>
      </c>
      <c r="B4011" t="s">
        <v>5</v>
      </c>
      <c r="C4011" s="1">
        <v>8.7435130000000001</v>
      </c>
    </row>
    <row r="4012" spans="1:3" x14ac:dyDescent="0.3">
      <c r="A4012" s="1" t="s">
        <v>513</v>
      </c>
      <c r="B4012" t="s">
        <v>6</v>
      </c>
      <c r="C4012" s="1">
        <v>8.5509339999999998</v>
      </c>
    </row>
    <row r="4013" spans="1:3" x14ac:dyDescent="0.3">
      <c r="A4013" s="1" t="s">
        <v>513</v>
      </c>
      <c r="B4013" t="s">
        <v>7</v>
      </c>
      <c r="C4013" s="1">
        <v>8.4087479999999992</v>
      </c>
    </row>
    <row r="4014" spans="1:3" x14ac:dyDescent="0.3">
      <c r="A4014" s="1" t="s">
        <v>513</v>
      </c>
      <c r="B4014" t="s">
        <v>8</v>
      </c>
      <c r="C4014" s="1">
        <v>8.3853500000000007</v>
      </c>
    </row>
    <row r="4015" spans="1:3" x14ac:dyDescent="0.3">
      <c r="A4015" s="1" t="s">
        <v>513</v>
      </c>
      <c r="B4015" t="s">
        <v>9</v>
      </c>
      <c r="C4015" s="1">
        <v>8.6373239999999996</v>
      </c>
    </row>
    <row r="4016" spans="1:3" x14ac:dyDescent="0.3">
      <c r="A4016" s="1" t="s">
        <v>513</v>
      </c>
      <c r="B4016" t="s">
        <v>10</v>
      </c>
      <c r="C4016" s="1">
        <v>8.648123</v>
      </c>
    </row>
    <row r="4017" spans="1:3" x14ac:dyDescent="0.3">
      <c r="A4017" s="1" t="s">
        <v>513</v>
      </c>
      <c r="B4017" t="s">
        <v>11</v>
      </c>
      <c r="C4017" s="1">
        <v>8.5797310000000007</v>
      </c>
    </row>
    <row r="4018" spans="1:3" x14ac:dyDescent="0.3">
      <c r="A4018" s="1" t="s">
        <v>513</v>
      </c>
      <c r="B4018" t="s">
        <v>12</v>
      </c>
      <c r="C4018" s="1">
        <v>8.7453140000000005</v>
      </c>
    </row>
    <row r="4019" spans="1:3" x14ac:dyDescent="0.3">
      <c r="A4019" s="1" t="s">
        <v>513</v>
      </c>
      <c r="B4019" t="s">
        <v>13</v>
      </c>
      <c r="C4019" s="1">
        <v>8.3619529999999997</v>
      </c>
    </row>
    <row r="4020" spans="1:3" x14ac:dyDescent="0.3">
      <c r="A4020" s="1" t="s">
        <v>513</v>
      </c>
      <c r="B4020" t="s">
        <v>14</v>
      </c>
      <c r="C4020" s="1">
        <v>8.3817500000000003</v>
      </c>
    </row>
    <row r="4021" spans="1:3" x14ac:dyDescent="0.3">
      <c r="A4021" s="1" t="s">
        <v>513</v>
      </c>
      <c r="B4021" t="s">
        <v>15</v>
      </c>
      <c r="C4021" s="1">
        <v>8.6715199999999992</v>
      </c>
    </row>
    <row r="4022" spans="1:3" x14ac:dyDescent="0.3">
      <c r="A4022" s="1" t="s">
        <v>513</v>
      </c>
      <c r="B4022" t="s">
        <v>16</v>
      </c>
      <c r="C4022" s="1">
        <v>8.8731000000000009</v>
      </c>
    </row>
    <row r="4023" spans="1:3" x14ac:dyDescent="0.3">
      <c r="A4023" s="1" t="s">
        <v>513</v>
      </c>
      <c r="B4023" t="s">
        <v>17</v>
      </c>
      <c r="C4023" s="1">
        <v>8.7597120000000004</v>
      </c>
    </row>
    <row r="4024" spans="1:3" x14ac:dyDescent="0.3">
      <c r="A4024" s="1" t="s">
        <v>513</v>
      </c>
      <c r="B4024" t="s">
        <v>18</v>
      </c>
      <c r="C4024" s="1">
        <v>8.9432939999999999</v>
      </c>
    </row>
    <row r="4025" spans="1:3" x14ac:dyDescent="0.3">
      <c r="A4025" s="1" t="s">
        <v>513</v>
      </c>
      <c r="B4025" t="s">
        <v>19</v>
      </c>
      <c r="C4025" s="1">
        <v>8.988289</v>
      </c>
    </row>
    <row r="4026" spans="1:3" x14ac:dyDescent="0.3">
      <c r="A4026" s="1" t="s">
        <v>513</v>
      </c>
      <c r="B4026" t="s">
        <v>20</v>
      </c>
      <c r="C4026" s="1">
        <v>8.741714</v>
      </c>
    </row>
    <row r="4027" spans="1:3" x14ac:dyDescent="0.3">
      <c r="A4027" s="1" t="s">
        <v>513</v>
      </c>
      <c r="B4027" t="s">
        <v>21</v>
      </c>
      <c r="C4027" s="1">
        <v>8.7489139999999992</v>
      </c>
    </row>
    <row r="4028" spans="1:3" x14ac:dyDescent="0.3">
      <c r="A4028" s="1" t="s">
        <v>513</v>
      </c>
      <c r="B4028" t="s">
        <v>22</v>
      </c>
      <c r="C4028" s="1">
        <v>8.7831100000000006</v>
      </c>
    </row>
    <row r="4029" spans="1:3" x14ac:dyDescent="0.3">
      <c r="A4029" s="1" t="s">
        <v>513</v>
      </c>
      <c r="B4029" t="s">
        <v>23</v>
      </c>
      <c r="C4029" s="1">
        <v>8.7021189999999997</v>
      </c>
    </row>
    <row r="4030" spans="1:3" x14ac:dyDescent="0.3">
      <c r="A4030" s="1" t="s">
        <v>513</v>
      </c>
      <c r="B4030" t="s">
        <v>24</v>
      </c>
      <c r="C4030" s="1">
        <v>8.9666899999999998</v>
      </c>
    </row>
    <row r="4031" spans="1:3" x14ac:dyDescent="0.3">
      <c r="A4031" s="1" t="s">
        <v>513</v>
      </c>
      <c r="B4031" t="s">
        <v>25</v>
      </c>
      <c r="C4031" s="1">
        <v>9.1520720000000004</v>
      </c>
    </row>
    <row r="4032" spans="1:3" x14ac:dyDescent="0.3">
      <c r="A4032" s="1" t="s">
        <v>513</v>
      </c>
      <c r="B4032" t="s">
        <v>26</v>
      </c>
      <c r="C4032" s="1">
        <v>9.0125879999999992</v>
      </c>
    </row>
    <row r="4033" spans="1:3" x14ac:dyDescent="0.3">
      <c r="A4033" s="1" t="s">
        <v>513</v>
      </c>
      <c r="B4033" t="s">
        <v>27</v>
      </c>
      <c r="C4033" s="1">
        <v>8.9432939999999999</v>
      </c>
    </row>
    <row r="4034" spans="1:3" x14ac:dyDescent="0.3">
      <c r="A4034" s="1" t="s">
        <v>513</v>
      </c>
      <c r="B4034" t="s">
        <v>28</v>
      </c>
      <c r="C4034" s="1">
        <v>9.2420639999999992</v>
      </c>
    </row>
    <row r="4035" spans="1:3" x14ac:dyDescent="0.3">
      <c r="A4035" s="1" t="s">
        <v>513</v>
      </c>
      <c r="B4035" t="s">
        <v>29</v>
      </c>
      <c r="C4035" s="1">
        <v>9.5255340000000004</v>
      </c>
    </row>
    <row r="4036" spans="1:3" x14ac:dyDescent="0.3">
      <c r="A4036" s="1" t="s">
        <v>513</v>
      </c>
      <c r="B4036" t="s">
        <v>30</v>
      </c>
      <c r="C4036" s="1">
        <v>9.7190159999999999</v>
      </c>
    </row>
    <row r="4037" spans="1:3" x14ac:dyDescent="0.3">
      <c r="A4037" s="1" t="s">
        <v>513</v>
      </c>
      <c r="B4037" t="s">
        <v>31</v>
      </c>
      <c r="C4037" s="1">
        <v>9.8540019999999995</v>
      </c>
    </row>
    <row r="4038" spans="1:3" x14ac:dyDescent="0.3">
      <c r="A4038" s="1" t="s">
        <v>513</v>
      </c>
      <c r="B4038" t="s">
        <v>32</v>
      </c>
      <c r="C4038" s="1">
        <v>10.132973</v>
      </c>
    </row>
    <row r="4039" spans="1:3" x14ac:dyDescent="0.3">
      <c r="A4039" s="1" t="s">
        <v>513</v>
      </c>
      <c r="B4039" t="s">
        <v>33</v>
      </c>
      <c r="C4039" s="1">
        <v>10.105975000000001</v>
      </c>
    </row>
    <row r="4040" spans="1:3" x14ac:dyDescent="0.3">
      <c r="A4040" s="1" t="s">
        <v>513</v>
      </c>
      <c r="B4040" t="s">
        <v>34</v>
      </c>
      <c r="C4040" s="1">
        <v>10.218464000000001</v>
      </c>
    </row>
    <row r="4041" spans="1:3" x14ac:dyDescent="0.3">
      <c r="A4041" s="1" t="s">
        <v>513</v>
      </c>
      <c r="B4041" t="s">
        <v>35</v>
      </c>
      <c r="C4041" s="1">
        <v>10.474938999999999</v>
      </c>
    </row>
    <row r="4042" spans="1:3" x14ac:dyDescent="0.3">
      <c r="A4042" s="1" t="s">
        <v>513</v>
      </c>
      <c r="B4042" t="s">
        <v>36</v>
      </c>
      <c r="C4042" s="1">
        <v>10.46594</v>
      </c>
    </row>
    <row r="4043" spans="1:3" x14ac:dyDescent="0.3">
      <c r="A4043" s="1" t="s">
        <v>513</v>
      </c>
      <c r="B4043" t="s">
        <v>37</v>
      </c>
      <c r="C4043" s="1">
        <v>10.213965</v>
      </c>
    </row>
    <row r="4044" spans="1:3" x14ac:dyDescent="0.3">
      <c r="A4044" s="1" t="s">
        <v>513</v>
      </c>
      <c r="B4044" t="s">
        <v>38</v>
      </c>
      <c r="C4044" s="1">
        <v>10.006985999999999</v>
      </c>
    </row>
    <row r="4045" spans="1:3" x14ac:dyDescent="0.3">
      <c r="A4045" s="1" t="s">
        <v>513</v>
      </c>
      <c r="B4045" t="s">
        <v>39</v>
      </c>
      <c r="C4045" s="1">
        <v>10.033982</v>
      </c>
    </row>
    <row r="4046" spans="1:3" x14ac:dyDescent="0.3">
      <c r="A4046" s="1" t="s">
        <v>513</v>
      </c>
      <c r="B4046" t="s">
        <v>40</v>
      </c>
      <c r="C4046" s="1">
        <v>9.9124949999999998</v>
      </c>
    </row>
    <row r="4047" spans="1:3" x14ac:dyDescent="0.3">
      <c r="A4047" s="1" t="s">
        <v>513</v>
      </c>
      <c r="B4047" t="s">
        <v>41</v>
      </c>
      <c r="C4047" s="1">
        <v>9.7235150000000008</v>
      </c>
    </row>
    <row r="4048" spans="1:3" x14ac:dyDescent="0.3">
      <c r="A4048" s="1" t="s">
        <v>513</v>
      </c>
      <c r="B4048" t="s">
        <v>42</v>
      </c>
      <c r="C4048" s="1">
        <v>9.6065260000000006</v>
      </c>
    </row>
    <row r="4049" spans="1:3" x14ac:dyDescent="0.3">
      <c r="A4049" s="1" t="s">
        <v>513</v>
      </c>
      <c r="B4049" t="s">
        <v>43</v>
      </c>
      <c r="C4049" s="1">
        <v>9.6155259999999991</v>
      </c>
    </row>
    <row r="4050" spans="1:3" x14ac:dyDescent="0.3">
      <c r="A4050" s="1" t="s">
        <v>513</v>
      </c>
      <c r="B4050" t="s">
        <v>44</v>
      </c>
      <c r="C4050" s="1">
        <v>9.507536</v>
      </c>
    </row>
    <row r="4051" spans="1:3" x14ac:dyDescent="0.3">
      <c r="A4051" s="1" t="s">
        <v>513</v>
      </c>
      <c r="B4051" t="s">
        <v>45</v>
      </c>
      <c r="C4051" s="1">
        <v>9.8719999999999999</v>
      </c>
    </row>
    <row r="4052" spans="1:3" x14ac:dyDescent="0.3">
      <c r="A4052" s="1" t="s">
        <v>513</v>
      </c>
      <c r="B4052" t="s">
        <v>46</v>
      </c>
      <c r="C4052" s="1">
        <v>9.9484919999999999</v>
      </c>
    </row>
    <row r="4053" spans="1:3" x14ac:dyDescent="0.3">
      <c r="A4053" s="1" t="s">
        <v>513</v>
      </c>
      <c r="B4053" t="s">
        <v>47</v>
      </c>
      <c r="C4053" s="1">
        <v>9.9079960000000007</v>
      </c>
    </row>
    <row r="4054" spans="1:3" x14ac:dyDescent="0.3">
      <c r="A4054" s="1" t="s">
        <v>513</v>
      </c>
      <c r="B4054" t="s">
        <v>48</v>
      </c>
      <c r="C4054" s="1">
        <v>9.5435320000000008</v>
      </c>
    </row>
    <row r="4055" spans="1:3" x14ac:dyDescent="0.3">
      <c r="A4055" s="1" t="s">
        <v>513</v>
      </c>
      <c r="B4055" t="s">
        <v>49</v>
      </c>
      <c r="C4055" s="1">
        <v>9.4310430000000007</v>
      </c>
    </row>
    <row r="4056" spans="1:3" x14ac:dyDescent="0.3">
      <c r="A4056" s="1" t="s">
        <v>513</v>
      </c>
      <c r="B4056" t="s">
        <v>50</v>
      </c>
      <c r="C4056" s="1">
        <v>9.5120349999999991</v>
      </c>
    </row>
    <row r="4057" spans="1:3" x14ac:dyDescent="0.3">
      <c r="A4057" s="1" t="s">
        <v>513</v>
      </c>
      <c r="B4057" t="s">
        <v>51</v>
      </c>
      <c r="C4057" s="1">
        <v>9.7100159999999995</v>
      </c>
    </row>
    <row r="4058" spans="1:3" x14ac:dyDescent="0.3">
      <c r="A4058" s="1" t="s">
        <v>513</v>
      </c>
      <c r="B4058" t="s">
        <v>52</v>
      </c>
      <c r="C4058" s="1">
        <v>9.8180049999999994</v>
      </c>
    </row>
    <row r="4059" spans="1:3" x14ac:dyDescent="0.3">
      <c r="A4059" s="1" t="s">
        <v>513</v>
      </c>
      <c r="B4059" t="s">
        <v>53</v>
      </c>
      <c r="C4059" s="1">
        <v>9.8719999999999999</v>
      </c>
    </row>
    <row r="4060" spans="1:3" x14ac:dyDescent="0.3">
      <c r="A4060" s="1" t="s">
        <v>513</v>
      </c>
      <c r="B4060" t="s">
        <v>54</v>
      </c>
      <c r="C4060" s="1">
        <v>10.173469000000001</v>
      </c>
    </row>
    <row r="4061" spans="1:3" x14ac:dyDescent="0.3">
      <c r="A4061" s="1" t="s">
        <v>513</v>
      </c>
      <c r="B4061" t="s">
        <v>55</v>
      </c>
      <c r="C4061" s="1">
        <v>10.393946</v>
      </c>
    </row>
    <row r="4062" spans="1:3" x14ac:dyDescent="0.3">
      <c r="A4062" s="1" t="s">
        <v>513</v>
      </c>
      <c r="B4062" t="s">
        <v>56</v>
      </c>
      <c r="C4062" s="1">
        <v>10.321954</v>
      </c>
    </row>
    <row r="4063" spans="1:3" x14ac:dyDescent="0.3">
      <c r="A4063" s="1" t="s">
        <v>513</v>
      </c>
      <c r="B4063" t="s">
        <v>57</v>
      </c>
      <c r="C4063" s="1">
        <v>10.470439000000001</v>
      </c>
    </row>
    <row r="4064" spans="1:3" x14ac:dyDescent="0.3">
      <c r="A4064" s="1" t="s">
        <v>513</v>
      </c>
      <c r="B4064" t="s">
        <v>58</v>
      </c>
      <c r="C4064" s="1">
        <v>10.501935</v>
      </c>
    </row>
    <row r="4065" spans="1:3" x14ac:dyDescent="0.3">
      <c r="A4065" s="1" t="s">
        <v>513</v>
      </c>
      <c r="B4065" t="s">
        <v>59</v>
      </c>
      <c r="C4065" s="1">
        <v>10.416444</v>
      </c>
    </row>
    <row r="4066" spans="1:3" x14ac:dyDescent="0.3">
      <c r="A4066" s="1" t="s">
        <v>513</v>
      </c>
      <c r="B4066" t="s">
        <v>60</v>
      </c>
      <c r="C4066" s="1">
        <v>10.578428000000001</v>
      </c>
    </row>
    <row r="4067" spans="1:3" x14ac:dyDescent="0.3">
      <c r="A4067" s="1" t="s">
        <v>513</v>
      </c>
      <c r="B4067" t="s">
        <v>61</v>
      </c>
      <c r="C4067" s="1">
        <v>10.8439</v>
      </c>
    </row>
    <row r="4068" spans="1:3" x14ac:dyDescent="0.3">
      <c r="A4068" s="1" t="s">
        <v>513</v>
      </c>
      <c r="B4068" t="s">
        <v>62</v>
      </c>
      <c r="C4068" s="1">
        <v>10.767408</v>
      </c>
    </row>
    <row r="4069" spans="1:3" x14ac:dyDescent="0.3">
      <c r="A4069" s="1" t="s">
        <v>513</v>
      </c>
      <c r="B4069" t="s">
        <v>63</v>
      </c>
      <c r="C4069" s="1">
        <v>10.798904</v>
      </c>
    </row>
    <row r="4070" spans="1:3" x14ac:dyDescent="0.3">
      <c r="A4070" s="1" t="s">
        <v>513</v>
      </c>
      <c r="B4070" t="s">
        <v>64</v>
      </c>
      <c r="C4070" s="1">
        <v>10.897895</v>
      </c>
    </row>
    <row r="4071" spans="1:3" x14ac:dyDescent="0.3">
      <c r="A4071" s="1" t="s">
        <v>513</v>
      </c>
      <c r="B4071" t="s">
        <v>65</v>
      </c>
      <c r="C4071" s="1">
        <v>11.028382000000001</v>
      </c>
    </row>
    <row r="4072" spans="1:3" x14ac:dyDescent="0.3">
      <c r="A4072" s="1" t="s">
        <v>513</v>
      </c>
      <c r="B4072" t="s">
        <v>66</v>
      </c>
      <c r="C4072" s="1">
        <v>11.190365999999999</v>
      </c>
    </row>
    <row r="4073" spans="1:3" x14ac:dyDescent="0.3">
      <c r="A4073" s="1" t="s">
        <v>513</v>
      </c>
      <c r="B4073" t="s">
        <v>67</v>
      </c>
      <c r="C4073" s="1">
        <v>10.618924</v>
      </c>
    </row>
    <row r="4074" spans="1:3" x14ac:dyDescent="0.3">
      <c r="A4074" s="1" t="s">
        <v>513</v>
      </c>
      <c r="B4074" t="s">
        <v>68</v>
      </c>
      <c r="C4074" s="1">
        <v>10.888896000000001</v>
      </c>
    </row>
    <row r="4075" spans="1:3" x14ac:dyDescent="0.3">
      <c r="A4075" s="1" t="s">
        <v>513</v>
      </c>
      <c r="B4075" t="s">
        <v>69</v>
      </c>
      <c r="C4075" s="1">
        <v>10.46144</v>
      </c>
    </row>
    <row r="4076" spans="1:3" x14ac:dyDescent="0.3">
      <c r="A4076" s="1" t="s">
        <v>513</v>
      </c>
      <c r="B4076" t="s">
        <v>70</v>
      </c>
      <c r="C4076" s="1">
        <v>10.8484</v>
      </c>
    </row>
    <row r="4077" spans="1:3" x14ac:dyDescent="0.3">
      <c r="A4077" s="1" t="s">
        <v>513</v>
      </c>
      <c r="B4077" t="s">
        <v>71</v>
      </c>
      <c r="C4077" s="1">
        <v>11.208364</v>
      </c>
    </row>
    <row r="4078" spans="1:3" x14ac:dyDescent="0.3">
      <c r="A4078" s="1" t="s">
        <v>513</v>
      </c>
      <c r="B4078" t="s">
        <v>72</v>
      </c>
      <c r="C4078" s="1">
        <v>11.293856</v>
      </c>
    </row>
    <row r="4079" spans="1:3" x14ac:dyDescent="0.3">
      <c r="A4079" s="1" t="s">
        <v>513</v>
      </c>
      <c r="B4079" t="s">
        <v>73</v>
      </c>
      <c r="C4079" s="1">
        <v>11.073378</v>
      </c>
    </row>
    <row r="4080" spans="1:3" x14ac:dyDescent="0.3">
      <c r="A4080" s="1" t="s">
        <v>513</v>
      </c>
      <c r="B4080" t="s">
        <v>74</v>
      </c>
      <c r="C4080" s="1">
        <v>11.401845</v>
      </c>
    </row>
    <row r="4081" spans="1:3" x14ac:dyDescent="0.3">
      <c r="A4081" s="1" t="s">
        <v>513</v>
      </c>
      <c r="B4081" t="s">
        <v>75</v>
      </c>
      <c r="C4081" s="1">
        <v>11.424341</v>
      </c>
    </row>
    <row r="4082" spans="1:3" x14ac:dyDescent="0.3">
      <c r="A4082" s="1" t="s">
        <v>513</v>
      </c>
      <c r="B4082" t="s">
        <v>76</v>
      </c>
      <c r="C4082" s="1">
        <v>11.482836000000001</v>
      </c>
    </row>
    <row r="4083" spans="1:3" x14ac:dyDescent="0.3">
      <c r="A4083" s="1" t="s">
        <v>513</v>
      </c>
      <c r="B4083" t="s">
        <v>77</v>
      </c>
      <c r="C4083" s="1">
        <v>11.581825</v>
      </c>
    </row>
    <row r="4084" spans="1:3" x14ac:dyDescent="0.3">
      <c r="A4084" s="1" t="s">
        <v>513</v>
      </c>
      <c r="B4084" t="s">
        <v>78</v>
      </c>
      <c r="C4084" s="1">
        <v>11.581825</v>
      </c>
    </row>
    <row r="4085" spans="1:3" x14ac:dyDescent="0.3">
      <c r="A4085" s="1" t="s">
        <v>513</v>
      </c>
      <c r="B4085" t="s">
        <v>79</v>
      </c>
      <c r="C4085" s="1">
        <v>11.338851</v>
      </c>
    </row>
    <row r="4086" spans="1:3" x14ac:dyDescent="0.3">
      <c r="A4086" s="1" t="s">
        <v>513</v>
      </c>
      <c r="B4086" t="s">
        <v>80</v>
      </c>
      <c r="C4086" s="1">
        <v>11.527832</v>
      </c>
    </row>
    <row r="4087" spans="1:3" x14ac:dyDescent="0.3">
      <c r="A4087" s="1" t="s">
        <v>513</v>
      </c>
      <c r="B4087" t="s">
        <v>81</v>
      </c>
      <c r="C4087" s="1">
        <v>11.293856</v>
      </c>
    </row>
    <row r="4088" spans="1:3" x14ac:dyDescent="0.3">
      <c r="A4088" s="1" t="s">
        <v>513</v>
      </c>
      <c r="B4088" t="s">
        <v>82</v>
      </c>
      <c r="C4088" s="1">
        <v>11.185867</v>
      </c>
    </row>
    <row r="4089" spans="1:3" x14ac:dyDescent="0.3">
      <c r="A4089" s="1" t="s">
        <v>513</v>
      </c>
      <c r="B4089" t="s">
        <v>83</v>
      </c>
      <c r="C4089" s="1">
        <v>11.163368</v>
      </c>
    </row>
    <row r="4090" spans="1:3" x14ac:dyDescent="0.3">
      <c r="A4090" s="1" t="s">
        <v>513</v>
      </c>
      <c r="B4090" t="s">
        <v>84</v>
      </c>
      <c r="C4090" s="1">
        <v>11.014882999999999</v>
      </c>
    </row>
    <row r="4091" spans="1:3" x14ac:dyDescent="0.3">
      <c r="A4091" s="1" t="s">
        <v>513</v>
      </c>
      <c r="B4091" t="s">
        <v>85</v>
      </c>
      <c r="C4091" s="1">
        <v>10.978885999999999</v>
      </c>
    </row>
    <row r="4092" spans="1:3" x14ac:dyDescent="0.3">
      <c r="A4092" s="1" t="s">
        <v>513</v>
      </c>
      <c r="B4092" t="s">
        <v>86</v>
      </c>
      <c r="C4092" s="1">
        <v>11.068878</v>
      </c>
    </row>
    <row r="4093" spans="1:3" x14ac:dyDescent="0.3">
      <c r="A4093" s="1" t="s">
        <v>513</v>
      </c>
      <c r="B4093" t="s">
        <v>87</v>
      </c>
      <c r="C4093" s="1">
        <v>11.073378</v>
      </c>
    </row>
    <row r="4094" spans="1:3" x14ac:dyDescent="0.3">
      <c r="A4094" s="1" t="s">
        <v>513</v>
      </c>
      <c r="B4094" t="s">
        <v>88</v>
      </c>
      <c r="C4094" s="1">
        <v>11.050879999999999</v>
      </c>
    </row>
    <row r="4095" spans="1:3" x14ac:dyDescent="0.3">
      <c r="A4095" s="1" t="s">
        <v>513</v>
      </c>
      <c r="B4095" t="s">
        <v>89</v>
      </c>
      <c r="C4095" s="1">
        <v>11.068878</v>
      </c>
    </row>
    <row r="4096" spans="1:3" x14ac:dyDescent="0.3">
      <c r="A4096" s="1" t="s">
        <v>513</v>
      </c>
      <c r="B4096" t="s">
        <v>90</v>
      </c>
      <c r="C4096" s="1">
        <v>10.978885999999999</v>
      </c>
    </row>
    <row r="4097" spans="1:3" x14ac:dyDescent="0.3">
      <c r="A4097" s="1" t="s">
        <v>513</v>
      </c>
      <c r="B4097" t="s">
        <v>91</v>
      </c>
      <c r="C4097" s="1">
        <v>10.8484</v>
      </c>
    </row>
    <row r="4098" spans="1:3" x14ac:dyDescent="0.3">
      <c r="A4098" s="1" t="s">
        <v>513</v>
      </c>
      <c r="B4098" t="s">
        <v>92</v>
      </c>
      <c r="C4098" s="1">
        <v>10.717914</v>
      </c>
    </row>
    <row r="4099" spans="1:3" x14ac:dyDescent="0.3">
      <c r="A4099" s="1" t="s">
        <v>513</v>
      </c>
      <c r="B4099" t="s">
        <v>93</v>
      </c>
      <c r="C4099" s="1">
        <v>10.893395</v>
      </c>
    </row>
    <row r="4100" spans="1:3" x14ac:dyDescent="0.3">
      <c r="A4100" s="1" t="s">
        <v>513</v>
      </c>
      <c r="B4100" t="s">
        <v>94</v>
      </c>
      <c r="C4100" s="1">
        <v>10.861898</v>
      </c>
    </row>
    <row r="4101" spans="1:3" x14ac:dyDescent="0.3">
      <c r="A4101" s="1" t="s">
        <v>513</v>
      </c>
      <c r="B4101" t="s">
        <v>95</v>
      </c>
      <c r="C4101" s="1">
        <v>10.834902</v>
      </c>
    </row>
    <row r="4102" spans="1:3" x14ac:dyDescent="0.3">
      <c r="A4102" s="1" t="s">
        <v>513</v>
      </c>
      <c r="B4102" t="s">
        <v>96</v>
      </c>
      <c r="C4102" s="1">
        <v>10.789906</v>
      </c>
    </row>
    <row r="4103" spans="1:3" x14ac:dyDescent="0.3">
      <c r="A4103" s="1" t="s">
        <v>513</v>
      </c>
      <c r="B4103" t="s">
        <v>97</v>
      </c>
      <c r="C4103" s="1">
        <v>10.8484</v>
      </c>
    </row>
    <row r="4104" spans="1:3" x14ac:dyDescent="0.3">
      <c r="A4104" s="1" t="s">
        <v>513</v>
      </c>
      <c r="B4104" t="s">
        <v>98</v>
      </c>
      <c r="C4104" s="1">
        <v>10.812404000000001</v>
      </c>
    </row>
    <row r="4105" spans="1:3" x14ac:dyDescent="0.3">
      <c r="A4105" s="1" t="s">
        <v>513</v>
      </c>
      <c r="B4105" t="s">
        <v>99</v>
      </c>
      <c r="C4105" s="1">
        <v>11.055379</v>
      </c>
    </row>
    <row r="4106" spans="1:3" x14ac:dyDescent="0.3">
      <c r="A4106" s="1" t="s">
        <v>513</v>
      </c>
      <c r="B4106" t="s">
        <v>100</v>
      </c>
      <c r="C4106" s="1">
        <v>11.082376</v>
      </c>
    </row>
    <row r="4107" spans="1:3" x14ac:dyDescent="0.3">
      <c r="A4107" s="1" t="s">
        <v>513</v>
      </c>
      <c r="B4107" t="s">
        <v>101</v>
      </c>
      <c r="C4107" s="1">
        <v>11.001385000000001</v>
      </c>
    </row>
    <row r="4108" spans="1:3" x14ac:dyDescent="0.3">
      <c r="A4108" s="1" t="s">
        <v>513</v>
      </c>
      <c r="B4108" t="s">
        <v>102</v>
      </c>
      <c r="C4108" s="1">
        <v>11.158868999999999</v>
      </c>
    </row>
    <row r="4109" spans="1:3" x14ac:dyDescent="0.3">
      <c r="A4109" s="1" t="s">
        <v>513</v>
      </c>
      <c r="B4109" t="s">
        <v>103</v>
      </c>
      <c r="C4109" s="1">
        <v>11.239860999999999</v>
      </c>
    </row>
    <row r="4110" spans="1:3" x14ac:dyDescent="0.3">
      <c r="A4110" s="1" t="s">
        <v>513</v>
      </c>
      <c r="B4110" t="s">
        <v>104</v>
      </c>
      <c r="C4110" s="1">
        <v>11.419843</v>
      </c>
    </row>
    <row r="4111" spans="1:3" x14ac:dyDescent="0.3">
      <c r="A4111" s="1" t="s">
        <v>513</v>
      </c>
      <c r="B4111" t="s">
        <v>105</v>
      </c>
      <c r="C4111" s="1">
        <v>11.599824</v>
      </c>
    </row>
    <row r="4112" spans="1:3" x14ac:dyDescent="0.3">
      <c r="A4112" s="1" t="s">
        <v>513</v>
      </c>
      <c r="B4112" t="s">
        <v>106</v>
      </c>
      <c r="C4112" s="1">
        <v>11.635821</v>
      </c>
    </row>
    <row r="4113" spans="1:3" x14ac:dyDescent="0.3">
      <c r="A4113" s="1" t="s">
        <v>513</v>
      </c>
      <c r="B4113" t="s">
        <v>107</v>
      </c>
      <c r="C4113" s="1">
        <v>11.667317000000001</v>
      </c>
    </row>
    <row r="4114" spans="1:3" x14ac:dyDescent="0.3">
      <c r="A4114" s="1" t="s">
        <v>513</v>
      </c>
      <c r="B4114" t="s">
        <v>108</v>
      </c>
      <c r="C4114" s="1">
        <v>11.631320000000001</v>
      </c>
    </row>
    <row r="4115" spans="1:3" x14ac:dyDescent="0.3">
      <c r="A4115" s="1" t="s">
        <v>513</v>
      </c>
      <c r="B4115" t="s">
        <v>109</v>
      </c>
      <c r="C4115" s="1">
        <v>11.478336000000001</v>
      </c>
    </row>
    <row r="4116" spans="1:3" x14ac:dyDescent="0.3">
      <c r="A4116" s="1" t="s">
        <v>513</v>
      </c>
      <c r="B4116" t="s">
        <v>110</v>
      </c>
      <c r="C4116" s="1">
        <v>11.428842</v>
      </c>
    </row>
    <row r="4117" spans="1:3" x14ac:dyDescent="0.3">
      <c r="A4117" s="1" t="s">
        <v>513</v>
      </c>
      <c r="B4117" t="s">
        <v>111</v>
      </c>
      <c r="C4117" s="1">
        <v>11.095874999999999</v>
      </c>
    </row>
    <row r="4118" spans="1:3" x14ac:dyDescent="0.3">
      <c r="A4118" s="1" t="s">
        <v>513</v>
      </c>
      <c r="B4118" t="s">
        <v>112</v>
      </c>
      <c r="C4118" s="1">
        <v>11.059877999999999</v>
      </c>
    </row>
    <row r="4119" spans="1:3" x14ac:dyDescent="0.3">
      <c r="A4119" s="1" t="s">
        <v>513</v>
      </c>
      <c r="B4119" t="s">
        <v>113</v>
      </c>
      <c r="C4119" s="1">
        <v>11.104875</v>
      </c>
    </row>
    <row r="4120" spans="1:3" x14ac:dyDescent="0.3">
      <c r="A4120" s="1" t="s">
        <v>513</v>
      </c>
      <c r="B4120" t="s">
        <v>114</v>
      </c>
      <c r="C4120" s="1">
        <v>10.951890000000001</v>
      </c>
    </row>
    <row r="4121" spans="1:3" x14ac:dyDescent="0.3">
      <c r="A4121" s="1" t="s">
        <v>513</v>
      </c>
      <c r="B4121" t="s">
        <v>115</v>
      </c>
      <c r="C4121" s="1">
        <v>10.767408</v>
      </c>
    </row>
    <row r="4122" spans="1:3" x14ac:dyDescent="0.3">
      <c r="A4122" s="1" t="s">
        <v>513</v>
      </c>
      <c r="B4122" t="s">
        <v>116</v>
      </c>
      <c r="C4122" s="1">
        <v>10.623423000000001</v>
      </c>
    </row>
    <row r="4123" spans="1:3" x14ac:dyDescent="0.3">
      <c r="A4123" s="1" t="s">
        <v>513</v>
      </c>
      <c r="B4123" t="s">
        <v>117</v>
      </c>
      <c r="C4123" s="1">
        <v>10.740411999999999</v>
      </c>
    </row>
    <row r="4124" spans="1:3" x14ac:dyDescent="0.3">
      <c r="A4124" s="1" t="s">
        <v>513</v>
      </c>
      <c r="B4124" t="s">
        <v>118</v>
      </c>
      <c r="C4124" s="1">
        <v>10.956390000000001</v>
      </c>
    </row>
    <row r="4125" spans="1:3" x14ac:dyDescent="0.3">
      <c r="A4125" s="1" t="s">
        <v>513</v>
      </c>
      <c r="B4125" t="s">
        <v>119</v>
      </c>
      <c r="C4125" s="1">
        <v>11.127371999999999</v>
      </c>
    </row>
    <row r="4126" spans="1:3" x14ac:dyDescent="0.3">
      <c r="A4126" s="1" t="s">
        <v>513</v>
      </c>
      <c r="B4126" t="s">
        <v>120</v>
      </c>
      <c r="C4126" s="1">
        <v>10.974387</v>
      </c>
    </row>
    <row r="4127" spans="1:3" x14ac:dyDescent="0.3">
      <c r="A4127" s="1" t="s">
        <v>513</v>
      </c>
      <c r="B4127" t="s">
        <v>121</v>
      </c>
      <c r="C4127" s="1">
        <v>11.032881</v>
      </c>
    </row>
    <row r="4128" spans="1:3" x14ac:dyDescent="0.3">
      <c r="A4128" s="1" t="s">
        <v>513</v>
      </c>
      <c r="B4128" t="s">
        <v>122</v>
      </c>
      <c r="C4128" s="1">
        <v>10.672917999999999</v>
      </c>
    </row>
    <row r="4129" spans="1:3" x14ac:dyDescent="0.3">
      <c r="A4129" s="1" t="s">
        <v>513</v>
      </c>
      <c r="B4129" t="s">
        <v>123</v>
      </c>
      <c r="C4129" s="1">
        <v>10.753909999999999</v>
      </c>
    </row>
    <row r="4130" spans="1:3" x14ac:dyDescent="0.3">
      <c r="A4130" s="1" t="s">
        <v>513</v>
      </c>
      <c r="B4130" t="s">
        <v>124</v>
      </c>
      <c r="C4130" s="1">
        <v>10.245461000000001</v>
      </c>
    </row>
    <row r="4131" spans="1:3" x14ac:dyDescent="0.3">
      <c r="A4131" s="1" t="s">
        <v>513</v>
      </c>
      <c r="B4131" t="s">
        <v>125</v>
      </c>
      <c r="C4131" s="1">
        <v>10.344452</v>
      </c>
    </row>
    <row r="4132" spans="1:3" x14ac:dyDescent="0.3">
      <c r="A4132" s="1" t="s">
        <v>513</v>
      </c>
      <c r="B4132" t="s">
        <v>126</v>
      </c>
      <c r="C4132" s="1">
        <v>10.510934000000001</v>
      </c>
    </row>
    <row r="4133" spans="1:3" x14ac:dyDescent="0.3">
      <c r="A4133" s="1" t="s">
        <v>513</v>
      </c>
      <c r="B4133" t="s">
        <v>127</v>
      </c>
      <c r="C4133" s="1">
        <v>10.564928999999999</v>
      </c>
    </row>
    <row r="4134" spans="1:3" x14ac:dyDescent="0.3">
      <c r="A4134" s="1" t="s">
        <v>513</v>
      </c>
      <c r="B4134" t="s">
        <v>128</v>
      </c>
      <c r="C4134" s="1">
        <v>10.582928000000001</v>
      </c>
    </row>
    <row r="4135" spans="1:3" x14ac:dyDescent="0.3">
      <c r="A4135" s="1" t="s">
        <v>513</v>
      </c>
      <c r="B4135" t="s">
        <v>129</v>
      </c>
      <c r="C4135" s="1">
        <v>10.546931000000001</v>
      </c>
    </row>
    <row r="4136" spans="1:3" x14ac:dyDescent="0.3">
      <c r="A4136" s="1" t="s">
        <v>513</v>
      </c>
      <c r="B4136" t="s">
        <v>130</v>
      </c>
      <c r="C4136" s="1">
        <v>10.888896000000001</v>
      </c>
    </row>
    <row r="4137" spans="1:3" x14ac:dyDescent="0.3">
      <c r="A4137" s="1" t="s">
        <v>513</v>
      </c>
      <c r="B4137" t="s">
        <v>131</v>
      </c>
      <c r="C4137" s="1">
        <v>11.212863</v>
      </c>
    </row>
    <row r="4138" spans="1:3" x14ac:dyDescent="0.3">
      <c r="A4138" s="1" t="s">
        <v>513</v>
      </c>
      <c r="B4138" t="s">
        <v>132</v>
      </c>
      <c r="C4138" s="1">
        <v>11.221862</v>
      </c>
    </row>
    <row r="4139" spans="1:3" x14ac:dyDescent="0.3">
      <c r="A4139" s="1" t="s">
        <v>513</v>
      </c>
      <c r="B4139" t="s">
        <v>133</v>
      </c>
      <c r="C4139" s="1">
        <v>10.929392999999999</v>
      </c>
    </row>
    <row r="4140" spans="1:3" x14ac:dyDescent="0.3">
      <c r="A4140" s="1" t="s">
        <v>513</v>
      </c>
      <c r="B4140" t="s">
        <v>134</v>
      </c>
      <c r="C4140" s="1">
        <v>10.960889999999999</v>
      </c>
    </row>
    <row r="4141" spans="1:3" x14ac:dyDescent="0.3">
      <c r="A4141" s="1" t="s">
        <v>513</v>
      </c>
      <c r="B4141" t="s">
        <v>135</v>
      </c>
      <c r="C4141" s="1">
        <v>11.212863</v>
      </c>
    </row>
    <row r="4142" spans="1:3" x14ac:dyDescent="0.3">
      <c r="A4142" s="1" t="s">
        <v>513</v>
      </c>
      <c r="B4142" t="s">
        <v>136</v>
      </c>
      <c r="C4142" s="1">
        <v>11.221862</v>
      </c>
    </row>
    <row r="4143" spans="1:3" x14ac:dyDescent="0.3">
      <c r="A4143" s="1" t="s">
        <v>513</v>
      </c>
      <c r="B4143" t="s">
        <v>137</v>
      </c>
      <c r="C4143" s="1">
        <v>11.167868</v>
      </c>
    </row>
    <row r="4144" spans="1:3" x14ac:dyDescent="0.3">
      <c r="A4144" s="1" t="s">
        <v>513</v>
      </c>
      <c r="B4144" t="s">
        <v>138</v>
      </c>
      <c r="C4144" s="1">
        <v>11.010384</v>
      </c>
    </row>
    <row r="4145" spans="1:3" x14ac:dyDescent="0.3">
      <c r="A4145" s="1" t="s">
        <v>513</v>
      </c>
      <c r="B4145" t="s">
        <v>139</v>
      </c>
      <c r="C4145" s="1">
        <v>11.073378</v>
      </c>
    </row>
    <row r="4146" spans="1:3" x14ac:dyDescent="0.3">
      <c r="A4146" s="1" t="s">
        <v>513</v>
      </c>
      <c r="B4146" t="s">
        <v>140</v>
      </c>
      <c r="C4146" s="1">
        <v>10.668418000000001</v>
      </c>
    </row>
    <row r="4147" spans="1:3" x14ac:dyDescent="0.3">
      <c r="A4147" s="1" t="s">
        <v>513</v>
      </c>
      <c r="B4147" t="s">
        <v>141</v>
      </c>
      <c r="C4147" s="1">
        <v>10.789906</v>
      </c>
    </row>
    <row r="4148" spans="1:3" x14ac:dyDescent="0.3">
      <c r="A4148" s="1" t="s">
        <v>513</v>
      </c>
      <c r="B4148" t="s">
        <v>142</v>
      </c>
      <c r="C4148" s="1">
        <v>10.974387</v>
      </c>
    </row>
    <row r="4149" spans="1:3" x14ac:dyDescent="0.3">
      <c r="A4149" s="1" t="s">
        <v>513</v>
      </c>
      <c r="B4149" t="s">
        <v>143</v>
      </c>
      <c r="C4149" s="1">
        <v>10.879897</v>
      </c>
    </row>
    <row r="4150" spans="1:3" x14ac:dyDescent="0.3">
      <c r="A4150" s="1" t="s">
        <v>513</v>
      </c>
      <c r="B4150" t="s">
        <v>144</v>
      </c>
      <c r="C4150" s="1">
        <v>10.398447000000001</v>
      </c>
    </row>
    <row r="4151" spans="1:3" x14ac:dyDescent="0.3">
      <c r="A4151" s="1" t="s">
        <v>513</v>
      </c>
      <c r="B4151" t="s">
        <v>145</v>
      </c>
      <c r="C4151" s="1">
        <v>10.195967</v>
      </c>
    </row>
    <row r="4152" spans="1:3" x14ac:dyDescent="0.3">
      <c r="A4152" s="1" t="s">
        <v>513</v>
      </c>
      <c r="B4152" t="s">
        <v>146</v>
      </c>
      <c r="C4152" s="1">
        <v>10.366948000000001</v>
      </c>
    </row>
    <row r="4153" spans="1:3" x14ac:dyDescent="0.3">
      <c r="A4153" s="1" t="s">
        <v>513</v>
      </c>
      <c r="B4153" t="s">
        <v>147</v>
      </c>
      <c r="C4153" s="1">
        <v>9.9664909999999995</v>
      </c>
    </row>
    <row r="4154" spans="1:3" x14ac:dyDescent="0.3">
      <c r="A4154" s="1" t="s">
        <v>513</v>
      </c>
      <c r="B4154" t="s">
        <v>148</v>
      </c>
      <c r="C4154" s="1">
        <v>9.6380219999999994</v>
      </c>
    </row>
    <row r="4155" spans="1:3" x14ac:dyDescent="0.3">
      <c r="A4155" s="1" t="s">
        <v>513</v>
      </c>
      <c r="B4155" t="s">
        <v>149</v>
      </c>
      <c r="C4155" s="1">
        <v>9.6380219999999994</v>
      </c>
    </row>
    <row r="4156" spans="1:3" x14ac:dyDescent="0.3">
      <c r="A4156" s="1" t="s">
        <v>513</v>
      </c>
      <c r="B4156" t="s">
        <v>150</v>
      </c>
      <c r="C4156" s="1">
        <v>9.8000080000000001</v>
      </c>
    </row>
    <row r="4157" spans="1:3" x14ac:dyDescent="0.3">
      <c r="A4157" s="1" t="s">
        <v>513</v>
      </c>
      <c r="B4157" t="s">
        <v>151</v>
      </c>
      <c r="C4157" s="1">
        <v>9.7415120000000002</v>
      </c>
    </row>
    <row r="4158" spans="1:3" x14ac:dyDescent="0.3">
      <c r="A4158" s="1" t="s">
        <v>513</v>
      </c>
      <c r="B4158" t="s">
        <v>152</v>
      </c>
      <c r="C4158" s="1">
        <v>9.4715389999999999</v>
      </c>
    </row>
    <row r="4159" spans="1:3" x14ac:dyDescent="0.3">
      <c r="A4159" s="1" t="s">
        <v>513</v>
      </c>
      <c r="B4159" t="s">
        <v>153</v>
      </c>
      <c r="C4159" s="1">
        <v>9.2600610000000003</v>
      </c>
    </row>
    <row r="4160" spans="1:3" x14ac:dyDescent="0.3">
      <c r="A4160" s="1" t="s">
        <v>513</v>
      </c>
      <c r="B4160" t="s">
        <v>154</v>
      </c>
      <c r="C4160" s="1">
        <v>8.6589229999999997</v>
      </c>
    </row>
    <row r="4161" spans="1:3" x14ac:dyDescent="0.3">
      <c r="A4161" s="1" t="s">
        <v>513</v>
      </c>
      <c r="B4161" t="s">
        <v>155</v>
      </c>
      <c r="C4161" s="1">
        <v>8.648123</v>
      </c>
    </row>
    <row r="4162" spans="1:3" x14ac:dyDescent="0.3">
      <c r="A4162" s="1" t="s">
        <v>513</v>
      </c>
      <c r="B4162" t="s">
        <v>156</v>
      </c>
      <c r="C4162" s="1">
        <v>8.5563330000000004</v>
      </c>
    </row>
    <row r="4163" spans="1:3" x14ac:dyDescent="0.3">
      <c r="A4163" s="1" t="s">
        <v>513</v>
      </c>
      <c r="B4163" t="s">
        <v>157</v>
      </c>
      <c r="C4163" s="1">
        <v>7.69062</v>
      </c>
    </row>
    <row r="4164" spans="1:3" x14ac:dyDescent="0.3">
      <c r="A4164" s="1" t="s">
        <v>513</v>
      </c>
      <c r="B4164" t="s">
        <v>158</v>
      </c>
      <c r="C4164" s="1">
        <v>7.640225</v>
      </c>
    </row>
    <row r="4165" spans="1:3" x14ac:dyDescent="0.3">
      <c r="A4165" s="1" t="s">
        <v>513</v>
      </c>
      <c r="B4165" t="s">
        <v>159</v>
      </c>
      <c r="C4165" s="1">
        <v>7.3090590000000004</v>
      </c>
    </row>
    <row r="4166" spans="1:3" x14ac:dyDescent="0.3">
      <c r="A4166" s="1" t="s">
        <v>513</v>
      </c>
      <c r="B4166" t="s">
        <v>160</v>
      </c>
      <c r="C4166" s="1">
        <v>7.422447</v>
      </c>
    </row>
    <row r="4167" spans="1:3" x14ac:dyDescent="0.3">
      <c r="A4167" s="1" t="s">
        <v>513</v>
      </c>
      <c r="B4167" t="s">
        <v>161</v>
      </c>
      <c r="C4167" s="1">
        <v>6.7961109999999998</v>
      </c>
    </row>
    <row r="4168" spans="1:3" x14ac:dyDescent="0.3">
      <c r="A4168" s="1" t="s">
        <v>513</v>
      </c>
      <c r="B4168" t="s">
        <v>162</v>
      </c>
      <c r="C4168" s="1">
        <v>7.3054589999999999</v>
      </c>
    </row>
    <row r="4169" spans="1:3" x14ac:dyDescent="0.3">
      <c r="A4169" s="1" t="s">
        <v>513</v>
      </c>
      <c r="B4169" t="s">
        <v>163</v>
      </c>
      <c r="C4169" s="1">
        <v>7.7063110000000004</v>
      </c>
    </row>
    <row r="4170" spans="1:3" x14ac:dyDescent="0.3">
      <c r="A4170" s="1" t="s">
        <v>513</v>
      </c>
      <c r="B4170" t="s">
        <v>164</v>
      </c>
      <c r="C4170" s="1">
        <v>7.0599619999999996</v>
      </c>
    </row>
    <row r="4171" spans="1:3" x14ac:dyDescent="0.3">
      <c r="A4171" s="1" t="s">
        <v>513</v>
      </c>
      <c r="B4171" t="s">
        <v>165</v>
      </c>
      <c r="C4171" s="1">
        <v>7.9326270000000001</v>
      </c>
    </row>
    <row r="4172" spans="1:3" x14ac:dyDescent="0.3">
      <c r="A4172" s="1" t="s">
        <v>513</v>
      </c>
      <c r="B4172" t="s">
        <v>166</v>
      </c>
      <c r="C4172" s="1">
        <v>8.2164839999999995</v>
      </c>
    </row>
    <row r="4173" spans="1:3" x14ac:dyDescent="0.3">
      <c r="A4173" s="1" t="s">
        <v>513</v>
      </c>
      <c r="B4173" t="s">
        <v>167</v>
      </c>
      <c r="C4173" s="1">
        <v>8.279776</v>
      </c>
    </row>
    <row r="4174" spans="1:3" x14ac:dyDescent="0.3">
      <c r="A4174" s="1" t="s">
        <v>513</v>
      </c>
      <c r="B4174" t="s">
        <v>168</v>
      </c>
      <c r="C4174" s="1">
        <v>8.0361980000000006</v>
      </c>
    </row>
    <row r="4175" spans="1:3" x14ac:dyDescent="0.3">
      <c r="A4175" s="1" t="s">
        <v>513</v>
      </c>
      <c r="B4175" t="s">
        <v>169</v>
      </c>
      <c r="C4175" s="1">
        <v>8.4312930000000001</v>
      </c>
    </row>
    <row r="4176" spans="1:3" x14ac:dyDescent="0.3">
      <c r="A4176" s="1" t="s">
        <v>513</v>
      </c>
      <c r="B4176" t="s">
        <v>170</v>
      </c>
      <c r="C4176" s="1">
        <v>8.8666680000000007</v>
      </c>
    </row>
    <row r="4177" spans="1:3" x14ac:dyDescent="0.3">
      <c r="A4177" s="1" t="s">
        <v>513</v>
      </c>
      <c r="B4177" t="s">
        <v>171</v>
      </c>
      <c r="C4177" s="1">
        <v>8.6307600000000004</v>
      </c>
    </row>
    <row r="4178" spans="1:3" x14ac:dyDescent="0.3">
      <c r="A4178" s="1" t="s">
        <v>513</v>
      </c>
      <c r="B4178" t="s">
        <v>172</v>
      </c>
      <c r="C4178" s="1">
        <v>8.6787100000000006</v>
      </c>
    </row>
    <row r="4179" spans="1:3" x14ac:dyDescent="0.3">
      <c r="A4179" s="1" t="s">
        <v>513</v>
      </c>
      <c r="B4179" t="s">
        <v>173</v>
      </c>
      <c r="C4179" s="1">
        <v>8.8129639999999991</v>
      </c>
    </row>
    <row r="4180" spans="1:3" x14ac:dyDescent="0.3">
      <c r="A4180" s="1" t="s">
        <v>513</v>
      </c>
      <c r="B4180" t="s">
        <v>174</v>
      </c>
      <c r="C4180" s="1">
        <v>9.3576619999999995</v>
      </c>
    </row>
    <row r="4181" spans="1:3" x14ac:dyDescent="0.3">
      <c r="A4181" s="1" t="s">
        <v>513</v>
      </c>
      <c r="B4181" t="s">
        <v>175</v>
      </c>
      <c r="C4181" s="1">
        <v>9.9301689999999994</v>
      </c>
    </row>
    <row r="4182" spans="1:3" x14ac:dyDescent="0.3">
      <c r="A4182" s="1" t="s">
        <v>513</v>
      </c>
      <c r="B4182" t="s">
        <v>176</v>
      </c>
      <c r="C4182" s="1">
        <v>9.8055029999999999</v>
      </c>
    </row>
    <row r="4183" spans="1:3" x14ac:dyDescent="0.3">
      <c r="A4183" s="1" t="s">
        <v>513</v>
      </c>
      <c r="B4183" t="s">
        <v>177</v>
      </c>
      <c r="C4183" s="1">
        <v>9.8246819999999992</v>
      </c>
    </row>
    <row r="4184" spans="1:3" x14ac:dyDescent="0.3">
      <c r="A4184" s="1" t="s">
        <v>513</v>
      </c>
      <c r="B4184" t="s">
        <v>178</v>
      </c>
      <c r="C4184" s="1">
        <v>9.8678360000000005</v>
      </c>
    </row>
    <row r="4185" spans="1:3" x14ac:dyDescent="0.3">
      <c r="A4185" s="1" t="s">
        <v>513</v>
      </c>
      <c r="B4185" t="s">
        <v>179</v>
      </c>
      <c r="C4185" s="1">
        <v>9.4938350000000007</v>
      </c>
    </row>
    <row r="4186" spans="1:3" x14ac:dyDescent="0.3">
      <c r="A4186" s="1" t="s">
        <v>513</v>
      </c>
      <c r="B4186" t="s">
        <v>180</v>
      </c>
      <c r="C4186" s="1">
        <v>9.3499909999999993</v>
      </c>
    </row>
    <row r="4187" spans="1:3" x14ac:dyDescent="0.3">
      <c r="A4187" s="1" t="s">
        <v>513</v>
      </c>
      <c r="B4187" t="s">
        <v>181</v>
      </c>
      <c r="C4187" s="1">
        <v>9.7048109999999994</v>
      </c>
    </row>
    <row r="4188" spans="1:3" x14ac:dyDescent="0.3">
      <c r="A4188" s="1" t="s">
        <v>513</v>
      </c>
      <c r="B4188" t="s">
        <v>182</v>
      </c>
      <c r="C4188" s="1">
        <v>9.7239900000000006</v>
      </c>
    </row>
    <row r="4189" spans="1:3" x14ac:dyDescent="0.3">
      <c r="A4189" s="1" t="s">
        <v>513</v>
      </c>
      <c r="B4189" t="s">
        <v>183</v>
      </c>
      <c r="C4189" s="1">
        <v>9.6424769999999995</v>
      </c>
    </row>
    <row r="4190" spans="1:3" x14ac:dyDescent="0.3">
      <c r="A4190" s="1" t="s">
        <v>513</v>
      </c>
      <c r="B4190" t="s">
        <v>184</v>
      </c>
      <c r="C4190" s="1">
        <v>9.8246819999999992</v>
      </c>
    </row>
    <row r="4191" spans="1:3" x14ac:dyDescent="0.3">
      <c r="A4191" s="1" t="s">
        <v>513</v>
      </c>
      <c r="B4191" t="s">
        <v>185</v>
      </c>
      <c r="C4191" s="1">
        <v>9.9685299999999994</v>
      </c>
    </row>
    <row r="4192" spans="1:3" x14ac:dyDescent="0.3">
      <c r="A4192" s="1" t="s">
        <v>513</v>
      </c>
      <c r="B4192" t="s">
        <v>186</v>
      </c>
      <c r="C4192" s="1">
        <v>9.7815279999999998</v>
      </c>
    </row>
    <row r="4193" spans="1:3" x14ac:dyDescent="0.3">
      <c r="A4193" s="1" t="s">
        <v>513</v>
      </c>
      <c r="B4193" t="s">
        <v>187</v>
      </c>
      <c r="C4193" s="1">
        <v>10.002093</v>
      </c>
    </row>
    <row r="4194" spans="1:3" x14ac:dyDescent="0.3">
      <c r="A4194" s="1" t="s">
        <v>513</v>
      </c>
      <c r="B4194" t="s">
        <v>188</v>
      </c>
      <c r="C4194" s="1">
        <v>10.261016</v>
      </c>
    </row>
    <row r="4195" spans="1:3" x14ac:dyDescent="0.3">
      <c r="A4195" s="1" t="s">
        <v>513</v>
      </c>
      <c r="B4195" t="s">
        <v>189</v>
      </c>
      <c r="C4195" s="1">
        <v>10.539116999999999</v>
      </c>
    </row>
    <row r="4196" spans="1:3" x14ac:dyDescent="0.3">
      <c r="A4196" s="1" t="s">
        <v>513</v>
      </c>
      <c r="B4196" t="s">
        <v>190</v>
      </c>
      <c r="C4196" s="1">
        <v>10.356914</v>
      </c>
    </row>
    <row r="4197" spans="1:3" x14ac:dyDescent="0.3">
      <c r="A4197" s="1" t="s">
        <v>513</v>
      </c>
      <c r="B4197" t="s">
        <v>191</v>
      </c>
      <c r="C4197" s="1">
        <v>9.8198869999999996</v>
      </c>
    </row>
    <row r="4198" spans="1:3" x14ac:dyDescent="0.3">
      <c r="A4198" s="1" t="s">
        <v>513</v>
      </c>
      <c r="B4198" t="s">
        <v>192</v>
      </c>
      <c r="C4198" s="1">
        <v>9.8582470000000004</v>
      </c>
    </row>
    <row r="4199" spans="1:3" x14ac:dyDescent="0.3">
      <c r="A4199" s="1" t="s">
        <v>513</v>
      </c>
      <c r="B4199" t="s">
        <v>193</v>
      </c>
      <c r="C4199" s="1">
        <v>9.8678360000000005</v>
      </c>
    </row>
    <row r="4200" spans="1:3" x14ac:dyDescent="0.3">
      <c r="A4200" s="1" t="s">
        <v>513</v>
      </c>
      <c r="B4200" t="s">
        <v>194</v>
      </c>
      <c r="C4200" s="1">
        <v>9.9781180000000003</v>
      </c>
    </row>
    <row r="4201" spans="1:3" x14ac:dyDescent="0.3">
      <c r="A4201" s="1" t="s">
        <v>513</v>
      </c>
      <c r="B4201" t="s">
        <v>195</v>
      </c>
      <c r="C4201" s="1">
        <v>10.203478</v>
      </c>
    </row>
    <row r="4202" spans="1:3" x14ac:dyDescent="0.3">
      <c r="A4202" s="1" t="s">
        <v>513</v>
      </c>
      <c r="B4202" t="s">
        <v>196</v>
      </c>
      <c r="C4202" s="1">
        <v>9.9733230000000006</v>
      </c>
    </row>
    <row r="4203" spans="1:3" x14ac:dyDescent="0.3">
      <c r="A4203" s="1" t="s">
        <v>513</v>
      </c>
      <c r="B4203" t="s">
        <v>197</v>
      </c>
      <c r="C4203" s="1">
        <v>10.002093</v>
      </c>
    </row>
    <row r="4204" spans="1:3" x14ac:dyDescent="0.3">
      <c r="A4204" s="1" t="s">
        <v>513</v>
      </c>
      <c r="B4204" t="s">
        <v>198</v>
      </c>
      <c r="C4204" s="1">
        <v>9.767144</v>
      </c>
    </row>
    <row r="4205" spans="1:3" x14ac:dyDescent="0.3">
      <c r="A4205" s="1" t="s">
        <v>513</v>
      </c>
      <c r="B4205" t="s">
        <v>199</v>
      </c>
      <c r="C4205" s="1">
        <v>9.4267090000000007</v>
      </c>
    </row>
    <row r="4206" spans="1:3" x14ac:dyDescent="0.3">
      <c r="A4206" s="1" t="s">
        <v>513</v>
      </c>
      <c r="B4206" t="s">
        <v>200</v>
      </c>
      <c r="C4206" s="1">
        <v>9.4228729999999992</v>
      </c>
    </row>
    <row r="4207" spans="1:3" x14ac:dyDescent="0.3">
      <c r="A4207" s="1" t="s">
        <v>513</v>
      </c>
      <c r="B4207" t="s">
        <v>201</v>
      </c>
      <c r="C4207" s="1">
        <v>10.088400999999999</v>
      </c>
    </row>
    <row r="4208" spans="1:3" x14ac:dyDescent="0.3">
      <c r="A4208" s="1" t="s">
        <v>513</v>
      </c>
      <c r="B4208" t="s">
        <v>202</v>
      </c>
      <c r="C4208" s="1">
        <v>10.174706</v>
      </c>
    </row>
    <row r="4209" spans="1:3" x14ac:dyDescent="0.3">
      <c r="A4209" s="1" t="s">
        <v>513</v>
      </c>
      <c r="B4209" t="s">
        <v>203</v>
      </c>
      <c r="C4209" s="1">
        <v>10.433630000000001</v>
      </c>
    </row>
    <row r="4210" spans="1:3" x14ac:dyDescent="0.3">
      <c r="A4210" s="1" t="s">
        <v>513</v>
      </c>
      <c r="B4210" t="s">
        <v>204</v>
      </c>
      <c r="C4210" s="1">
        <v>10.174706</v>
      </c>
    </row>
    <row r="4211" spans="1:3" x14ac:dyDescent="0.3">
      <c r="A4211" s="1" t="s">
        <v>513</v>
      </c>
      <c r="B4211" t="s">
        <v>205</v>
      </c>
      <c r="C4211" s="1">
        <v>10.217862</v>
      </c>
    </row>
    <row r="4212" spans="1:3" x14ac:dyDescent="0.3">
      <c r="A4212" s="1" t="s">
        <v>513</v>
      </c>
      <c r="B4212" t="s">
        <v>206</v>
      </c>
      <c r="C4212" s="1">
        <v>10.452809</v>
      </c>
    </row>
    <row r="4213" spans="1:3" x14ac:dyDescent="0.3">
      <c r="A4213" s="1" t="s">
        <v>513</v>
      </c>
      <c r="B4213" t="s">
        <v>207</v>
      </c>
      <c r="C4213" s="1">
        <v>10.495964000000001</v>
      </c>
    </row>
    <row r="4214" spans="1:3" x14ac:dyDescent="0.3">
      <c r="A4214" s="1" t="s">
        <v>513</v>
      </c>
      <c r="B4214" t="s">
        <v>208</v>
      </c>
      <c r="C4214" s="1">
        <v>10.476785</v>
      </c>
    </row>
    <row r="4215" spans="1:3" x14ac:dyDescent="0.3">
      <c r="A4215" s="1" t="s">
        <v>513</v>
      </c>
      <c r="B4215" t="s">
        <v>209</v>
      </c>
      <c r="C4215" s="1">
        <v>10.572680999999999</v>
      </c>
    </row>
    <row r="4216" spans="1:3" x14ac:dyDescent="0.3">
      <c r="A4216" s="1" t="s">
        <v>513</v>
      </c>
      <c r="B4216" t="s">
        <v>210</v>
      </c>
      <c r="C4216" s="1">
        <v>10.678169</v>
      </c>
    </row>
    <row r="4217" spans="1:3" x14ac:dyDescent="0.3">
      <c r="A4217" s="1" t="s">
        <v>513</v>
      </c>
      <c r="B4217" t="s">
        <v>211</v>
      </c>
      <c r="C4217" s="1">
        <v>10.754887</v>
      </c>
    </row>
    <row r="4218" spans="1:3" x14ac:dyDescent="0.3">
      <c r="A4218" s="1" t="s">
        <v>513</v>
      </c>
      <c r="B4218" t="s">
        <v>212</v>
      </c>
      <c r="C4218" s="1">
        <v>10.975451</v>
      </c>
    </row>
    <row r="4219" spans="1:3" x14ac:dyDescent="0.3">
      <c r="A4219" s="1" t="s">
        <v>513</v>
      </c>
      <c r="B4219" t="s">
        <v>213</v>
      </c>
      <c r="C4219" s="1">
        <v>10.932295999999999</v>
      </c>
    </row>
    <row r="4220" spans="1:3" x14ac:dyDescent="0.3">
      <c r="A4220" s="1" t="s">
        <v>513</v>
      </c>
      <c r="B4220" t="s">
        <v>214</v>
      </c>
      <c r="C4220" s="1">
        <v>11.223825</v>
      </c>
    </row>
    <row r="4221" spans="1:3" x14ac:dyDescent="0.3">
      <c r="A4221" s="1" t="s">
        <v>513</v>
      </c>
      <c r="B4221" t="s">
        <v>215</v>
      </c>
      <c r="C4221" s="1">
        <v>10.859413999999999</v>
      </c>
    </row>
    <row r="4222" spans="1:3" x14ac:dyDescent="0.3">
      <c r="A4222" s="1" t="s">
        <v>513</v>
      </c>
      <c r="B4222" t="s">
        <v>216</v>
      </c>
      <c r="C4222" s="1">
        <v>10.815685</v>
      </c>
    </row>
    <row r="4223" spans="1:3" x14ac:dyDescent="0.3">
      <c r="A4223" s="1" t="s">
        <v>513</v>
      </c>
      <c r="B4223" t="s">
        <v>217</v>
      </c>
      <c r="C4223" s="1">
        <v>10.645626999999999</v>
      </c>
    </row>
    <row r="4224" spans="1:3" x14ac:dyDescent="0.3">
      <c r="A4224" s="1" t="s">
        <v>513</v>
      </c>
      <c r="B4224" t="s">
        <v>218</v>
      </c>
      <c r="C4224" s="1">
        <v>10.184041000000001</v>
      </c>
    </row>
    <row r="4225" spans="1:3" x14ac:dyDescent="0.3">
      <c r="A4225" s="1" t="s">
        <v>513</v>
      </c>
      <c r="B4225" t="s">
        <v>219</v>
      </c>
      <c r="C4225" s="1">
        <v>10.300653000000001</v>
      </c>
    </row>
    <row r="4226" spans="1:3" x14ac:dyDescent="0.3">
      <c r="A4226" s="1" t="s">
        <v>513</v>
      </c>
      <c r="B4226" t="s">
        <v>220</v>
      </c>
      <c r="C4226" s="1">
        <v>10.295794000000001</v>
      </c>
    </row>
    <row r="4227" spans="1:3" x14ac:dyDescent="0.3">
      <c r="A4227" s="1" t="s">
        <v>513</v>
      </c>
      <c r="B4227" t="s">
        <v>221</v>
      </c>
      <c r="C4227" s="1">
        <v>10.703932999999999</v>
      </c>
    </row>
    <row r="4228" spans="1:3" x14ac:dyDescent="0.3">
      <c r="A4228" s="1" t="s">
        <v>513</v>
      </c>
      <c r="B4228" t="s">
        <v>222</v>
      </c>
      <c r="C4228" s="1">
        <v>10.951733000000001</v>
      </c>
    </row>
    <row r="4229" spans="1:3" x14ac:dyDescent="0.3">
      <c r="A4229" s="1" t="s">
        <v>513</v>
      </c>
      <c r="B4229" t="s">
        <v>223</v>
      </c>
      <c r="C4229" s="1">
        <v>10.87885</v>
      </c>
    </row>
    <row r="4230" spans="1:3" x14ac:dyDescent="0.3">
      <c r="A4230" s="1" t="s">
        <v>513</v>
      </c>
      <c r="B4230" t="s">
        <v>224</v>
      </c>
      <c r="C4230" s="1">
        <v>10.825403</v>
      </c>
    </row>
    <row r="4231" spans="1:3" x14ac:dyDescent="0.3">
      <c r="A4231" s="1" t="s">
        <v>513</v>
      </c>
      <c r="B4231" t="s">
        <v>225</v>
      </c>
      <c r="C4231" s="1">
        <v>10.873991</v>
      </c>
    </row>
    <row r="4232" spans="1:3" x14ac:dyDescent="0.3">
      <c r="A4232" s="1" t="s">
        <v>513</v>
      </c>
      <c r="B4232" t="s">
        <v>226</v>
      </c>
      <c r="C4232" s="1">
        <v>10.689356999999999</v>
      </c>
    </row>
    <row r="4233" spans="1:3" x14ac:dyDescent="0.3">
      <c r="A4233" s="1" t="s">
        <v>513</v>
      </c>
      <c r="B4233" t="s">
        <v>227</v>
      </c>
      <c r="C4233" s="1">
        <v>10.426982000000001</v>
      </c>
    </row>
    <row r="4234" spans="1:3" x14ac:dyDescent="0.3">
      <c r="A4234" s="1" t="s">
        <v>513</v>
      </c>
      <c r="B4234" t="s">
        <v>228</v>
      </c>
      <c r="C4234" s="1">
        <v>10.344382</v>
      </c>
    </row>
    <row r="4235" spans="1:3" x14ac:dyDescent="0.3">
      <c r="A4235" s="1" t="s">
        <v>513</v>
      </c>
      <c r="B4235" t="s">
        <v>229</v>
      </c>
      <c r="C4235" s="1">
        <v>10.324947</v>
      </c>
    </row>
    <row r="4236" spans="1:3" x14ac:dyDescent="0.3">
      <c r="A4236" s="1" t="s">
        <v>513</v>
      </c>
      <c r="B4236" t="s">
        <v>230</v>
      </c>
      <c r="C4236" s="1">
        <v>10.329806</v>
      </c>
    </row>
    <row r="4237" spans="1:3" x14ac:dyDescent="0.3">
      <c r="A4237" s="1" t="s">
        <v>513</v>
      </c>
      <c r="B4237" t="s">
        <v>231</v>
      </c>
      <c r="C4237" s="1">
        <v>10.358957999999999</v>
      </c>
    </row>
    <row r="4238" spans="1:3" x14ac:dyDescent="0.3">
      <c r="A4238" s="1" t="s">
        <v>513</v>
      </c>
      <c r="B4238" t="s">
        <v>232</v>
      </c>
      <c r="C4238" s="1">
        <v>10.417263999999999</v>
      </c>
    </row>
    <row r="4239" spans="1:3" x14ac:dyDescent="0.3">
      <c r="A4239" s="1" t="s">
        <v>513</v>
      </c>
      <c r="B4239" t="s">
        <v>233</v>
      </c>
      <c r="C4239" s="1">
        <v>10.407546</v>
      </c>
    </row>
    <row r="4240" spans="1:3" x14ac:dyDescent="0.3">
      <c r="A4240" s="1" t="s">
        <v>513</v>
      </c>
      <c r="B4240" t="s">
        <v>234</v>
      </c>
      <c r="C4240" s="1">
        <v>10.582464</v>
      </c>
    </row>
    <row r="4241" spans="1:3" x14ac:dyDescent="0.3">
      <c r="A4241" s="1" t="s">
        <v>513</v>
      </c>
      <c r="B4241" t="s">
        <v>235</v>
      </c>
      <c r="C4241" s="1">
        <v>10.504723</v>
      </c>
    </row>
    <row r="4242" spans="1:3" x14ac:dyDescent="0.3">
      <c r="A4242" s="1" t="s">
        <v>513</v>
      </c>
      <c r="B4242" t="s">
        <v>236</v>
      </c>
      <c r="C4242" s="1">
        <v>10.436699000000001</v>
      </c>
    </row>
    <row r="4243" spans="1:3" x14ac:dyDescent="0.3">
      <c r="A4243" s="1" t="s">
        <v>513</v>
      </c>
      <c r="B4243" t="s">
        <v>237</v>
      </c>
      <c r="C4243" s="1">
        <v>10.218054</v>
      </c>
    </row>
    <row r="4244" spans="1:3" x14ac:dyDescent="0.3">
      <c r="A4244" s="1" t="s">
        <v>513</v>
      </c>
      <c r="B4244" t="s">
        <v>238</v>
      </c>
      <c r="C4244" s="1">
        <v>10.271501000000001</v>
      </c>
    </row>
    <row r="4245" spans="1:3" x14ac:dyDescent="0.3">
      <c r="A4245" s="1" t="s">
        <v>513</v>
      </c>
      <c r="B4245" t="s">
        <v>239</v>
      </c>
      <c r="C4245" s="1">
        <v>10.368676000000001</v>
      </c>
    </row>
    <row r="4246" spans="1:3" x14ac:dyDescent="0.3">
      <c r="A4246" s="1" t="s">
        <v>513</v>
      </c>
      <c r="B4246" t="s">
        <v>240</v>
      </c>
      <c r="C4246" s="1">
        <v>10.392969000000001</v>
      </c>
    </row>
    <row r="4247" spans="1:3" x14ac:dyDescent="0.3">
      <c r="A4247" s="1" t="s">
        <v>513</v>
      </c>
      <c r="B4247" t="s">
        <v>241</v>
      </c>
      <c r="C4247" s="1">
        <v>10.441558000000001</v>
      </c>
    </row>
    <row r="4248" spans="1:3" x14ac:dyDescent="0.3">
      <c r="A4248" s="1" t="s">
        <v>513</v>
      </c>
      <c r="B4248" t="s">
        <v>242</v>
      </c>
      <c r="C4248" s="1">
        <v>10.446417</v>
      </c>
    </row>
    <row r="4249" spans="1:3" x14ac:dyDescent="0.3">
      <c r="A4249" s="1" t="s">
        <v>513</v>
      </c>
      <c r="B4249" t="s">
        <v>243</v>
      </c>
      <c r="C4249" s="1">
        <v>10.640769000000001</v>
      </c>
    </row>
    <row r="4250" spans="1:3" x14ac:dyDescent="0.3">
      <c r="A4250" s="1" t="s">
        <v>513</v>
      </c>
      <c r="B4250" t="s">
        <v>244</v>
      </c>
      <c r="C4250" s="1">
        <v>10.621333999999999</v>
      </c>
    </row>
    <row r="4251" spans="1:3" x14ac:dyDescent="0.3">
      <c r="A4251" s="1" t="s">
        <v>513</v>
      </c>
      <c r="B4251" t="s">
        <v>245</v>
      </c>
      <c r="C4251" s="1">
        <v>10.932297</v>
      </c>
    </row>
    <row r="4252" spans="1:3" x14ac:dyDescent="0.3">
      <c r="A4252" s="1" t="s">
        <v>513</v>
      </c>
      <c r="B4252" t="s">
        <v>246</v>
      </c>
      <c r="C4252" s="1">
        <v>11.063484000000001</v>
      </c>
    </row>
    <row r="4253" spans="1:3" x14ac:dyDescent="0.3">
      <c r="A4253" s="1" t="s">
        <v>513</v>
      </c>
      <c r="B4253" t="s">
        <v>247</v>
      </c>
      <c r="C4253" s="1">
        <v>11.010037000000001</v>
      </c>
    </row>
    <row r="4254" spans="1:3" x14ac:dyDescent="0.3">
      <c r="A4254" s="1" t="s">
        <v>513</v>
      </c>
      <c r="B4254" t="s">
        <v>248</v>
      </c>
      <c r="C4254" s="1">
        <v>10.869133</v>
      </c>
    </row>
    <row r="4255" spans="1:3" x14ac:dyDescent="0.3">
      <c r="A4255" s="1" t="s">
        <v>513</v>
      </c>
      <c r="B4255" t="s">
        <v>249</v>
      </c>
      <c r="C4255" s="1">
        <v>10.95659</v>
      </c>
    </row>
    <row r="4256" spans="1:3" x14ac:dyDescent="0.3">
      <c r="A4256" s="1" t="s">
        <v>513</v>
      </c>
      <c r="B4256" t="s">
        <v>250</v>
      </c>
      <c r="C4256" s="1">
        <v>10.869133</v>
      </c>
    </row>
    <row r="4257" spans="1:3" x14ac:dyDescent="0.3">
      <c r="A4257" s="1" t="s">
        <v>513</v>
      </c>
      <c r="B4257" t="s">
        <v>251</v>
      </c>
      <c r="C4257" s="1">
        <v>10.805968</v>
      </c>
    </row>
    <row r="4258" spans="1:3" x14ac:dyDescent="0.3">
      <c r="A4258" s="1" t="s">
        <v>513</v>
      </c>
      <c r="B4258" t="s">
        <v>252</v>
      </c>
      <c r="C4258" s="1">
        <v>10.51444</v>
      </c>
    </row>
    <row r="4259" spans="1:3" x14ac:dyDescent="0.3">
      <c r="A4259" s="1" t="s">
        <v>513</v>
      </c>
      <c r="B4259" t="s">
        <v>253</v>
      </c>
      <c r="C4259" s="1">
        <v>10.358957999999999</v>
      </c>
    </row>
    <row r="4260" spans="1:3" x14ac:dyDescent="0.3">
      <c r="A4260" s="1" t="s">
        <v>513</v>
      </c>
      <c r="B4260" t="s">
        <v>254</v>
      </c>
      <c r="C4260" s="1">
        <v>10.597039000000001</v>
      </c>
    </row>
    <row r="4261" spans="1:3" x14ac:dyDescent="0.3">
      <c r="A4261" s="1" t="s">
        <v>513</v>
      </c>
      <c r="B4261" t="s">
        <v>255</v>
      </c>
      <c r="C4261" s="1">
        <v>10.645626999999999</v>
      </c>
    </row>
    <row r="4262" spans="1:3" x14ac:dyDescent="0.3">
      <c r="A4262" s="1" t="s">
        <v>513</v>
      </c>
      <c r="B4262" t="s">
        <v>256</v>
      </c>
      <c r="C4262" s="1">
        <v>10.883708</v>
      </c>
    </row>
    <row r="4263" spans="1:3" x14ac:dyDescent="0.3">
      <c r="A4263" s="1" t="s">
        <v>513</v>
      </c>
      <c r="B4263" t="s">
        <v>257</v>
      </c>
      <c r="C4263" s="1">
        <v>10.757379999999999</v>
      </c>
    </row>
    <row r="4264" spans="1:3" x14ac:dyDescent="0.3">
      <c r="A4264" s="1" t="s">
        <v>513</v>
      </c>
      <c r="B4264" t="s">
        <v>258</v>
      </c>
      <c r="C4264" s="1">
        <v>10.810826</v>
      </c>
    </row>
    <row r="4265" spans="1:3" x14ac:dyDescent="0.3">
      <c r="A4265" s="1" t="s">
        <v>513</v>
      </c>
      <c r="B4265" t="s">
        <v>259</v>
      </c>
      <c r="C4265" s="1">
        <v>10.791391000000001</v>
      </c>
    </row>
    <row r="4266" spans="1:3" x14ac:dyDescent="0.3">
      <c r="A4266" s="1" t="s">
        <v>513</v>
      </c>
      <c r="B4266" t="s">
        <v>260</v>
      </c>
      <c r="C4266" s="1">
        <v>10.971166999999999</v>
      </c>
    </row>
    <row r="4267" spans="1:3" x14ac:dyDescent="0.3">
      <c r="A4267" s="1" t="s">
        <v>513</v>
      </c>
      <c r="B4267" t="s">
        <v>261</v>
      </c>
      <c r="C4267" s="1">
        <v>11.131508</v>
      </c>
    </row>
    <row r="4268" spans="1:3" x14ac:dyDescent="0.3">
      <c r="A4268" s="1" t="s">
        <v>513</v>
      </c>
      <c r="B4268" t="s">
        <v>262</v>
      </c>
      <c r="C4268" s="1">
        <v>11.092637</v>
      </c>
    </row>
    <row r="4269" spans="1:3" x14ac:dyDescent="0.3">
      <c r="A4269" s="1" t="s">
        <v>513</v>
      </c>
      <c r="B4269" t="s">
        <v>263</v>
      </c>
      <c r="C4269" s="1">
        <v>11.058626</v>
      </c>
    </row>
    <row r="4270" spans="1:3" x14ac:dyDescent="0.3">
      <c r="A4270" s="1" t="s">
        <v>513</v>
      </c>
      <c r="B4270" t="s">
        <v>264</v>
      </c>
      <c r="C4270" s="1">
        <v>11.350153000000001</v>
      </c>
    </row>
    <row r="4271" spans="1:3" x14ac:dyDescent="0.3">
      <c r="A4271" s="1" t="s">
        <v>513</v>
      </c>
      <c r="B4271" t="s">
        <v>265</v>
      </c>
      <c r="C4271" s="1">
        <v>11.306424</v>
      </c>
    </row>
    <row r="4272" spans="1:3" x14ac:dyDescent="0.3">
      <c r="A4272" s="1" t="s">
        <v>513</v>
      </c>
      <c r="B4272" t="s">
        <v>266</v>
      </c>
      <c r="C4272" s="1">
        <v>11.389023999999999</v>
      </c>
    </row>
    <row r="4273" spans="1:3" x14ac:dyDescent="0.3">
      <c r="A4273" s="1" t="s">
        <v>513</v>
      </c>
      <c r="B4273" t="s">
        <v>267</v>
      </c>
      <c r="C4273" s="1">
        <v>11.252977</v>
      </c>
    </row>
    <row r="4274" spans="1:3" x14ac:dyDescent="0.3">
      <c r="A4274" s="1" t="s">
        <v>513</v>
      </c>
      <c r="B4274" t="s">
        <v>268</v>
      </c>
      <c r="C4274" s="1">
        <v>11.243259</v>
      </c>
    </row>
    <row r="4275" spans="1:3" x14ac:dyDescent="0.3">
      <c r="A4275" s="1" t="s">
        <v>513</v>
      </c>
      <c r="B4275" t="s">
        <v>269</v>
      </c>
      <c r="C4275" s="1">
        <v>11.466765000000001</v>
      </c>
    </row>
    <row r="4276" spans="1:3" x14ac:dyDescent="0.3">
      <c r="A4276" s="1" t="s">
        <v>513</v>
      </c>
      <c r="B4276" t="s">
        <v>270</v>
      </c>
      <c r="C4276" s="1">
        <v>11.563941</v>
      </c>
    </row>
    <row r="4277" spans="1:3" x14ac:dyDescent="0.3">
      <c r="A4277" s="1" t="s">
        <v>513</v>
      </c>
      <c r="B4277" t="s">
        <v>271</v>
      </c>
      <c r="C4277" s="1">
        <v>11.879763000000001</v>
      </c>
    </row>
    <row r="4278" spans="1:3" x14ac:dyDescent="0.3">
      <c r="A4278" s="1" t="s">
        <v>513</v>
      </c>
      <c r="B4278" t="s">
        <v>272</v>
      </c>
      <c r="C4278" s="1">
        <v>11.80688</v>
      </c>
    </row>
    <row r="4279" spans="1:3" x14ac:dyDescent="0.3">
      <c r="A4279" s="1" t="s">
        <v>513</v>
      </c>
      <c r="B4279" t="s">
        <v>273</v>
      </c>
      <c r="C4279" s="1">
        <v>11.772868000000001</v>
      </c>
    </row>
    <row r="4280" spans="1:3" x14ac:dyDescent="0.3">
      <c r="A4280" s="1" t="s">
        <v>513</v>
      </c>
      <c r="B4280" t="s">
        <v>274</v>
      </c>
      <c r="C4280" s="1">
        <v>11.981797</v>
      </c>
    </row>
    <row r="4281" spans="1:3" x14ac:dyDescent="0.3">
      <c r="A4281" s="1" t="s">
        <v>513</v>
      </c>
      <c r="B4281" t="s">
        <v>275</v>
      </c>
      <c r="C4281" s="1">
        <v>12.059538</v>
      </c>
    </row>
    <row r="4282" spans="1:3" x14ac:dyDescent="0.3">
      <c r="A4282" s="1" t="s">
        <v>513</v>
      </c>
      <c r="B4282" t="s">
        <v>276</v>
      </c>
      <c r="C4282" s="1">
        <v>12.312196</v>
      </c>
    </row>
    <row r="4283" spans="1:3" x14ac:dyDescent="0.3">
      <c r="A4283" s="1" t="s">
        <v>513</v>
      </c>
      <c r="B4283" t="s">
        <v>277</v>
      </c>
      <c r="C4283" s="1">
        <v>12.57943</v>
      </c>
    </row>
    <row r="4284" spans="1:3" x14ac:dyDescent="0.3">
      <c r="A4284" s="1" t="s">
        <v>513</v>
      </c>
      <c r="B4284" t="s">
        <v>278</v>
      </c>
      <c r="C4284" s="1">
        <v>12.827228</v>
      </c>
    </row>
    <row r="4285" spans="1:3" x14ac:dyDescent="0.3">
      <c r="A4285" s="1" t="s">
        <v>513</v>
      </c>
      <c r="B4285" t="s">
        <v>279</v>
      </c>
      <c r="C4285" s="1">
        <v>12.885533000000001</v>
      </c>
    </row>
    <row r="4286" spans="1:3" x14ac:dyDescent="0.3">
      <c r="A4286" s="1" t="s">
        <v>513</v>
      </c>
      <c r="B4286" t="s">
        <v>280</v>
      </c>
      <c r="C4286" s="1">
        <v>12.875816</v>
      </c>
    </row>
    <row r="4287" spans="1:3" x14ac:dyDescent="0.3">
      <c r="A4287" s="1" t="s">
        <v>513</v>
      </c>
      <c r="B4287" t="s">
        <v>281</v>
      </c>
      <c r="C4287" s="1">
        <v>12.972993000000001</v>
      </c>
    </row>
    <row r="4288" spans="1:3" x14ac:dyDescent="0.3">
      <c r="A4288" s="1" t="s">
        <v>513</v>
      </c>
      <c r="B4288" t="s">
        <v>282</v>
      </c>
      <c r="C4288" s="1">
        <v>12.880675</v>
      </c>
    </row>
    <row r="4289" spans="1:3" x14ac:dyDescent="0.3">
      <c r="A4289" s="1" t="s">
        <v>513</v>
      </c>
      <c r="B4289" t="s">
        <v>283</v>
      </c>
      <c r="C4289" s="1">
        <v>12.900109</v>
      </c>
    </row>
    <row r="4290" spans="1:3" x14ac:dyDescent="0.3">
      <c r="A4290" s="1" t="s">
        <v>513</v>
      </c>
      <c r="B4290" t="s">
        <v>284</v>
      </c>
      <c r="C4290" s="1">
        <v>12.895251</v>
      </c>
    </row>
    <row r="4291" spans="1:3" x14ac:dyDescent="0.3">
      <c r="A4291" s="1" t="s">
        <v>513</v>
      </c>
      <c r="B4291" t="s">
        <v>285</v>
      </c>
      <c r="C4291" s="1">
        <v>12.934122</v>
      </c>
    </row>
    <row r="4292" spans="1:3" x14ac:dyDescent="0.3">
      <c r="A4292" s="1" t="s">
        <v>513</v>
      </c>
      <c r="B4292" t="s">
        <v>286</v>
      </c>
      <c r="C4292" s="1">
        <v>13.454014000000001</v>
      </c>
    </row>
    <row r="4293" spans="1:3" x14ac:dyDescent="0.3">
      <c r="A4293" s="1" t="s">
        <v>513</v>
      </c>
      <c r="B4293" t="s">
        <v>287</v>
      </c>
      <c r="C4293" s="1">
        <v>13.381131999999999</v>
      </c>
    </row>
    <row r="4294" spans="1:3" x14ac:dyDescent="0.3">
      <c r="A4294" s="1" t="s">
        <v>513</v>
      </c>
      <c r="B4294" t="s">
        <v>288</v>
      </c>
      <c r="C4294" s="1">
        <v>13.653224</v>
      </c>
    </row>
    <row r="4295" spans="1:3" x14ac:dyDescent="0.3">
      <c r="A4295" s="1" t="s">
        <v>513</v>
      </c>
      <c r="B4295" t="s">
        <v>289</v>
      </c>
      <c r="C4295" s="1">
        <v>13.055592000000001</v>
      </c>
    </row>
    <row r="4296" spans="1:3" x14ac:dyDescent="0.3">
      <c r="A4296" s="1" t="s">
        <v>513</v>
      </c>
      <c r="B4296" t="s">
        <v>290</v>
      </c>
      <c r="C4296" s="1">
        <v>13.215933</v>
      </c>
    </row>
    <row r="4297" spans="1:3" x14ac:dyDescent="0.3">
      <c r="A4297" s="1" t="s">
        <v>513</v>
      </c>
      <c r="B4297" t="s">
        <v>291</v>
      </c>
      <c r="C4297" s="1">
        <v>13.254803000000001</v>
      </c>
    </row>
    <row r="4298" spans="1:3" x14ac:dyDescent="0.3">
      <c r="A4298" s="1" t="s">
        <v>513</v>
      </c>
      <c r="B4298" t="s">
        <v>292</v>
      </c>
      <c r="C4298" s="1">
        <v>13.084745</v>
      </c>
    </row>
    <row r="4299" spans="1:3" x14ac:dyDescent="0.3">
      <c r="A4299" s="1" t="s">
        <v>513</v>
      </c>
      <c r="B4299" t="s">
        <v>293</v>
      </c>
      <c r="C4299" s="1">
        <v>12.977850999999999</v>
      </c>
    </row>
    <row r="4300" spans="1:3" x14ac:dyDescent="0.3">
      <c r="A4300" s="1" t="s">
        <v>513</v>
      </c>
      <c r="B4300" t="s">
        <v>294</v>
      </c>
      <c r="C4300" s="1">
        <v>13.458872</v>
      </c>
    </row>
    <row r="4301" spans="1:3" x14ac:dyDescent="0.3">
      <c r="A4301" s="1" t="s">
        <v>513</v>
      </c>
      <c r="B4301" t="s">
        <v>295</v>
      </c>
      <c r="C4301" s="1">
        <v>13.245085</v>
      </c>
    </row>
    <row r="4302" spans="1:3" x14ac:dyDescent="0.3">
      <c r="A4302" s="1" t="s">
        <v>513</v>
      </c>
      <c r="B4302" t="s">
        <v>296</v>
      </c>
      <c r="C4302" s="1">
        <v>12.997286000000001</v>
      </c>
    </row>
    <row r="4303" spans="1:3" x14ac:dyDescent="0.3">
      <c r="A4303" s="1" t="s">
        <v>513</v>
      </c>
      <c r="B4303" t="s">
        <v>297</v>
      </c>
      <c r="C4303" s="1">
        <v>13.351978000000001</v>
      </c>
    </row>
    <row r="4304" spans="1:3" x14ac:dyDescent="0.3">
      <c r="A4304" s="1" t="s">
        <v>513</v>
      </c>
      <c r="B4304" t="s">
        <v>298</v>
      </c>
      <c r="C4304" s="1">
        <v>13.390848</v>
      </c>
    </row>
    <row r="4305" spans="1:3" x14ac:dyDescent="0.3">
      <c r="A4305" s="1" t="s">
        <v>513</v>
      </c>
      <c r="B4305" t="s">
        <v>299</v>
      </c>
      <c r="C4305" s="1">
        <v>13.624072</v>
      </c>
    </row>
    <row r="4306" spans="1:3" x14ac:dyDescent="0.3">
      <c r="A4306" s="1" t="s">
        <v>513</v>
      </c>
      <c r="B4306" t="s">
        <v>300</v>
      </c>
      <c r="C4306" s="1">
        <v>13.604635</v>
      </c>
    </row>
    <row r="4307" spans="1:3" x14ac:dyDescent="0.3">
      <c r="A4307" s="1" t="s">
        <v>513</v>
      </c>
      <c r="B4307" t="s">
        <v>301</v>
      </c>
      <c r="C4307" s="1">
        <v>13.852435</v>
      </c>
    </row>
    <row r="4308" spans="1:3" x14ac:dyDescent="0.3">
      <c r="A4308" s="1" t="s">
        <v>513</v>
      </c>
      <c r="B4308" t="s">
        <v>302</v>
      </c>
      <c r="C4308" s="1">
        <v>13.682377000000001</v>
      </c>
    </row>
    <row r="4309" spans="1:3" x14ac:dyDescent="0.3">
      <c r="A4309" s="1" t="s">
        <v>513</v>
      </c>
      <c r="B4309" t="s">
        <v>303</v>
      </c>
      <c r="C4309" s="1">
        <v>13.798987</v>
      </c>
    </row>
    <row r="4310" spans="1:3" x14ac:dyDescent="0.3">
      <c r="A4310" s="1" t="s">
        <v>513</v>
      </c>
      <c r="B4310" t="s">
        <v>304</v>
      </c>
      <c r="C4310" s="1">
        <v>14.066222</v>
      </c>
    </row>
    <row r="4311" spans="1:3" x14ac:dyDescent="0.3">
      <c r="A4311" s="1" t="s">
        <v>513</v>
      </c>
      <c r="B4311" t="s">
        <v>305</v>
      </c>
      <c r="C4311" s="1">
        <v>13.881587</v>
      </c>
    </row>
    <row r="4312" spans="1:3" x14ac:dyDescent="0.3">
      <c r="A4312" s="1" t="s">
        <v>513</v>
      </c>
      <c r="B4312" t="s">
        <v>306</v>
      </c>
      <c r="C4312" s="1">
        <v>13.94961</v>
      </c>
    </row>
    <row r="4313" spans="1:3" x14ac:dyDescent="0.3">
      <c r="A4313" s="1" t="s">
        <v>513</v>
      </c>
      <c r="B4313" t="s">
        <v>307</v>
      </c>
      <c r="C4313" s="1">
        <v>13.677517999999999</v>
      </c>
    </row>
    <row r="4314" spans="1:3" x14ac:dyDescent="0.3">
      <c r="A4314" s="1" t="s">
        <v>513</v>
      </c>
      <c r="B4314" t="s">
        <v>308</v>
      </c>
      <c r="C4314" s="1">
        <v>13.871869</v>
      </c>
    </row>
    <row r="4315" spans="1:3" x14ac:dyDescent="0.3">
      <c r="A4315" s="1" t="s">
        <v>513</v>
      </c>
      <c r="B4315" t="s">
        <v>309</v>
      </c>
      <c r="C4315" s="1">
        <v>13.818422999999999</v>
      </c>
    </row>
    <row r="4316" spans="1:3" x14ac:dyDescent="0.3">
      <c r="A4316" s="1" t="s">
        <v>513</v>
      </c>
      <c r="B4316" t="s">
        <v>310</v>
      </c>
      <c r="C4316" s="1">
        <v>13.279095999999999</v>
      </c>
    </row>
    <row r="4317" spans="1:3" x14ac:dyDescent="0.3">
      <c r="A4317" s="1" t="s">
        <v>513</v>
      </c>
      <c r="B4317" t="s">
        <v>311</v>
      </c>
      <c r="C4317" s="1">
        <v>13.099320000000001</v>
      </c>
    </row>
    <row r="4318" spans="1:3" x14ac:dyDescent="0.3">
      <c r="A4318" s="1" t="s">
        <v>513</v>
      </c>
      <c r="B4318" t="s">
        <v>312</v>
      </c>
      <c r="C4318" s="1">
        <v>12.934122</v>
      </c>
    </row>
    <row r="4319" spans="1:3" x14ac:dyDescent="0.3">
      <c r="A4319" s="1" t="s">
        <v>513</v>
      </c>
      <c r="B4319" t="s">
        <v>313</v>
      </c>
      <c r="C4319" s="1">
        <v>12.705757999999999</v>
      </c>
    </row>
    <row r="4320" spans="1:3" x14ac:dyDescent="0.3">
      <c r="A4320" s="1" t="s">
        <v>513</v>
      </c>
      <c r="B4320" t="s">
        <v>314</v>
      </c>
      <c r="C4320" s="1">
        <v>12.205302</v>
      </c>
    </row>
    <row r="4321" spans="1:3" x14ac:dyDescent="0.3">
      <c r="A4321" s="1" t="s">
        <v>513</v>
      </c>
      <c r="B4321" t="s">
        <v>315</v>
      </c>
      <c r="C4321" s="1">
        <v>12.093548999999999</v>
      </c>
    </row>
    <row r="4322" spans="1:3" x14ac:dyDescent="0.3">
      <c r="A4322" s="1" t="s">
        <v>513</v>
      </c>
      <c r="B4322" t="s">
        <v>316</v>
      </c>
      <c r="C4322" s="1">
        <v>11.933209</v>
      </c>
    </row>
    <row r="4323" spans="1:3" x14ac:dyDescent="0.3">
      <c r="A4323" s="1" t="s">
        <v>513</v>
      </c>
      <c r="B4323" t="s">
        <v>317</v>
      </c>
      <c r="C4323" s="1">
        <v>11.991515</v>
      </c>
    </row>
    <row r="4324" spans="1:3" x14ac:dyDescent="0.3">
      <c r="A4324" s="1" t="s">
        <v>513</v>
      </c>
      <c r="B4324" t="s">
        <v>318</v>
      </c>
      <c r="C4324" s="1">
        <v>12.171290000000001</v>
      </c>
    </row>
    <row r="4325" spans="1:3" x14ac:dyDescent="0.3">
      <c r="A4325" s="1" t="s">
        <v>513</v>
      </c>
      <c r="B4325" t="s">
        <v>319</v>
      </c>
      <c r="C4325" s="1">
        <v>12.190725</v>
      </c>
    </row>
    <row r="4326" spans="1:3" x14ac:dyDescent="0.3">
      <c r="A4326" s="1" t="s">
        <v>513</v>
      </c>
      <c r="B4326" t="s">
        <v>320</v>
      </c>
      <c r="C4326" s="1">
        <v>12.525983</v>
      </c>
    </row>
    <row r="4327" spans="1:3" x14ac:dyDescent="0.3">
      <c r="A4327" s="1" t="s">
        <v>513</v>
      </c>
      <c r="B4327" t="s">
        <v>321</v>
      </c>
      <c r="C4327" s="1">
        <v>12.69604</v>
      </c>
    </row>
    <row r="4328" spans="1:3" x14ac:dyDescent="0.3">
      <c r="A4328" s="1" t="s">
        <v>513</v>
      </c>
      <c r="B4328" t="s">
        <v>322</v>
      </c>
      <c r="C4328" s="1">
        <v>12.904968999999999</v>
      </c>
    </row>
    <row r="4329" spans="1:3" x14ac:dyDescent="0.3">
      <c r="A4329" s="1" t="s">
        <v>513</v>
      </c>
      <c r="B4329" t="s">
        <v>323</v>
      </c>
      <c r="C4329" s="1">
        <v>13.011863</v>
      </c>
    </row>
    <row r="4330" spans="1:3" x14ac:dyDescent="0.3">
      <c r="A4330" s="1" t="s">
        <v>513</v>
      </c>
      <c r="B4330" t="s">
        <v>324</v>
      </c>
      <c r="C4330" s="1">
        <v>13.152767000000001</v>
      </c>
    </row>
    <row r="4331" spans="1:3" x14ac:dyDescent="0.3">
      <c r="A4331" s="1" t="s">
        <v>513</v>
      </c>
      <c r="B4331" t="s">
        <v>325</v>
      </c>
      <c r="C4331" s="1">
        <v>13.497743</v>
      </c>
    </row>
    <row r="4332" spans="1:3" x14ac:dyDescent="0.3">
      <c r="A4332" s="1" t="s">
        <v>513</v>
      </c>
      <c r="B4332" t="s">
        <v>326</v>
      </c>
      <c r="C4332" s="1">
        <v>13.337402000000001</v>
      </c>
    </row>
    <row r="4333" spans="1:3" x14ac:dyDescent="0.3">
      <c r="A4333" s="1" t="s">
        <v>513</v>
      </c>
      <c r="B4333" t="s">
        <v>327</v>
      </c>
      <c r="C4333" s="1">
        <v>13.050732999999999</v>
      </c>
    </row>
    <row r="4334" spans="1:3" x14ac:dyDescent="0.3">
      <c r="A4334" s="1" t="s">
        <v>513</v>
      </c>
      <c r="B4334" t="s">
        <v>328</v>
      </c>
      <c r="C4334" s="1">
        <v>13.036156999999999</v>
      </c>
    </row>
    <row r="4335" spans="1:3" x14ac:dyDescent="0.3">
      <c r="A4335" s="1" t="s">
        <v>513</v>
      </c>
      <c r="B4335" t="s">
        <v>329</v>
      </c>
      <c r="C4335" s="1">
        <v>13.264519999999999</v>
      </c>
    </row>
    <row r="4336" spans="1:3" x14ac:dyDescent="0.3">
      <c r="A4336" s="1" t="s">
        <v>513</v>
      </c>
      <c r="B4336" t="s">
        <v>330</v>
      </c>
      <c r="C4336" s="1">
        <v>13.22565</v>
      </c>
    </row>
    <row r="4337" spans="1:3" x14ac:dyDescent="0.3">
      <c r="A4337" s="1" t="s">
        <v>513</v>
      </c>
      <c r="B4337" t="s">
        <v>331</v>
      </c>
      <c r="C4337" s="1">
        <v>13.390848</v>
      </c>
    </row>
    <row r="4338" spans="1:3" x14ac:dyDescent="0.3">
      <c r="A4338" s="1" t="s">
        <v>513</v>
      </c>
      <c r="B4338" t="s">
        <v>332</v>
      </c>
      <c r="C4338" s="1">
        <v>13.264519999999999</v>
      </c>
    </row>
    <row r="4339" spans="1:3" x14ac:dyDescent="0.3">
      <c r="A4339" s="1" t="s">
        <v>513</v>
      </c>
      <c r="B4339" t="s">
        <v>333</v>
      </c>
      <c r="C4339" s="1">
        <v>13.34226</v>
      </c>
    </row>
    <row r="4340" spans="1:3" x14ac:dyDescent="0.3">
      <c r="A4340" s="1" t="s">
        <v>513</v>
      </c>
      <c r="B4340" t="s">
        <v>334</v>
      </c>
      <c r="C4340" s="1">
        <v>13.449154</v>
      </c>
    </row>
    <row r="4341" spans="1:3" x14ac:dyDescent="0.3">
      <c r="A4341" s="1" t="s">
        <v>513</v>
      </c>
      <c r="B4341" t="s">
        <v>335</v>
      </c>
      <c r="C4341" s="1">
        <v>13.687234999999999</v>
      </c>
    </row>
    <row r="4342" spans="1:3" x14ac:dyDescent="0.3">
      <c r="A4342" s="1" t="s">
        <v>513</v>
      </c>
      <c r="B4342" t="s">
        <v>336</v>
      </c>
      <c r="C4342" s="1">
        <v>13.628928999999999</v>
      </c>
    </row>
    <row r="4343" spans="1:3" x14ac:dyDescent="0.3">
      <c r="A4343" s="1" t="s">
        <v>513</v>
      </c>
      <c r="B4343" t="s">
        <v>337</v>
      </c>
      <c r="C4343" s="1">
        <v>13.643506</v>
      </c>
    </row>
    <row r="4344" spans="1:3" x14ac:dyDescent="0.3">
      <c r="A4344" s="1" t="s">
        <v>513</v>
      </c>
      <c r="B4344" t="s">
        <v>338</v>
      </c>
      <c r="C4344" s="1">
        <v>14.095374</v>
      </c>
    </row>
    <row r="4345" spans="1:3" x14ac:dyDescent="0.3">
      <c r="A4345" s="1" t="s">
        <v>513</v>
      </c>
      <c r="B4345" t="s">
        <v>339</v>
      </c>
      <c r="C4345" s="1">
        <v>13.769835</v>
      </c>
    </row>
    <row r="4346" spans="1:3" x14ac:dyDescent="0.3">
      <c r="A4346" s="1" t="s">
        <v>513</v>
      </c>
      <c r="B4346" t="s">
        <v>340</v>
      </c>
      <c r="C4346" s="1">
        <v>14.075939</v>
      </c>
    </row>
    <row r="4347" spans="1:3" x14ac:dyDescent="0.3">
      <c r="A4347" s="1" t="s">
        <v>513</v>
      </c>
      <c r="B4347" t="s">
        <v>341</v>
      </c>
      <c r="C4347" s="1">
        <v>13.99334</v>
      </c>
    </row>
    <row r="4348" spans="1:3" x14ac:dyDescent="0.3">
      <c r="A4348" s="1" t="s">
        <v>513</v>
      </c>
      <c r="B4348" t="s">
        <v>342</v>
      </c>
      <c r="C4348" s="1">
        <v>13.696954</v>
      </c>
    </row>
    <row r="4349" spans="1:3" x14ac:dyDescent="0.3">
      <c r="A4349" s="1" t="s">
        <v>513</v>
      </c>
      <c r="B4349" t="s">
        <v>343</v>
      </c>
      <c r="C4349" s="1">
        <v>13.526896000000001</v>
      </c>
    </row>
    <row r="4350" spans="1:3" x14ac:dyDescent="0.3">
      <c r="A4350" s="1" t="s">
        <v>513</v>
      </c>
      <c r="B4350" t="s">
        <v>344</v>
      </c>
      <c r="C4350" s="1">
        <v>13.716388</v>
      </c>
    </row>
    <row r="4351" spans="1:3" x14ac:dyDescent="0.3">
      <c r="A4351" s="1" t="s">
        <v>513</v>
      </c>
      <c r="B4351" t="s">
        <v>345</v>
      </c>
      <c r="C4351" s="1">
        <v>14.046786000000001</v>
      </c>
    </row>
    <row r="4352" spans="1:3" x14ac:dyDescent="0.3">
      <c r="A4352" s="1" t="s">
        <v>513</v>
      </c>
      <c r="B4352" t="s">
        <v>346</v>
      </c>
      <c r="C4352" s="1">
        <v>14.473934</v>
      </c>
    </row>
    <row r="4353" spans="1:3" x14ac:dyDescent="0.3">
      <c r="A4353" s="1" t="s">
        <v>513</v>
      </c>
      <c r="B4353" t="s">
        <v>347</v>
      </c>
      <c r="C4353" s="1">
        <v>14.336461999999999</v>
      </c>
    </row>
    <row r="4354" spans="1:3" x14ac:dyDescent="0.3">
      <c r="A4354" s="1" t="s">
        <v>513</v>
      </c>
      <c r="B4354" t="s">
        <v>348</v>
      </c>
      <c r="C4354" s="1">
        <v>14.370831000000001</v>
      </c>
    </row>
    <row r="4355" spans="1:3" x14ac:dyDescent="0.3">
      <c r="A4355" s="1" t="s">
        <v>513</v>
      </c>
      <c r="B4355" t="s">
        <v>349</v>
      </c>
      <c r="C4355" s="1">
        <v>14.606498</v>
      </c>
    </row>
    <row r="4356" spans="1:3" x14ac:dyDescent="0.3">
      <c r="A4356" s="1" t="s">
        <v>513</v>
      </c>
      <c r="B4356" t="s">
        <v>350</v>
      </c>
      <c r="C4356" s="1">
        <v>14.935452</v>
      </c>
    </row>
    <row r="4357" spans="1:3" x14ac:dyDescent="0.3">
      <c r="A4357" s="1" t="s">
        <v>513</v>
      </c>
      <c r="B4357" t="s">
        <v>351</v>
      </c>
      <c r="C4357" s="1">
        <v>15.180939</v>
      </c>
    </row>
    <row r="4358" spans="1:3" x14ac:dyDescent="0.3">
      <c r="A4358" s="1" t="s">
        <v>513</v>
      </c>
      <c r="B4358" t="s">
        <v>352</v>
      </c>
      <c r="C4358" s="1">
        <v>15.254583999999999</v>
      </c>
    </row>
    <row r="4359" spans="1:3" x14ac:dyDescent="0.3">
      <c r="A4359" s="1" t="s">
        <v>513</v>
      </c>
      <c r="B4359" t="s">
        <v>353</v>
      </c>
      <c r="C4359" s="1">
        <v>15.396967999999999</v>
      </c>
    </row>
    <row r="4360" spans="1:3" x14ac:dyDescent="0.3">
      <c r="A4360" s="1" t="s">
        <v>513</v>
      </c>
      <c r="B4360" t="s">
        <v>354</v>
      </c>
      <c r="C4360" s="1">
        <v>14.837255000000001</v>
      </c>
    </row>
    <row r="4361" spans="1:3" x14ac:dyDescent="0.3">
      <c r="A4361" s="1" t="s">
        <v>513</v>
      </c>
      <c r="B4361" t="s">
        <v>355</v>
      </c>
      <c r="C4361" s="1">
        <v>14.920722</v>
      </c>
    </row>
    <row r="4362" spans="1:3" x14ac:dyDescent="0.3">
      <c r="A4362" s="1" t="s">
        <v>513</v>
      </c>
      <c r="B4362" t="s">
        <v>356</v>
      </c>
      <c r="C4362" s="1">
        <v>15.018917</v>
      </c>
    </row>
    <row r="4363" spans="1:3" x14ac:dyDescent="0.3">
      <c r="A4363" s="1" t="s">
        <v>513</v>
      </c>
      <c r="B4363" t="s">
        <v>357</v>
      </c>
      <c r="C4363" s="1">
        <v>15.396967999999999</v>
      </c>
    </row>
    <row r="4364" spans="1:3" x14ac:dyDescent="0.3">
      <c r="A4364" s="1" t="s">
        <v>513</v>
      </c>
      <c r="B4364" t="s">
        <v>358</v>
      </c>
      <c r="C4364" s="1">
        <v>15.460793000000001</v>
      </c>
    </row>
    <row r="4365" spans="1:3" x14ac:dyDescent="0.3">
      <c r="A4365" s="1" t="s">
        <v>513</v>
      </c>
      <c r="B4365" t="s">
        <v>359</v>
      </c>
      <c r="C4365" s="1">
        <v>15.362598999999999</v>
      </c>
    </row>
    <row r="4366" spans="1:3" x14ac:dyDescent="0.3">
      <c r="A4366" s="1" t="s">
        <v>513</v>
      </c>
      <c r="B4366" t="s">
        <v>360</v>
      </c>
      <c r="C4366" s="1">
        <v>15.382237999999999</v>
      </c>
    </row>
    <row r="4367" spans="1:3" x14ac:dyDescent="0.3">
      <c r="A4367" s="1" t="s">
        <v>513</v>
      </c>
      <c r="B4367" t="s">
        <v>361</v>
      </c>
      <c r="C4367" s="1">
        <v>15.244764999999999</v>
      </c>
    </row>
    <row r="4368" spans="1:3" x14ac:dyDescent="0.3">
      <c r="A4368" s="1" t="s">
        <v>513</v>
      </c>
      <c r="B4368" t="s">
        <v>362</v>
      </c>
      <c r="C4368" s="1">
        <v>16.128519000000001</v>
      </c>
    </row>
    <row r="4369" spans="1:3" x14ac:dyDescent="0.3">
      <c r="A4369" s="1" t="s">
        <v>513</v>
      </c>
      <c r="B4369" t="s">
        <v>363</v>
      </c>
      <c r="C4369" s="1">
        <v>16.187436999999999</v>
      </c>
    </row>
    <row r="4370" spans="1:3" x14ac:dyDescent="0.3">
      <c r="A4370" s="1" t="s">
        <v>513</v>
      </c>
      <c r="B4370" t="s">
        <v>364</v>
      </c>
      <c r="C4370" s="1">
        <v>16.045052999999999</v>
      </c>
    </row>
    <row r="4371" spans="1:3" x14ac:dyDescent="0.3">
      <c r="A4371" s="1" t="s">
        <v>513</v>
      </c>
      <c r="B4371" t="s">
        <v>365</v>
      </c>
      <c r="C4371" s="1">
        <v>15.883032</v>
      </c>
    </row>
    <row r="4372" spans="1:3" x14ac:dyDescent="0.3">
      <c r="A4372" s="1" t="s">
        <v>513</v>
      </c>
      <c r="B4372" t="s">
        <v>366</v>
      </c>
      <c r="C4372" s="1">
        <v>16.049963000000002</v>
      </c>
    </row>
    <row r="4373" spans="1:3" x14ac:dyDescent="0.3">
      <c r="A4373" s="1" t="s">
        <v>513</v>
      </c>
      <c r="B4373" t="s">
        <v>367</v>
      </c>
      <c r="C4373" s="1">
        <v>15.716100000000001</v>
      </c>
    </row>
    <row r="4374" spans="1:3" x14ac:dyDescent="0.3">
      <c r="A4374" s="1" t="s">
        <v>513</v>
      </c>
      <c r="B4374" t="s">
        <v>368</v>
      </c>
      <c r="C4374" s="1">
        <v>15.54426</v>
      </c>
    </row>
    <row r="4375" spans="1:3" x14ac:dyDescent="0.3">
      <c r="A4375" s="1" t="s">
        <v>513</v>
      </c>
      <c r="B4375" t="s">
        <v>369</v>
      </c>
      <c r="C4375" s="1">
        <v>15.868302999999999</v>
      </c>
    </row>
    <row r="4376" spans="1:3" x14ac:dyDescent="0.3">
      <c r="A4376" s="1" t="s">
        <v>513</v>
      </c>
      <c r="B4376" t="s">
        <v>370</v>
      </c>
      <c r="C4376" s="1">
        <v>15.686643</v>
      </c>
    </row>
    <row r="4377" spans="1:3" x14ac:dyDescent="0.3">
      <c r="A4377" s="1" t="s">
        <v>513</v>
      </c>
      <c r="B4377" t="s">
        <v>371</v>
      </c>
      <c r="C4377" s="1">
        <v>15.887942000000001</v>
      </c>
    </row>
    <row r="4378" spans="1:3" x14ac:dyDescent="0.3">
      <c r="A4378" s="1" t="s">
        <v>513</v>
      </c>
      <c r="B4378" t="s">
        <v>372</v>
      </c>
      <c r="C4378" s="1">
        <v>16.074511999999999</v>
      </c>
    </row>
    <row r="4379" spans="1:3" x14ac:dyDescent="0.3">
      <c r="A4379" s="1" t="s">
        <v>513</v>
      </c>
      <c r="B4379" t="s">
        <v>373</v>
      </c>
      <c r="C4379" s="1">
        <v>15.843755</v>
      </c>
    </row>
    <row r="4380" spans="1:3" x14ac:dyDescent="0.3">
      <c r="A4380" s="1" t="s">
        <v>513</v>
      </c>
      <c r="B4380" t="s">
        <v>374</v>
      </c>
      <c r="C4380" s="1">
        <v>15.387148</v>
      </c>
    </row>
    <row r="4381" spans="1:3" x14ac:dyDescent="0.3">
      <c r="A4381" s="1" t="s">
        <v>513</v>
      </c>
      <c r="B4381" t="s">
        <v>375</v>
      </c>
      <c r="C4381" s="1">
        <v>15.554079</v>
      </c>
    </row>
    <row r="4382" spans="1:3" x14ac:dyDescent="0.3">
      <c r="A4382" s="1" t="s">
        <v>513</v>
      </c>
      <c r="B4382" t="s">
        <v>376</v>
      </c>
      <c r="C4382" s="1">
        <v>15.151481</v>
      </c>
    </row>
    <row r="4383" spans="1:3" x14ac:dyDescent="0.3">
      <c r="A4383" s="1" t="s">
        <v>513</v>
      </c>
      <c r="B4383" t="s">
        <v>377</v>
      </c>
      <c r="C4383" s="1">
        <v>15.072925</v>
      </c>
    </row>
    <row r="4384" spans="1:3" x14ac:dyDescent="0.3">
      <c r="A4384" s="1" t="s">
        <v>513</v>
      </c>
      <c r="B4384" t="s">
        <v>378</v>
      </c>
      <c r="C4384" s="1">
        <v>14.729241</v>
      </c>
    </row>
    <row r="4385" spans="1:3" x14ac:dyDescent="0.3">
      <c r="A4385" s="1" t="s">
        <v>513</v>
      </c>
      <c r="B4385" t="s">
        <v>379</v>
      </c>
      <c r="C4385" s="1">
        <v>14.640866000000001</v>
      </c>
    </row>
    <row r="4386" spans="1:3" x14ac:dyDescent="0.3">
      <c r="A4386" s="1" t="s">
        <v>513</v>
      </c>
      <c r="B4386" t="s">
        <v>380</v>
      </c>
      <c r="C4386" s="1">
        <v>14.856895</v>
      </c>
    </row>
    <row r="4387" spans="1:3" x14ac:dyDescent="0.3">
      <c r="A4387" s="1" t="s">
        <v>513</v>
      </c>
      <c r="B4387" t="s">
        <v>381</v>
      </c>
      <c r="C4387" s="1">
        <v>14.96491</v>
      </c>
    </row>
    <row r="4388" spans="1:3" x14ac:dyDescent="0.3">
      <c r="A4388" s="1" t="s">
        <v>513</v>
      </c>
      <c r="B4388" t="s">
        <v>382</v>
      </c>
      <c r="C4388" s="1">
        <v>15.009097000000001</v>
      </c>
    </row>
    <row r="4389" spans="1:3" x14ac:dyDescent="0.3">
      <c r="A4389" s="1" t="s">
        <v>513</v>
      </c>
      <c r="B4389" t="s">
        <v>383</v>
      </c>
      <c r="C4389" s="1">
        <v>15.028737</v>
      </c>
    </row>
    <row r="4390" spans="1:3" x14ac:dyDescent="0.3">
      <c r="A4390" s="1" t="s">
        <v>513</v>
      </c>
      <c r="B4390" t="s">
        <v>384</v>
      </c>
      <c r="C4390" s="1">
        <v>15.328231000000001</v>
      </c>
    </row>
    <row r="4391" spans="1:3" x14ac:dyDescent="0.3">
      <c r="A4391" s="1" t="s">
        <v>513</v>
      </c>
      <c r="B4391" t="s">
        <v>385</v>
      </c>
      <c r="C4391" s="1">
        <v>15.176028000000001</v>
      </c>
    </row>
    <row r="4392" spans="1:3" x14ac:dyDescent="0.3">
      <c r="A4392" s="1" t="s">
        <v>513</v>
      </c>
      <c r="B4392" t="s">
        <v>386</v>
      </c>
      <c r="C4392" s="1">
        <v>15.54917</v>
      </c>
    </row>
    <row r="4393" spans="1:3" x14ac:dyDescent="0.3">
      <c r="A4393" s="1" t="s">
        <v>513</v>
      </c>
      <c r="B4393" t="s">
        <v>387</v>
      </c>
      <c r="C4393" s="1">
        <v>15.995957000000001</v>
      </c>
    </row>
    <row r="4394" spans="1:3" x14ac:dyDescent="0.3">
      <c r="A4394" s="1" t="s">
        <v>513</v>
      </c>
      <c r="B4394" t="s">
        <v>388</v>
      </c>
      <c r="C4394" s="1">
        <v>16.192347000000002</v>
      </c>
    </row>
    <row r="4395" spans="1:3" x14ac:dyDescent="0.3">
      <c r="A4395" s="1" t="s">
        <v>513</v>
      </c>
      <c r="B4395" t="s">
        <v>389</v>
      </c>
      <c r="C4395" s="1">
        <v>16.432924</v>
      </c>
    </row>
    <row r="4396" spans="1:3" x14ac:dyDescent="0.3">
      <c r="A4396" s="1" t="s">
        <v>513</v>
      </c>
      <c r="B4396" t="s">
        <v>390</v>
      </c>
      <c r="C4396" s="1">
        <v>16.506568999999999</v>
      </c>
    </row>
    <row r="4397" spans="1:3" x14ac:dyDescent="0.3">
      <c r="A4397" s="1" t="s">
        <v>513</v>
      </c>
      <c r="B4397" t="s">
        <v>391</v>
      </c>
      <c r="C4397" s="1">
        <v>16.148159</v>
      </c>
    </row>
    <row r="4398" spans="1:3" x14ac:dyDescent="0.3">
      <c r="A4398" s="1" t="s">
        <v>513</v>
      </c>
      <c r="B4398" t="s">
        <v>392</v>
      </c>
      <c r="C4398" s="1">
        <v>15.971406999999999</v>
      </c>
    </row>
    <row r="4399" spans="1:3" x14ac:dyDescent="0.3">
      <c r="A4399" s="1" t="s">
        <v>513</v>
      </c>
      <c r="B4399" t="s">
        <v>393</v>
      </c>
      <c r="C4399" s="1">
        <v>16.074511999999999</v>
      </c>
    </row>
    <row r="4400" spans="1:3" x14ac:dyDescent="0.3">
      <c r="A4400" s="1" t="s">
        <v>513</v>
      </c>
      <c r="B4400" t="s">
        <v>394</v>
      </c>
      <c r="C4400" s="1">
        <v>15.765199000000001</v>
      </c>
    </row>
    <row r="4401" spans="1:3" x14ac:dyDescent="0.3">
      <c r="A4401" s="1" t="s">
        <v>513</v>
      </c>
      <c r="B4401" t="s">
        <v>395</v>
      </c>
      <c r="C4401" s="1">
        <v>15.509892000000001</v>
      </c>
    </row>
    <row r="4402" spans="1:3" x14ac:dyDescent="0.3">
      <c r="A4402" s="1" t="s">
        <v>513</v>
      </c>
      <c r="B4402" t="s">
        <v>396</v>
      </c>
      <c r="C4402" s="1">
        <v>16.295449999999999</v>
      </c>
    </row>
    <row r="4403" spans="1:3" x14ac:dyDescent="0.3">
      <c r="A4403" s="1" t="s">
        <v>513</v>
      </c>
      <c r="B4403" t="s">
        <v>397</v>
      </c>
      <c r="C4403" s="1">
        <v>16.383825000000002</v>
      </c>
    </row>
    <row r="4404" spans="1:3" x14ac:dyDescent="0.3">
      <c r="A4404" s="1" t="s">
        <v>513</v>
      </c>
      <c r="B4404" t="s">
        <v>398</v>
      </c>
      <c r="C4404" s="1">
        <v>16.030325000000001</v>
      </c>
    </row>
    <row r="4405" spans="1:3" x14ac:dyDescent="0.3">
      <c r="A4405" s="1" t="s">
        <v>513</v>
      </c>
      <c r="B4405" t="s">
        <v>399</v>
      </c>
      <c r="C4405" s="1">
        <v>16.413284000000001</v>
      </c>
    </row>
    <row r="4406" spans="1:3" x14ac:dyDescent="0.3">
      <c r="A4406" s="1" t="s">
        <v>513</v>
      </c>
      <c r="B4406" t="s">
        <v>400</v>
      </c>
      <c r="C4406" s="1">
        <v>16.364189</v>
      </c>
    </row>
    <row r="4407" spans="1:3" x14ac:dyDescent="0.3">
      <c r="A4407" s="1" t="s">
        <v>513</v>
      </c>
      <c r="B4407" t="s">
        <v>401</v>
      </c>
      <c r="C4407" s="1">
        <v>16.644043</v>
      </c>
    </row>
    <row r="4408" spans="1:3" x14ac:dyDescent="0.3">
      <c r="A4408" s="1" t="s">
        <v>513</v>
      </c>
      <c r="B4408" t="s">
        <v>402</v>
      </c>
      <c r="C4408" s="1">
        <v>16.192347000000002</v>
      </c>
    </row>
    <row r="4409" spans="1:3" x14ac:dyDescent="0.3">
      <c r="A4409" s="1" t="s">
        <v>513</v>
      </c>
      <c r="B4409" t="s">
        <v>403</v>
      </c>
      <c r="C4409" s="1">
        <v>16.089241000000001</v>
      </c>
    </row>
    <row r="4410" spans="1:3" x14ac:dyDescent="0.3">
      <c r="A4410" s="1" t="s">
        <v>513</v>
      </c>
      <c r="B4410" t="s">
        <v>404</v>
      </c>
      <c r="C4410" s="1">
        <v>16.756968000000001</v>
      </c>
    </row>
    <row r="4411" spans="1:3" x14ac:dyDescent="0.3">
      <c r="A4411" s="1" t="s">
        <v>513</v>
      </c>
      <c r="B4411" t="s">
        <v>405</v>
      </c>
      <c r="C4411" s="1">
        <v>16.668592</v>
      </c>
    </row>
    <row r="4412" spans="1:3" x14ac:dyDescent="0.3">
      <c r="A4412" s="1" t="s">
        <v>513</v>
      </c>
      <c r="B4412" t="s">
        <v>406</v>
      </c>
      <c r="C4412" s="1">
        <v>16.310181</v>
      </c>
    </row>
    <row r="4413" spans="1:3" x14ac:dyDescent="0.3">
      <c r="A4413" s="1" t="s">
        <v>513</v>
      </c>
      <c r="B4413" t="s">
        <v>407</v>
      </c>
      <c r="C4413" s="1">
        <v>16.452562</v>
      </c>
    </row>
    <row r="4414" spans="1:3" x14ac:dyDescent="0.3">
      <c r="A4414" s="1" t="s">
        <v>513</v>
      </c>
      <c r="B4414" t="s">
        <v>408</v>
      </c>
      <c r="C4414" s="1">
        <v>16.33473</v>
      </c>
    </row>
    <row r="4415" spans="1:3" x14ac:dyDescent="0.3">
      <c r="A4415" s="1" t="s">
        <v>513</v>
      </c>
      <c r="B4415" t="s">
        <v>409</v>
      </c>
      <c r="C4415" s="1">
        <v>15.917399</v>
      </c>
    </row>
    <row r="4416" spans="1:3" x14ac:dyDescent="0.3">
      <c r="A4416" s="1" t="s">
        <v>513</v>
      </c>
      <c r="B4416" t="s">
        <v>410</v>
      </c>
      <c r="C4416" s="1">
        <v>15.794656</v>
      </c>
    </row>
    <row r="4417" spans="1:3" x14ac:dyDescent="0.3">
      <c r="A4417" s="1" t="s">
        <v>513</v>
      </c>
      <c r="B4417" t="s">
        <v>411</v>
      </c>
      <c r="C4417" s="1">
        <v>15.686643</v>
      </c>
    </row>
    <row r="4418" spans="1:3" x14ac:dyDescent="0.3">
      <c r="A4418" s="1" t="s">
        <v>513</v>
      </c>
      <c r="B4418" t="s">
        <v>412</v>
      </c>
      <c r="C4418" s="1">
        <v>16.408374999999999</v>
      </c>
    </row>
    <row r="4419" spans="1:3" x14ac:dyDescent="0.3">
      <c r="A4419" s="1" t="s">
        <v>513</v>
      </c>
      <c r="B4419" t="s">
        <v>413</v>
      </c>
      <c r="C4419" s="1">
        <v>16.320001999999999</v>
      </c>
    </row>
    <row r="4420" spans="1:3" x14ac:dyDescent="0.3">
      <c r="A4420" s="1" t="s">
        <v>513</v>
      </c>
      <c r="B4420" t="s">
        <v>414</v>
      </c>
      <c r="C4420" s="1">
        <v>16.245000999999998</v>
      </c>
    </row>
    <row r="4421" spans="1:3" x14ac:dyDescent="0.3">
      <c r="A4421" s="1" t="s">
        <v>513</v>
      </c>
      <c r="B4421" t="s">
        <v>415</v>
      </c>
      <c r="C4421" s="1">
        <v>16.145</v>
      </c>
    </row>
    <row r="4422" spans="1:3" x14ac:dyDescent="0.3">
      <c r="A4422" s="1" t="s">
        <v>513</v>
      </c>
      <c r="B4422" t="s">
        <v>416</v>
      </c>
      <c r="C4422" s="1">
        <v>16.110001</v>
      </c>
    </row>
    <row r="4423" spans="1:3" x14ac:dyDescent="0.3">
      <c r="A4423" s="1" t="s">
        <v>513</v>
      </c>
      <c r="B4423" t="s">
        <v>417</v>
      </c>
      <c r="C4423" s="1">
        <v>16.334999</v>
      </c>
    </row>
    <row r="4424" spans="1:3" x14ac:dyDescent="0.3">
      <c r="A4424" s="1" t="s">
        <v>513</v>
      </c>
      <c r="B4424" t="s">
        <v>418</v>
      </c>
      <c r="C4424" s="1">
        <v>16.709999</v>
      </c>
    </row>
    <row r="4425" spans="1:3" x14ac:dyDescent="0.3">
      <c r="A4425" s="1" t="s">
        <v>513</v>
      </c>
      <c r="B4425" t="s">
        <v>419</v>
      </c>
      <c r="C4425" s="1">
        <v>16.629999000000002</v>
      </c>
    </row>
    <row r="4426" spans="1:3" x14ac:dyDescent="0.3">
      <c r="A4426" s="1" t="s">
        <v>513</v>
      </c>
      <c r="B4426" t="s">
        <v>420</v>
      </c>
      <c r="C4426" s="1">
        <v>16.799999</v>
      </c>
    </row>
    <row r="4427" spans="1:3" x14ac:dyDescent="0.3">
      <c r="A4427" s="1" t="s">
        <v>513</v>
      </c>
      <c r="B4427" t="s">
        <v>421</v>
      </c>
      <c r="C4427" s="1">
        <v>15.904999999999999</v>
      </c>
    </row>
    <row r="4428" spans="1:3" x14ac:dyDescent="0.3">
      <c r="A4428" s="1" t="s">
        <v>513</v>
      </c>
      <c r="B4428" t="s">
        <v>422</v>
      </c>
      <c r="C4428" s="1">
        <v>16.135000000000002</v>
      </c>
    </row>
    <row r="4429" spans="1:3" x14ac:dyDescent="0.3">
      <c r="A4429" s="1" t="s">
        <v>513</v>
      </c>
      <c r="B4429" t="s">
        <v>423</v>
      </c>
      <c r="C4429" s="1">
        <v>16.260000000000002</v>
      </c>
    </row>
    <row r="4430" spans="1:3" x14ac:dyDescent="0.3">
      <c r="A4430" s="1" t="s">
        <v>513</v>
      </c>
      <c r="B4430" t="s">
        <v>424</v>
      </c>
      <c r="C4430" s="1">
        <v>16.329999999999998</v>
      </c>
    </row>
    <row r="4431" spans="1:3" x14ac:dyDescent="0.3">
      <c r="A4431" s="1" t="s">
        <v>513</v>
      </c>
      <c r="B4431" t="s">
        <v>425</v>
      </c>
      <c r="C4431" s="1">
        <v>16.295000000000002</v>
      </c>
    </row>
    <row r="4432" spans="1:3" x14ac:dyDescent="0.3">
      <c r="A4432" s="1" t="s">
        <v>513</v>
      </c>
      <c r="B4432" t="s">
        <v>426</v>
      </c>
      <c r="C4432" s="1">
        <v>16.549999</v>
      </c>
    </row>
    <row r="4433" spans="1:3" x14ac:dyDescent="0.3">
      <c r="A4433" s="1" t="s">
        <v>513</v>
      </c>
      <c r="B4433" t="s">
        <v>427</v>
      </c>
      <c r="C4433" s="1">
        <v>16.190000999999999</v>
      </c>
    </row>
    <row r="4434" spans="1:3" x14ac:dyDescent="0.3">
      <c r="A4434" s="1" t="s">
        <v>513</v>
      </c>
      <c r="B4434" t="s">
        <v>428</v>
      </c>
      <c r="C4434" s="1">
        <v>16.155000999999999</v>
      </c>
    </row>
    <row r="4435" spans="1:3" x14ac:dyDescent="0.3">
      <c r="A4435" s="1" t="s">
        <v>513</v>
      </c>
      <c r="B4435" t="s">
        <v>429</v>
      </c>
      <c r="C4435" s="1">
        <v>16.105</v>
      </c>
    </row>
    <row r="4436" spans="1:3" x14ac:dyDescent="0.3">
      <c r="A4436" s="1" t="s">
        <v>513</v>
      </c>
      <c r="B4436" t="s">
        <v>430</v>
      </c>
      <c r="C4436" s="1">
        <v>16.635000000000002</v>
      </c>
    </row>
    <row r="4437" spans="1:3" x14ac:dyDescent="0.3">
      <c r="A4437" s="1" t="s">
        <v>513</v>
      </c>
      <c r="B4437" t="s">
        <v>431</v>
      </c>
      <c r="C4437" s="1">
        <v>16.77</v>
      </c>
    </row>
    <row r="4438" spans="1:3" x14ac:dyDescent="0.3">
      <c r="A4438" s="1" t="s">
        <v>513</v>
      </c>
      <c r="B4438" t="s">
        <v>432</v>
      </c>
      <c r="C4438" s="1">
        <v>16.754999000000002</v>
      </c>
    </row>
    <row r="4439" spans="1:3" x14ac:dyDescent="0.3">
      <c r="A4439" s="1" t="s">
        <v>513</v>
      </c>
      <c r="B4439" t="s">
        <v>433</v>
      </c>
      <c r="C4439" s="1">
        <v>16.280000999999999</v>
      </c>
    </row>
    <row r="4440" spans="1:3" x14ac:dyDescent="0.3">
      <c r="A4440" s="1" t="s">
        <v>513</v>
      </c>
      <c r="B4440" t="s">
        <v>434</v>
      </c>
      <c r="C4440" s="1">
        <v>16.395</v>
      </c>
    </row>
    <row r="4441" spans="1:3" x14ac:dyDescent="0.3">
      <c r="A4441" s="1" t="s">
        <v>513</v>
      </c>
      <c r="B4441" t="s">
        <v>435</v>
      </c>
      <c r="C4441" s="1">
        <v>16.379999000000002</v>
      </c>
    </row>
    <row r="4442" spans="1:3" x14ac:dyDescent="0.3">
      <c r="A4442" s="1" t="s">
        <v>513</v>
      </c>
      <c r="B4442" t="s">
        <v>436</v>
      </c>
      <c r="C4442" s="1">
        <v>16.674999</v>
      </c>
    </row>
    <row r="4443" spans="1:3" x14ac:dyDescent="0.3">
      <c r="A4443" s="1" t="s">
        <v>513</v>
      </c>
      <c r="B4443" t="s">
        <v>437</v>
      </c>
      <c r="C4443" s="1">
        <v>16.764999</v>
      </c>
    </row>
    <row r="4444" spans="1:3" x14ac:dyDescent="0.3">
      <c r="A4444" s="1" t="s">
        <v>513</v>
      </c>
      <c r="B4444" t="s">
        <v>438</v>
      </c>
      <c r="C4444" s="1">
        <v>16.540001</v>
      </c>
    </row>
    <row r="4445" spans="1:3" x14ac:dyDescent="0.3">
      <c r="A4445" s="1" t="s">
        <v>513</v>
      </c>
      <c r="B4445" t="s">
        <v>439</v>
      </c>
      <c r="C4445" s="1">
        <v>16.535</v>
      </c>
    </row>
    <row r="4446" spans="1:3" x14ac:dyDescent="0.3">
      <c r="A4446" s="1" t="s">
        <v>513</v>
      </c>
      <c r="B4446" t="s">
        <v>440</v>
      </c>
      <c r="C4446" s="1">
        <v>16.254999000000002</v>
      </c>
    </row>
    <row r="4447" spans="1:3" x14ac:dyDescent="0.3">
      <c r="A4447" s="1" t="s">
        <v>513</v>
      </c>
      <c r="B4447" t="s">
        <v>441</v>
      </c>
      <c r="C4447" s="1">
        <v>15.93</v>
      </c>
    </row>
    <row r="4448" spans="1:3" x14ac:dyDescent="0.3">
      <c r="A4448" s="1" t="s">
        <v>513</v>
      </c>
      <c r="B4448" t="s">
        <v>442</v>
      </c>
      <c r="C4448" s="1">
        <v>15.975</v>
      </c>
    </row>
    <row r="4449" spans="1:3" x14ac:dyDescent="0.3">
      <c r="A4449" s="1" t="s">
        <v>513</v>
      </c>
      <c r="B4449" t="s">
        <v>443</v>
      </c>
      <c r="C4449" s="1">
        <v>15.68</v>
      </c>
    </row>
    <row r="4450" spans="1:3" x14ac:dyDescent="0.3">
      <c r="A4450" s="1" t="s">
        <v>513</v>
      </c>
      <c r="B4450" t="s">
        <v>444</v>
      </c>
      <c r="C4450" s="1">
        <v>15.925000000000001</v>
      </c>
    </row>
    <row r="4451" spans="1:3" x14ac:dyDescent="0.3">
      <c r="A4451" s="1" t="s">
        <v>513</v>
      </c>
      <c r="B4451" t="s">
        <v>445</v>
      </c>
      <c r="C4451" s="1">
        <v>16.049999</v>
      </c>
    </row>
    <row r="4452" spans="1:3" x14ac:dyDescent="0.3">
      <c r="A4452" s="1" t="s">
        <v>513</v>
      </c>
      <c r="B4452" t="s">
        <v>446</v>
      </c>
      <c r="C4452" s="1">
        <v>16.030000999999999</v>
      </c>
    </row>
    <row r="4453" spans="1:3" x14ac:dyDescent="0.3">
      <c r="A4453" s="1" t="s">
        <v>513</v>
      </c>
      <c r="B4453" t="s">
        <v>447</v>
      </c>
      <c r="C4453" s="1">
        <v>16.120000999999998</v>
      </c>
    </row>
    <row r="4454" spans="1:3" x14ac:dyDescent="0.3">
      <c r="A4454" s="1" t="s">
        <v>513</v>
      </c>
      <c r="B4454" t="s">
        <v>448</v>
      </c>
      <c r="C4454" s="1">
        <v>15.7</v>
      </c>
    </row>
    <row r="4455" spans="1:3" x14ac:dyDescent="0.3">
      <c r="A4455" s="1" t="s">
        <v>513</v>
      </c>
      <c r="B4455" t="s">
        <v>449</v>
      </c>
      <c r="C4455" s="1">
        <v>15.77</v>
      </c>
    </row>
    <row r="4456" spans="1:3" x14ac:dyDescent="0.3">
      <c r="A4456" s="1" t="s">
        <v>513</v>
      </c>
      <c r="B4456" t="s">
        <v>450</v>
      </c>
      <c r="C4456" s="1">
        <v>15.645</v>
      </c>
    </row>
    <row r="4457" spans="1:3" x14ac:dyDescent="0.3">
      <c r="A4457" s="1" t="s">
        <v>513</v>
      </c>
      <c r="B4457" t="s">
        <v>451</v>
      </c>
      <c r="C4457" s="1">
        <v>15.45</v>
      </c>
    </row>
    <row r="4458" spans="1:3" x14ac:dyDescent="0.3">
      <c r="A4458" s="1" t="s">
        <v>513</v>
      </c>
      <c r="B4458" t="s">
        <v>452</v>
      </c>
      <c r="C4458" s="1">
        <v>15.615</v>
      </c>
    </row>
    <row r="4459" spans="1:3" x14ac:dyDescent="0.3">
      <c r="A4459" s="1" t="s">
        <v>513</v>
      </c>
      <c r="B4459" t="s">
        <v>453</v>
      </c>
      <c r="C4459" s="1">
        <v>15.07</v>
      </c>
    </row>
    <row r="4460" spans="1:3" x14ac:dyDescent="0.3">
      <c r="A4460" s="1" t="s">
        <v>513</v>
      </c>
      <c r="B4460" t="s">
        <v>454</v>
      </c>
      <c r="C4460" s="1">
        <v>15.28</v>
      </c>
    </row>
    <row r="4461" spans="1:3" x14ac:dyDescent="0.3">
      <c r="A4461" s="1" t="s">
        <v>513</v>
      </c>
      <c r="B4461" t="s">
        <v>455</v>
      </c>
      <c r="C4461" s="1">
        <v>15.065</v>
      </c>
    </row>
    <row r="4462" spans="1:3" x14ac:dyDescent="0.3">
      <c r="A4462" s="1" t="s">
        <v>513</v>
      </c>
      <c r="B4462" t="s">
        <v>456</v>
      </c>
      <c r="C4462" s="1">
        <v>14.9</v>
      </c>
    </row>
    <row r="4463" spans="1:3" x14ac:dyDescent="0.3">
      <c r="A4463" s="1" t="s">
        <v>513</v>
      </c>
      <c r="B4463" t="s">
        <v>457</v>
      </c>
      <c r="C4463" s="1">
        <v>14.845000000000001</v>
      </c>
    </row>
    <row r="4464" spans="1:3" x14ac:dyDescent="0.3">
      <c r="A4464" s="1" t="s">
        <v>513</v>
      </c>
      <c r="B4464" t="s">
        <v>458</v>
      </c>
      <c r="C4464" s="1">
        <v>14.55</v>
      </c>
    </row>
    <row r="4465" spans="1:3" x14ac:dyDescent="0.3">
      <c r="A4465" s="1" t="s">
        <v>513</v>
      </c>
      <c r="B4465" t="s">
        <v>459</v>
      </c>
      <c r="C4465" s="1">
        <v>14.5</v>
      </c>
    </row>
    <row r="4466" spans="1:3" x14ac:dyDescent="0.3">
      <c r="A4466" s="1" t="s">
        <v>513</v>
      </c>
      <c r="B4466" t="s">
        <v>460</v>
      </c>
      <c r="C4466" s="1">
        <v>14.615</v>
      </c>
    </row>
    <row r="4467" spans="1:3" x14ac:dyDescent="0.3">
      <c r="A4467" s="1" t="s">
        <v>513</v>
      </c>
      <c r="B4467" t="s">
        <v>461</v>
      </c>
      <c r="C4467" s="1">
        <v>14.315</v>
      </c>
    </row>
    <row r="4468" spans="1:3" x14ac:dyDescent="0.3">
      <c r="A4468" s="1" t="s">
        <v>513</v>
      </c>
      <c r="B4468" t="s">
        <v>462</v>
      </c>
      <c r="C4468" s="1">
        <v>14.565</v>
      </c>
    </row>
    <row r="4469" spans="1:3" x14ac:dyDescent="0.3">
      <c r="A4469" s="1" t="s">
        <v>513</v>
      </c>
      <c r="B4469" t="s">
        <v>463</v>
      </c>
      <c r="C4469" s="1">
        <v>14.9</v>
      </c>
    </row>
    <row r="4470" spans="1:3" x14ac:dyDescent="0.3">
      <c r="A4470" s="1" t="s">
        <v>513</v>
      </c>
      <c r="B4470" t="s">
        <v>464</v>
      </c>
      <c r="C4470" s="1">
        <v>14.84</v>
      </c>
    </row>
    <row r="4471" spans="1:3" x14ac:dyDescent="0.3">
      <c r="A4471" s="1" t="s">
        <v>513</v>
      </c>
      <c r="B4471" t="s">
        <v>465</v>
      </c>
      <c r="C4471" s="1">
        <v>14.94</v>
      </c>
    </row>
    <row r="4472" spans="1:3" x14ac:dyDescent="0.3">
      <c r="A4472" s="1" t="s">
        <v>513</v>
      </c>
      <c r="B4472" t="s">
        <v>466</v>
      </c>
      <c r="C4472" s="1">
        <v>14.865</v>
      </c>
    </row>
    <row r="4473" spans="1:3" x14ac:dyDescent="0.3">
      <c r="A4473" s="1" t="s">
        <v>513</v>
      </c>
      <c r="B4473" t="s">
        <v>467</v>
      </c>
      <c r="C4473" s="1">
        <v>14.84</v>
      </c>
    </row>
    <row r="4474" spans="1:3" x14ac:dyDescent="0.3">
      <c r="A4474" s="1" t="s">
        <v>513</v>
      </c>
      <c r="B4474" t="s">
        <v>468</v>
      </c>
      <c r="C4474" s="1">
        <v>14.685</v>
      </c>
    </row>
    <row r="4475" spans="1:3" x14ac:dyDescent="0.3">
      <c r="A4475" s="1" t="s">
        <v>513</v>
      </c>
      <c r="B4475" t="s">
        <v>469</v>
      </c>
      <c r="C4475" s="1">
        <v>14.56</v>
      </c>
    </row>
    <row r="4476" spans="1:3" x14ac:dyDescent="0.3">
      <c r="A4476" s="1" t="s">
        <v>513</v>
      </c>
      <c r="B4476" t="s">
        <v>470</v>
      </c>
      <c r="C4476" s="1">
        <v>14.84</v>
      </c>
    </row>
    <row r="4477" spans="1:3" x14ac:dyDescent="0.3">
      <c r="A4477" s="1" t="s">
        <v>513</v>
      </c>
      <c r="B4477" t="s">
        <v>471</v>
      </c>
      <c r="C4477" s="1">
        <v>15.085000000000001</v>
      </c>
    </row>
    <row r="4478" spans="1:3" x14ac:dyDescent="0.3">
      <c r="A4478" s="1" t="s">
        <v>513</v>
      </c>
      <c r="B4478" t="s">
        <v>472</v>
      </c>
      <c r="C4478" s="1">
        <v>14.845000000000001</v>
      </c>
    </row>
    <row r="4479" spans="1:3" x14ac:dyDescent="0.3">
      <c r="A4479" s="1" t="s">
        <v>513</v>
      </c>
      <c r="B4479" t="s">
        <v>473</v>
      </c>
      <c r="C4479" s="1">
        <v>15.24</v>
      </c>
    </row>
    <row r="4480" spans="1:3" x14ac:dyDescent="0.3">
      <c r="A4480" s="1" t="s">
        <v>513</v>
      </c>
      <c r="B4480" t="s">
        <v>474</v>
      </c>
      <c r="C4480" s="1">
        <v>15.13</v>
      </c>
    </row>
    <row r="4481" spans="1:3" x14ac:dyDescent="0.3">
      <c r="A4481" s="1" t="s">
        <v>513</v>
      </c>
      <c r="B4481" t="s">
        <v>475</v>
      </c>
      <c r="C4481" s="1">
        <v>14.8</v>
      </c>
    </row>
    <row r="4482" spans="1:3" x14ac:dyDescent="0.3">
      <c r="A4482" s="1" t="s">
        <v>513</v>
      </c>
      <c r="B4482" t="s">
        <v>476</v>
      </c>
      <c r="C4482" s="1">
        <v>14.984999999999999</v>
      </c>
    </row>
    <row r="4483" spans="1:3" x14ac:dyDescent="0.3">
      <c r="A4483" s="1" t="s">
        <v>513</v>
      </c>
      <c r="B4483" t="s">
        <v>477</v>
      </c>
      <c r="C4483" s="1">
        <v>15.12</v>
      </c>
    </row>
    <row r="4484" spans="1:3" x14ac:dyDescent="0.3">
      <c r="A4484" s="1" t="s">
        <v>513</v>
      </c>
      <c r="B4484" t="s">
        <v>478</v>
      </c>
      <c r="C4484" s="1">
        <v>14.835000000000001</v>
      </c>
    </row>
    <row r="4485" spans="1:3" x14ac:dyDescent="0.3">
      <c r="A4485" s="1" t="s">
        <v>513</v>
      </c>
      <c r="B4485" t="s">
        <v>479</v>
      </c>
      <c r="C4485" s="1">
        <v>15.205</v>
      </c>
    </row>
    <row r="4486" spans="1:3" x14ac:dyDescent="0.3">
      <c r="A4486" s="1" t="s">
        <v>513</v>
      </c>
      <c r="B4486" t="s">
        <v>480</v>
      </c>
      <c r="C4486" s="1">
        <v>15.195</v>
      </c>
    </row>
    <row r="4487" spans="1:3" x14ac:dyDescent="0.3">
      <c r="A4487" s="1" t="s">
        <v>513</v>
      </c>
      <c r="B4487" t="s">
        <v>481</v>
      </c>
      <c r="C4487" s="1">
        <v>15.125</v>
      </c>
    </row>
    <row r="4488" spans="1:3" x14ac:dyDescent="0.3">
      <c r="A4488" s="1" t="s">
        <v>513</v>
      </c>
      <c r="B4488" t="s">
        <v>482</v>
      </c>
      <c r="C4488" s="1">
        <v>15.385</v>
      </c>
    </row>
    <row r="4489" spans="1:3" x14ac:dyDescent="0.3">
      <c r="A4489" s="1" t="s">
        <v>513</v>
      </c>
      <c r="B4489" t="s">
        <v>483</v>
      </c>
      <c r="C4489" s="1">
        <v>15.3</v>
      </c>
    </row>
    <row r="4490" spans="1:3" x14ac:dyDescent="0.3">
      <c r="A4490" s="1" t="s">
        <v>513</v>
      </c>
      <c r="B4490" t="s">
        <v>484</v>
      </c>
      <c r="C4490" s="1">
        <v>15.455</v>
      </c>
    </row>
    <row r="4491" spans="1:3" x14ac:dyDescent="0.3">
      <c r="A4491" s="1" t="s">
        <v>513</v>
      </c>
      <c r="B4491" t="s">
        <v>485</v>
      </c>
      <c r="C4491" s="1">
        <v>15.77</v>
      </c>
    </row>
    <row r="4492" spans="1:3" x14ac:dyDescent="0.3">
      <c r="A4492" s="1" t="s">
        <v>513</v>
      </c>
      <c r="B4492" t="s">
        <v>486</v>
      </c>
      <c r="C4492" s="1">
        <v>15.535</v>
      </c>
    </row>
    <row r="4493" spans="1:3" x14ac:dyDescent="0.3">
      <c r="A4493" s="1" t="s">
        <v>513</v>
      </c>
      <c r="B4493" t="s">
        <v>487</v>
      </c>
      <c r="C4493" s="1">
        <v>15.69</v>
      </c>
    </row>
    <row r="4494" spans="1:3" x14ac:dyDescent="0.3">
      <c r="A4494" s="1" t="s">
        <v>513</v>
      </c>
      <c r="B4494" t="s">
        <v>488</v>
      </c>
      <c r="C4494" s="1">
        <v>15.69</v>
      </c>
    </row>
    <row r="4495" spans="1:3" x14ac:dyDescent="0.3">
      <c r="A4495" s="1" t="s">
        <v>513</v>
      </c>
      <c r="B4495" t="s">
        <v>489</v>
      </c>
      <c r="C4495" s="1">
        <v>16.110001</v>
      </c>
    </row>
    <row r="4496" spans="1:3" x14ac:dyDescent="0.3">
      <c r="A4496" s="1" t="s">
        <v>513</v>
      </c>
      <c r="B4496" t="s">
        <v>490</v>
      </c>
      <c r="C4496" s="1">
        <v>16.309999000000001</v>
      </c>
    </row>
    <row r="4497" spans="1:3" x14ac:dyDescent="0.3">
      <c r="A4497" s="1" t="s">
        <v>513</v>
      </c>
      <c r="B4497" t="s">
        <v>491</v>
      </c>
      <c r="C4497" s="1">
        <v>16.219999000000001</v>
      </c>
    </row>
    <row r="4498" spans="1:3" x14ac:dyDescent="0.3">
      <c r="A4498" s="1" t="s">
        <v>513</v>
      </c>
      <c r="B4498" t="s">
        <v>492</v>
      </c>
      <c r="C4498" s="1">
        <v>16.225000000000001</v>
      </c>
    </row>
    <row r="4499" spans="1:3" x14ac:dyDescent="0.3">
      <c r="A4499" s="1" t="s">
        <v>513</v>
      </c>
      <c r="B4499" t="s">
        <v>493</v>
      </c>
      <c r="C4499" s="1">
        <v>15.9</v>
      </c>
    </row>
    <row r="4500" spans="1:3" x14ac:dyDescent="0.3">
      <c r="A4500" s="1" t="s">
        <v>513</v>
      </c>
      <c r="B4500" t="s">
        <v>494</v>
      </c>
      <c r="C4500" s="1">
        <v>15.785</v>
      </c>
    </row>
    <row r="4501" spans="1:3" x14ac:dyDescent="0.3">
      <c r="A4501" s="1" t="s">
        <v>513</v>
      </c>
      <c r="B4501" t="s">
        <v>495</v>
      </c>
      <c r="C4501" s="1">
        <v>15.445</v>
      </c>
    </row>
    <row r="4502" spans="1:3" x14ac:dyDescent="0.3">
      <c r="A4502" s="1" t="s">
        <v>513</v>
      </c>
      <c r="B4502" t="s">
        <v>496</v>
      </c>
      <c r="C4502" s="1">
        <v>15.78</v>
      </c>
    </row>
    <row r="4503" spans="1:3" x14ac:dyDescent="0.3">
      <c r="A4503" s="1" t="s">
        <v>513</v>
      </c>
      <c r="B4503" t="s">
        <v>497</v>
      </c>
      <c r="C4503" s="1">
        <v>16.040001</v>
      </c>
    </row>
    <row r="4504" spans="1:3" x14ac:dyDescent="0.3">
      <c r="A4504" s="1" t="s">
        <v>513</v>
      </c>
      <c r="B4504" t="s">
        <v>498</v>
      </c>
      <c r="C4504" s="1">
        <v>16.114999999999998</v>
      </c>
    </row>
    <row r="4505" spans="1:3" x14ac:dyDescent="0.3">
      <c r="A4505" s="1" t="s">
        <v>513</v>
      </c>
      <c r="B4505" t="s">
        <v>499</v>
      </c>
      <c r="C4505" s="1">
        <v>16.600000000000001</v>
      </c>
    </row>
    <row r="4506" spans="1:3" x14ac:dyDescent="0.3">
      <c r="A4506" s="1" t="s">
        <v>513</v>
      </c>
      <c r="B4506" t="s">
        <v>500</v>
      </c>
      <c r="C4506" s="1">
        <v>16.700001</v>
      </c>
    </row>
    <row r="4507" spans="1:3" x14ac:dyDescent="0.3">
      <c r="A4507" s="1" t="s">
        <v>513</v>
      </c>
      <c r="B4507" t="s">
        <v>501</v>
      </c>
      <c r="C4507" s="1">
        <v>16.885000000000002</v>
      </c>
    </row>
    <row r="4508" spans="1:3" x14ac:dyDescent="0.3">
      <c r="A4508" s="1" t="s">
        <v>513</v>
      </c>
      <c r="B4508" t="s">
        <v>502</v>
      </c>
      <c r="C4508" s="1">
        <v>16.760000000000002</v>
      </c>
    </row>
    <row r="4509" spans="1:3" x14ac:dyDescent="0.3">
      <c r="A4509" s="1" t="s">
        <v>513</v>
      </c>
      <c r="B4509" t="s">
        <v>503</v>
      </c>
      <c r="C4509" s="1">
        <v>16.920000000000002</v>
      </c>
    </row>
    <row r="4510" spans="1:3" x14ac:dyDescent="0.3">
      <c r="A4510" s="1" t="s">
        <v>513</v>
      </c>
      <c r="B4510" t="s">
        <v>504</v>
      </c>
      <c r="C4510" s="1">
        <v>16.684999000000001</v>
      </c>
    </row>
    <row r="4511" spans="1:3" x14ac:dyDescent="0.3">
      <c r="A4511" s="1" t="s">
        <v>514</v>
      </c>
      <c r="B4511" t="s">
        <v>4</v>
      </c>
      <c r="C4511" s="1">
        <v>0.946295</v>
      </c>
    </row>
    <row r="4512" spans="1:3" x14ac:dyDescent="0.3">
      <c r="A4512" s="1" t="s">
        <v>514</v>
      </c>
      <c r="B4512" t="s">
        <v>5</v>
      </c>
      <c r="C4512" s="1">
        <v>0.937639</v>
      </c>
    </row>
    <row r="4513" spans="1:3" x14ac:dyDescent="0.3">
      <c r="A4513" s="1" t="s">
        <v>514</v>
      </c>
      <c r="B4513" t="s">
        <v>6</v>
      </c>
      <c r="C4513" s="1">
        <v>0.90886400000000001</v>
      </c>
    </row>
    <row r="4514" spans="1:3" x14ac:dyDescent="0.3">
      <c r="A4514" s="1" t="s">
        <v>514</v>
      </c>
      <c r="B4514" t="s">
        <v>7</v>
      </c>
      <c r="C4514" s="1">
        <v>0.904887</v>
      </c>
    </row>
    <row r="4515" spans="1:3" x14ac:dyDescent="0.3">
      <c r="A4515" s="1" t="s">
        <v>514</v>
      </c>
      <c r="B4515" t="s">
        <v>8</v>
      </c>
      <c r="C4515" s="1">
        <v>0.89950699999999995</v>
      </c>
    </row>
    <row r="4516" spans="1:3" x14ac:dyDescent="0.3">
      <c r="A4516" s="1" t="s">
        <v>514</v>
      </c>
      <c r="B4516" t="s">
        <v>9</v>
      </c>
      <c r="C4516" s="1">
        <v>0.906057</v>
      </c>
    </row>
    <row r="4517" spans="1:3" x14ac:dyDescent="0.3">
      <c r="A4517" s="1" t="s">
        <v>514</v>
      </c>
      <c r="B4517" t="s">
        <v>10</v>
      </c>
      <c r="C4517" s="1">
        <v>0.90114399999999995</v>
      </c>
    </row>
    <row r="4518" spans="1:3" x14ac:dyDescent="0.3">
      <c r="A4518" s="1" t="s">
        <v>514</v>
      </c>
      <c r="B4518" t="s">
        <v>11</v>
      </c>
      <c r="C4518" s="1">
        <v>0.89763499999999996</v>
      </c>
    </row>
    <row r="4519" spans="1:3" x14ac:dyDescent="0.3">
      <c r="A4519" s="1" t="s">
        <v>514</v>
      </c>
      <c r="B4519" t="s">
        <v>12</v>
      </c>
      <c r="C4519" s="1">
        <v>0.90348399999999995</v>
      </c>
    </row>
    <row r="4520" spans="1:3" x14ac:dyDescent="0.3">
      <c r="A4520" s="1" t="s">
        <v>514</v>
      </c>
      <c r="B4520" t="s">
        <v>13</v>
      </c>
      <c r="C4520" s="1">
        <v>0.88429999999999997</v>
      </c>
    </row>
    <row r="4521" spans="1:3" x14ac:dyDescent="0.3">
      <c r="A4521" s="1" t="s">
        <v>514</v>
      </c>
      <c r="B4521" t="s">
        <v>14</v>
      </c>
      <c r="C4521" s="1">
        <v>0.88546999999999998</v>
      </c>
    </row>
    <row r="4522" spans="1:3" x14ac:dyDescent="0.3">
      <c r="A4522" s="1" t="s">
        <v>514</v>
      </c>
      <c r="B4522" t="s">
        <v>15</v>
      </c>
      <c r="C4522" s="1">
        <v>0.89833700000000005</v>
      </c>
    </row>
    <row r="4523" spans="1:3" x14ac:dyDescent="0.3">
      <c r="A4523" s="1" t="s">
        <v>514</v>
      </c>
      <c r="B4523" t="s">
        <v>16</v>
      </c>
      <c r="C4523" s="1">
        <v>0.904887</v>
      </c>
    </row>
    <row r="4524" spans="1:3" x14ac:dyDescent="0.3">
      <c r="A4524" s="1" t="s">
        <v>514</v>
      </c>
      <c r="B4524" t="s">
        <v>17</v>
      </c>
      <c r="C4524" s="1">
        <v>0.89155300000000004</v>
      </c>
    </row>
    <row r="4525" spans="1:3" x14ac:dyDescent="0.3">
      <c r="A4525" s="1" t="s">
        <v>514</v>
      </c>
      <c r="B4525" t="s">
        <v>18</v>
      </c>
      <c r="C4525" s="1">
        <v>0.90020900000000004</v>
      </c>
    </row>
    <row r="4526" spans="1:3" x14ac:dyDescent="0.3">
      <c r="A4526" s="1" t="s">
        <v>514</v>
      </c>
      <c r="B4526" t="s">
        <v>19</v>
      </c>
      <c r="C4526" s="1">
        <v>0.891787</v>
      </c>
    </row>
    <row r="4527" spans="1:3" x14ac:dyDescent="0.3">
      <c r="A4527" s="1" t="s">
        <v>514</v>
      </c>
      <c r="B4527" t="s">
        <v>20</v>
      </c>
      <c r="C4527" s="1">
        <v>0.89225500000000002</v>
      </c>
    </row>
    <row r="4528" spans="1:3" x14ac:dyDescent="0.3">
      <c r="A4528" s="1" t="s">
        <v>514</v>
      </c>
      <c r="B4528" t="s">
        <v>21</v>
      </c>
      <c r="C4528" s="1">
        <v>0.89880499999999997</v>
      </c>
    </row>
    <row r="4529" spans="1:3" x14ac:dyDescent="0.3">
      <c r="A4529" s="1" t="s">
        <v>514</v>
      </c>
      <c r="B4529" t="s">
        <v>22</v>
      </c>
      <c r="C4529" s="1">
        <v>0.90816300000000005</v>
      </c>
    </row>
    <row r="4530" spans="1:3" x14ac:dyDescent="0.3">
      <c r="A4530" s="1" t="s">
        <v>514</v>
      </c>
      <c r="B4530" t="s">
        <v>23</v>
      </c>
      <c r="C4530" s="1">
        <v>0.91424499999999997</v>
      </c>
    </row>
    <row r="4531" spans="1:3" x14ac:dyDescent="0.3">
      <c r="A4531" s="1" t="s">
        <v>514</v>
      </c>
      <c r="B4531" t="s">
        <v>24</v>
      </c>
      <c r="C4531" s="1">
        <v>0.92640999999999996</v>
      </c>
    </row>
    <row r="4532" spans="1:3" x14ac:dyDescent="0.3">
      <c r="A4532" s="1" t="s">
        <v>514</v>
      </c>
      <c r="B4532" t="s">
        <v>25</v>
      </c>
      <c r="C4532" s="1">
        <v>0.93062100000000003</v>
      </c>
    </row>
    <row r="4533" spans="1:3" x14ac:dyDescent="0.3">
      <c r="A4533" s="1" t="s">
        <v>514</v>
      </c>
      <c r="B4533" t="s">
        <v>26</v>
      </c>
      <c r="C4533" s="1">
        <v>0.93670399999999998</v>
      </c>
    </row>
    <row r="4534" spans="1:3" x14ac:dyDescent="0.3">
      <c r="A4534" s="1" t="s">
        <v>514</v>
      </c>
      <c r="B4534" t="s">
        <v>27</v>
      </c>
      <c r="C4534" s="1">
        <v>0.93506599999999995</v>
      </c>
    </row>
    <row r="4535" spans="1:3" x14ac:dyDescent="0.3">
      <c r="A4535" s="1" t="s">
        <v>514</v>
      </c>
      <c r="B4535" t="s">
        <v>28</v>
      </c>
      <c r="C4535" s="1">
        <v>0.94489199999999995</v>
      </c>
    </row>
    <row r="4536" spans="1:3" x14ac:dyDescent="0.3">
      <c r="A4536" s="1" t="s">
        <v>514</v>
      </c>
      <c r="B4536" t="s">
        <v>29</v>
      </c>
      <c r="C4536" s="1">
        <v>0.93787299999999996</v>
      </c>
    </row>
    <row r="4537" spans="1:3" x14ac:dyDescent="0.3">
      <c r="A4537" s="1" t="s">
        <v>514</v>
      </c>
      <c r="B4537" t="s">
        <v>30</v>
      </c>
      <c r="C4537" s="1">
        <v>0.944658</v>
      </c>
    </row>
    <row r="4538" spans="1:3" x14ac:dyDescent="0.3">
      <c r="A4538" s="1" t="s">
        <v>514</v>
      </c>
      <c r="B4538" t="s">
        <v>31</v>
      </c>
      <c r="C4538" s="1">
        <v>0.93319399999999997</v>
      </c>
    </row>
    <row r="4539" spans="1:3" x14ac:dyDescent="0.3">
      <c r="A4539" s="1" t="s">
        <v>514</v>
      </c>
      <c r="B4539" t="s">
        <v>32</v>
      </c>
      <c r="C4539" s="1">
        <v>0.92173099999999997</v>
      </c>
    </row>
    <row r="4540" spans="1:3" x14ac:dyDescent="0.3">
      <c r="A4540" s="1" t="s">
        <v>514</v>
      </c>
      <c r="B4540" t="s">
        <v>33</v>
      </c>
      <c r="C4540" s="1">
        <v>0.92921699999999996</v>
      </c>
    </row>
    <row r="4541" spans="1:3" x14ac:dyDescent="0.3">
      <c r="A4541" s="1" t="s">
        <v>514</v>
      </c>
      <c r="B4541" t="s">
        <v>34</v>
      </c>
      <c r="C4541" s="1">
        <v>0.94840100000000005</v>
      </c>
    </row>
    <row r="4542" spans="1:3" x14ac:dyDescent="0.3">
      <c r="A4542" s="1" t="s">
        <v>514</v>
      </c>
      <c r="B4542" t="s">
        <v>35</v>
      </c>
      <c r="C4542" s="1">
        <v>0.94068099999999999</v>
      </c>
    </row>
    <row r="4543" spans="1:3" x14ac:dyDescent="0.3">
      <c r="A4543" s="1" t="s">
        <v>514</v>
      </c>
      <c r="B4543" t="s">
        <v>36</v>
      </c>
      <c r="C4543" s="1">
        <v>0.94793300000000003</v>
      </c>
    </row>
    <row r="4544" spans="1:3" x14ac:dyDescent="0.3">
      <c r="A4544" s="1" t="s">
        <v>514</v>
      </c>
      <c r="B4544" t="s">
        <v>37</v>
      </c>
      <c r="C4544" s="1">
        <v>0.95401499999999995</v>
      </c>
    </row>
    <row r="4545" spans="1:3" x14ac:dyDescent="0.3">
      <c r="A4545" s="1" t="s">
        <v>514</v>
      </c>
      <c r="B4545" t="s">
        <v>38</v>
      </c>
      <c r="C4545" s="1">
        <v>0.96009800000000001</v>
      </c>
    </row>
    <row r="4546" spans="1:3" x14ac:dyDescent="0.3">
      <c r="A4546" s="1" t="s">
        <v>514</v>
      </c>
      <c r="B4546" t="s">
        <v>39</v>
      </c>
      <c r="C4546" s="1">
        <v>0.97015700000000005</v>
      </c>
    </row>
    <row r="4547" spans="1:3" x14ac:dyDescent="0.3">
      <c r="A4547" s="1" t="s">
        <v>514</v>
      </c>
      <c r="B4547" t="s">
        <v>40</v>
      </c>
      <c r="C4547" s="1">
        <v>0.97179499999999996</v>
      </c>
    </row>
    <row r="4548" spans="1:3" x14ac:dyDescent="0.3">
      <c r="A4548" s="1" t="s">
        <v>514</v>
      </c>
      <c r="B4548" t="s">
        <v>41</v>
      </c>
      <c r="C4548" s="1">
        <v>0.96173500000000001</v>
      </c>
    </row>
    <row r="4549" spans="1:3" x14ac:dyDescent="0.3">
      <c r="A4549" s="1" t="s">
        <v>514</v>
      </c>
      <c r="B4549" t="s">
        <v>42</v>
      </c>
      <c r="C4549" s="1">
        <v>0.96805200000000002</v>
      </c>
    </row>
    <row r="4550" spans="1:3" x14ac:dyDescent="0.3">
      <c r="A4550" s="1" t="s">
        <v>514</v>
      </c>
      <c r="B4550" t="s">
        <v>43</v>
      </c>
      <c r="C4550" s="1">
        <v>0.95869400000000005</v>
      </c>
    </row>
    <row r="4551" spans="1:3" x14ac:dyDescent="0.3">
      <c r="A4551" s="1" t="s">
        <v>514</v>
      </c>
      <c r="B4551" t="s">
        <v>44</v>
      </c>
      <c r="C4551" s="1">
        <v>0.96337300000000003</v>
      </c>
    </row>
    <row r="4552" spans="1:3" x14ac:dyDescent="0.3">
      <c r="A4552" s="1" t="s">
        <v>514</v>
      </c>
      <c r="B4552" t="s">
        <v>45</v>
      </c>
      <c r="C4552" s="1">
        <v>0.96547799999999995</v>
      </c>
    </row>
    <row r="4553" spans="1:3" x14ac:dyDescent="0.3">
      <c r="A4553" s="1" t="s">
        <v>514</v>
      </c>
      <c r="B4553" t="s">
        <v>46</v>
      </c>
      <c r="C4553" s="1">
        <v>0.96337300000000003</v>
      </c>
    </row>
    <row r="4554" spans="1:3" x14ac:dyDescent="0.3">
      <c r="A4554" s="1" t="s">
        <v>514</v>
      </c>
      <c r="B4554" t="s">
        <v>47</v>
      </c>
      <c r="C4554" s="1">
        <v>0.95401499999999995</v>
      </c>
    </row>
    <row r="4555" spans="1:3" x14ac:dyDescent="0.3">
      <c r="A4555" s="1" t="s">
        <v>514</v>
      </c>
      <c r="B4555" t="s">
        <v>48</v>
      </c>
      <c r="C4555" s="1">
        <v>0.94021299999999997</v>
      </c>
    </row>
    <row r="4556" spans="1:3" x14ac:dyDescent="0.3">
      <c r="A4556" s="1" t="s">
        <v>514</v>
      </c>
      <c r="B4556" t="s">
        <v>49</v>
      </c>
      <c r="C4556" s="1">
        <v>0.928983</v>
      </c>
    </row>
    <row r="4557" spans="1:3" x14ac:dyDescent="0.3">
      <c r="A4557" s="1" t="s">
        <v>514</v>
      </c>
      <c r="B4557" t="s">
        <v>50</v>
      </c>
      <c r="C4557" s="1">
        <v>0.93459800000000004</v>
      </c>
    </row>
    <row r="4558" spans="1:3" x14ac:dyDescent="0.3">
      <c r="A4558" s="1" t="s">
        <v>514</v>
      </c>
      <c r="B4558" t="s">
        <v>51</v>
      </c>
      <c r="C4558" s="1">
        <v>0.93693700000000002</v>
      </c>
    </row>
    <row r="4559" spans="1:3" x14ac:dyDescent="0.3">
      <c r="A4559" s="1" t="s">
        <v>514</v>
      </c>
      <c r="B4559" t="s">
        <v>52</v>
      </c>
      <c r="C4559" s="1">
        <v>0.93272699999999997</v>
      </c>
    </row>
    <row r="4560" spans="1:3" x14ac:dyDescent="0.3">
      <c r="A4560" s="1" t="s">
        <v>514</v>
      </c>
      <c r="B4560" t="s">
        <v>53</v>
      </c>
      <c r="C4560" s="1">
        <v>0.94021299999999997</v>
      </c>
    </row>
    <row r="4561" spans="1:3" x14ac:dyDescent="0.3">
      <c r="A4561" s="1" t="s">
        <v>514</v>
      </c>
      <c r="B4561" t="s">
        <v>54</v>
      </c>
      <c r="C4561" s="1">
        <v>0.95495099999999999</v>
      </c>
    </row>
    <row r="4562" spans="1:3" x14ac:dyDescent="0.3">
      <c r="A4562" s="1" t="s">
        <v>514</v>
      </c>
      <c r="B4562" t="s">
        <v>55</v>
      </c>
      <c r="C4562" s="1">
        <v>0.95705700000000005</v>
      </c>
    </row>
    <row r="4563" spans="1:3" x14ac:dyDescent="0.3">
      <c r="A4563" s="1" t="s">
        <v>514</v>
      </c>
      <c r="B4563" t="s">
        <v>56</v>
      </c>
      <c r="C4563" s="1">
        <v>0.95658900000000002</v>
      </c>
    </row>
    <row r="4564" spans="1:3" x14ac:dyDescent="0.3">
      <c r="A4564" s="1" t="s">
        <v>514</v>
      </c>
      <c r="B4564" t="s">
        <v>57</v>
      </c>
      <c r="C4564" s="1">
        <v>0.96852000000000005</v>
      </c>
    </row>
    <row r="4565" spans="1:3" x14ac:dyDescent="0.3">
      <c r="A4565" s="1" t="s">
        <v>514</v>
      </c>
      <c r="B4565" t="s">
        <v>58</v>
      </c>
      <c r="C4565" s="1">
        <v>0.96407500000000002</v>
      </c>
    </row>
    <row r="4566" spans="1:3" x14ac:dyDescent="0.3">
      <c r="A4566" s="1" t="s">
        <v>514</v>
      </c>
      <c r="B4566" t="s">
        <v>59</v>
      </c>
      <c r="C4566" s="1">
        <v>0.90348399999999995</v>
      </c>
    </row>
    <row r="4567" spans="1:3" x14ac:dyDescent="0.3">
      <c r="A4567" s="1" t="s">
        <v>514</v>
      </c>
      <c r="B4567" t="s">
        <v>60</v>
      </c>
      <c r="C4567" s="1">
        <v>0.91611699999999996</v>
      </c>
    </row>
    <row r="4568" spans="1:3" x14ac:dyDescent="0.3">
      <c r="A4568" s="1" t="s">
        <v>514</v>
      </c>
      <c r="B4568" t="s">
        <v>61</v>
      </c>
      <c r="C4568" s="1">
        <v>0.93787299999999996</v>
      </c>
    </row>
    <row r="4569" spans="1:3" x14ac:dyDescent="0.3">
      <c r="A4569" s="1" t="s">
        <v>514</v>
      </c>
      <c r="B4569" t="s">
        <v>62</v>
      </c>
      <c r="C4569" s="1">
        <v>0.95214399999999999</v>
      </c>
    </row>
    <row r="4570" spans="1:3" x14ac:dyDescent="0.3">
      <c r="A4570" s="1" t="s">
        <v>514</v>
      </c>
      <c r="B4570" t="s">
        <v>63</v>
      </c>
      <c r="C4570" s="1">
        <v>1.320811</v>
      </c>
    </row>
    <row r="4571" spans="1:3" x14ac:dyDescent="0.3">
      <c r="A4571" s="1" t="s">
        <v>514</v>
      </c>
      <c r="B4571" t="s">
        <v>64</v>
      </c>
      <c r="C4571" s="1">
        <v>1.2947839999999999</v>
      </c>
    </row>
    <row r="4572" spans="1:3" x14ac:dyDescent="0.3">
      <c r="A4572" s="1" t="s">
        <v>514</v>
      </c>
      <c r="B4572" t="s">
        <v>65</v>
      </c>
      <c r="C4572" s="1">
        <v>1.3372839999999999</v>
      </c>
    </row>
    <row r="4573" spans="1:3" x14ac:dyDescent="0.3">
      <c r="A4573" s="1" t="s">
        <v>514</v>
      </c>
      <c r="B4573" t="s">
        <v>66</v>
      </c>
      <c r="C4573" s="1">
        <v>1.3303659999999999</v>
      </c>
    </row>
    <row r="4574" spans="1:3" x14ac:dyDescent="0.3">
      <c r="A4574" s="1" t="s">
        <v>514</v>
      </c>
      <c r="B4574" t="s">
        <v>67</v>
      </c>
      <c r="C4574" s="1">
        <v>1.305985</v>
      </c>
    </row>
    <row r="4575" spans="1:3" x14ac:dyDescent="0.3">
      <c r="A4575" s="1" t="s">
        <v>514</v>
      </c>
      <c r="B4575" t="s">
        <v>68</v>
      </c>
      <c r="C4575" s="1">
        <v>1.298408</v>
      </c>
    </row>
    <row r="4576" spans="1:3" x14ac:dyDescent="0.3">
      <c r="A4576" s="1" t="s">
        <v>514</v>
      </c>
      <c r="B4576" t="s">
        <v>69</v>
      </c>
      <c r="C4576" s="1">
        <v>1.3003849999999999</v>
      </c>
    </row>
    <row r="4577" spans="1:3" x14ac:dyDescent="0.3">
      <c r="A4577" s="1" t="s">
        <v>514</v>
      </c>
      <c r="B4577" t="s">
        <v>70</v>
      </c>
      <c r="C4577" s="1">
        <v>1.304338</v>
      </c>
    </row>
    <row r="4578" spans="1:3" x14ac:dyDescent="0.3">
      <c r="A4578" s="1" t="s">
        <v>514</v>
      </c>
      <c r="B4578" t="s">
        <v>71</v>
      </c>
      <c r="C4578" s="1">
        <v>1.305985</v>
      </c>
    </row>
    <row r="4579" spans="1:3" x14ac:dyDescent="0.3">
      <c r="A4579" s="1" t="s">
        <v>514</v>
      </c>
      <c r="B4579" t="s">
        <v>72</v>
      </c>
      <c r="C4579" s="1">
        <v>1.298737</v>
      </c>
    </row>
    <row r="4580" spans="1:3" x14ac:dyDescent="0.3">
      <c r="A4580" s="1" t="s">
        <v>514</v>
      </c>
      <c r="B4580" t="s">
        <v>73</v>
      </c>
      <c r="C4580" s="1">
        <v>1.304667</v>
      </c>
    </row>
    <row r="4581" spans="1:3" x14ac:dyDescent="0.3">
      <c r="A4581" s="1" t="s">
        <v>514</v>
      </c>
      <c r="B4581" t="s">
        <v>74</v>
      </c>
      <c r="C4581" s="1">
        <v>1.308951</v>
      </c>
    </row>
    <row r="4582" spans="1:3" x14ac:dyDescent="0.3">
      <c r="A4582" s="1" t="s">
        <v>514</v>
      </c>
      <c r="B4582" t="s">
        <v>75</v>
      </c>
      <c r="C4582" s="1">
        <v>1.3063149999999999</v>
      </c>
    </row>
    <row r="4583" spans="1:3" x14ac:dyDescent="0.3">
      <c r="A4583" s="1" t="s">
        <v>514</v>
      </c>
      <c r="B4583" t="s">
        <v>76</v>
      </c>
      <c r="C4583" s="1">
        <v>1.30335</v>
      </c>
    </row>
    <row r="4584" spans="1:3" x14ac:dyDescent="0.3">
      <c r="A4584" s="1" t="s">
        <v>514</v>
      </c>
      <c r="B4584" t="s">
        <v>77</v>
      </c>
      <c r="C4584" s="1">
        <v>1.3204819999999999</v>
      </c>
    </row>
    <row r="4585" spans="1:3" x14ac:dyDescent="0.3">
      <c r="A4585" s="1" t="s">
        <v>514</v>
      </c>
      <c r="B4585" t="s">
        <v>78</v>
      </c>
      <c r="C4585" s="1">
        <v>1.3079620000000001</v>
      </c>
    </row>
    <row r="4586" spans="1:3" x14ac:dyDescent="0.3">
      <c r="A4586" s="1" t="s">
        <v>514</v>
      </c>
      <c r="B4586" t="s">
        <v>79</v>
      </c>
      <c r="C4586" s="1">
        <v>1.302691</v>
      </c>
    </row>
    <row r="4587" spans="1:3" x14ac:dyDescent="0.3">
      <c r="A4587" s="1" t="s">
        <v>514</v>
      </c>
      <c r="B4587" t="s">
        <v>80</v>
      </c>
      <c r="C4587" s="1">
        <v>1.310927</v>
      </c>
    </row>
    <row r="4588" spans="1:3" x14ac:dyDescent="0.3">
      <c r="A4588" s="1" t="s">
        <v>514</v>
      </c>
      <c r="B4588" t="s">
        <v>81</v>
      </c>
      <c r="C4588" s="1">
        <v>1.309939</v>
      </c>
    </row>
    <row r="4589" spans="1:3" x14ac:dyDescent="0.3">
      <c r="A4589" s="1" t="s">
        <v>514</v>
      </c>
      <c r="B4589" t="s">
        <v>82</v>
      </c>
      <c r="C4589" s="1">
        <v>1.299725</v>
      </c>
    </row>
    <row r="4590" spans="1:3" x14ac:dyDescent="0.3">
      <c r="A4590" s="1" t="s">
        <v>514</v>
      </c>
      <c r="B4590" t="s">
        <v>83</v>
      </c>
      <c r="C4590" s="1">
        <v>1.292807</v>
      </c>
    </row>
    <row r="4591" spans="1:3" x14ac:dyDescent="0.3">
      <c r="A4591" s="1" t="s">
        <v>514</v>
      </c>
      <c r="B4591" t="s">
        <v>84</v>
      </c>
      <c r="C4591" s="1">
        <v>1.282923</v>
      </c>
    </row>
    <row r="4592" spans="1:3" x14ac:dyDescent="0.3">
      <c r="A4592" s="1" t="s">
        <v>514</v>
      </c>
      <c r="B4592" t="s">
        <v>85</v>
      </c>
      <c r="C4592" s="1">
        <v>1.294125</v>
      </c>
    </row>
    <row r="4593" spans="1:3" x14ac:dyDescent="0.3">
      <c r="A4593" s="1" t="s">
        <v>514</v>
      </c>
      <c r="B4593" t="s">
        <v>86</v>
      </c>
      <c r="C4593" s="1">
        <v>1.2961009999999999</v>
      </c>
    </row>
    <row r="4594" spans="1:3" x14ac:dyDescent="0.3">
      <c r="A4594" s="1" t="s">
        <v>514</v>
      </c>
      <c r="B4594" t="s">
        <v>87</v>
      </c>
      <c r="C4594" s="1">
        <v>1.298737</v>
      </c>
    </row>
    <row r="4595" spans="1:3" x14ac:dyDescent="0.3">
      <c r="A4595" s="1" t="s">
        <v>514</v>
      </c>
      <c r="B4595" t="s">
        <v>88</v>
      </c>
      <c r="C4595" s="1">
        <v>1.3079620000000001</v>
      </c>
    </row>
    <row r="4596" spans="1:3" x14ac:dyDescent="0.3">
      <c r="A4596" s="1" t="s">
        <v>514</v>
      </c>
      <c r="B4596" t="s">
        <v>89</v>
      </c>
      <c r="C4596" s="1">
        <v>1.304667</v>
      </c>
    </row>
    <row r="4597" spans="1:3" x14ac:dyDescent="0.3">
      <c r="A4597" s="1" t="s">
        <v>514</v>
      </c>
      <c r="B4597" t="s">
        <v>90</v>
      </c>
      <c r="C4597" s="1">
        <v>1.2954429999999999</v>
      </c>
    </row>
    <row r="4598" spans="1:3" x14ac:dyDescent="0.3">
      <c r="A4598" s="1" t="s">
        <v>514</v>
      </c>
      <c r="B4598" t="s">
        <v>91</v>
      </c>
      <c r="C4598" s="1">
        <v>1.2657910000000001</v>
      </c>
    </row>
    <row r="4599" spans="1:3" x14ac:dyDescent="0.3">
      <c r="A4599" s="1" t="s">
        <v>514</v>
      </c>
      <c r="B4599" t="s">
        <v>92</v>
      </c>
      <c r="C4599" s="1">
        <v>1.258543</v>
      </c>
    </row>
    <row r="4600" spans="1:3" x14ac:dyDescent="0.3">
      <c r="A4600" s="1" t="s">
        <v>514</v>
      </c>
      <c r="B4600" t="s">
        <v>93</v>
      </c>
      <c r="C4600" s="1">
        <v>1.2704029999999999</v>
      </c>
    </row>
    <row r="4601" spans="1:3" x14ac:dyDescent="0.3">
      <c r="A4601" s="1" t="s">
        <v>514</v>
      </c>
      <c r="B4601" t="s">
        <v>94</v>
      </c>
      <c r="C4601" s="1">
        <v>1.2651319999999999</v>
      </c>
    </row>
    <row r="4602" spans="1:3" x14ac:dyDescent="0.3">
      <c r="A4602" s="1" t="s">
        <v>514</v>
      </c>
      <c r="B4602" t="s">
        <v>95</v>
      </c>
      <c r="C4602" s="1">
        <v>1.274357</v>
      </c>
    </row>
    <row r="4603" spans="1:3" x14ac:dyDescent="0.3">
      <c r="A4603" s="1" t="s">
        <v>514</v>
      </c>
      <c r="B4603" t="s">
        <v>96</v>
      </c>
      <c r="C4603" s="1">
        <v>1.268756</v>
      </c>
    </row>
    <row r="4604" spans="1:3" x14ac:dyDescent="0.3">
      <c r="A4604" s="1" t="s">
        <v>514</v>
      </c>
      <c r="B4604" t="s">
        <v>97</v>
      </c>
      <c r="C4604" s="1">
        <v>1.27271</v>
      </c>
    </row>
    <row r="4605" spans="1:3" x14ac:dyDescent="0.3">
      <c r="A4605" s="1" t="s">
        <v>514</v>
      </c>
      <c r="B4605" t="s">
        <v>98</v>
      </c>
      <c r="C4605" s="1">
        <v>1.2760039999999999</v>
      </c>
    </row>
    <row r="4606" spans="1:3" x14ac:dyDescent="0.3">
      <c r="A4606" s="1" t="s">
        <v>514</v>
      </c>
      <c r="B4606" t="s">
        <v>99</v>
      </c>
      <c r="C4606" s="1">
        <v>1.277981</v>
      </c>
    </row>
    <row r="4607" spans="1:3" x14ac:dyDescent="0.3">
      <c r="A4607" s="1" t="s">
        <v>514</v>
      </c>
      <c r="B4607" t="s">
        <v>100</v>
      </c>
      <c r="C4607" s="1">
        <v>1.2970900000000001</v>
      </c>
    </row>
    <row r="4608" spans="1:3" x14ac:dyDescent="0.3">
      <c r="A4608" s="1" t="s">
        <v>514</v>
      </c>
      <c r="B4608" t="s">
        <v>101</v>
      </c>
      <c r="C4608" s="1">
        <v>1.302691</v>
      </c>
    </row>
    <row r="4609" spans="1:3" x14ac:dyDescent="0.3">
      <c r="A4609" s="1" t="s">
        <v>514</v>
      </c>
      <c r="B4609" t="s">
        <v>102</v>
      </c>
      <c r="C4609" s="1">
        <v>1.2763340000000001</v>
      </c>
    </row>
    <row r="4610" spans="1:3" x14ac:dyDescent="0.3">
      <c r="A4610" s="1" t="s">
        <v>514</v>
      </c>
      <c r="B4610" t="s">
        <v>103</v>
      </c>
      <c r="C4610" s="1">
        <v>1.2822640000000001</v>
      </c>
    </row>
    <row r="4611" spans="1:3" x14ac:dyDescent="0.3">
      <c r="A4611" s="1" t="s">
        <v>514</v>
      </c>
      <c r="B4611" t="s">
        <v>104</v>
      </c>
      <c r="C4611" s="1">
        <v>1.2911600000000001</v>
      </c>
    </row>
    <row r="4612" spans="1:3" x14ac:dyDescent="0.3">
      <c r="A4612" s="1" t="s">
        <v>514</v>
      </c>
      <c r="B4612" t="s">
        <v>105</v>
      </c>
      <c r="C4612" s="1">
        <v>1.2898419999999999</v>
      </c>
    </row>
    <row r="4613" spans="1:3" x14ac:dyDescent="0.3">
      <c r="A4613" s="1" t="s">
        <v>514</v>
      </c>
      <c r="B4613" t="s">
        <v>106</v>
      </c>
      <c r="C4613" s="1">
        <v>1.289183</v>
      </c>
    </row>
    <row r="4614" spans="1:3" x14ac:dyDescent="0.3">
      <c r="A4614" s="1" t="s">
        <v>514</v>
      </c>
      <c r="B4614" t="s">
        <v>107</v>
      </c>
      <c r="C4614" s="1">
        <v>1.2704029999999999</v>
      </c>
    </row>
    <row r="4615" spans="1:3" x14ac:dyDescent="0.3">
      <c r="A4615" s="1" t="s">
        <v>514</v>
      </c>
      <c r="B4615" t="s">
        <v>108</v>
      </c>
      <c r="C4615" s="1">
        <v>1.280287</v>
      </c>
    </row>
    <row r="4616" spans="1:3" x14ac:dyDescent="0.3">
      <c r="A4616" s="1" t="s">
        <v>514</v>
      </c>
      <c r="B4616" t="s">
        <v>109</v>
      </c>
      <c r="C4616" s="1">
        <v>1.278311</v>
      </c>
    </row>
    <row r="4617" spans="1:3" x14ac:dyDescent="0.3">
      <c r="A4617" s="1" t="s">
        <v>514</v>
      </c>
      <c r="B4617" t="s">
        <v>110</v>
      </c>
      <c r="C4617" s="1">
        <v>1.2717210000000001</v>
      </c>
    </row>
    <row r="4618" spans="1:3" x14ac:dyDescent="0.3">
      <c r="A4618" s="1" t="s">
        <v>514</v>
      </c>
      <c r="B4618" t="s">
        <v>111</v>
      </c>
      <c r="C4618" s="1">
        <v>1.2657910000000001</v>
      </c>
    </row>
    <row r="4619" spans="1:3" x14ac:dyDescent="0.3">
      <c r="A4619" s="1" t="s">
        <v>514</v>
      </c>
      <c r="B4619" t="s">
        <v>112</v>
      </c>
      <c r="C4619" s="1">
        <v>1.279299</v>
      </c>
    </row>
    <row r="4620" spans="1:3" x14ac:dyDescent="0.3">
      <c r="A4620" s="1" t="s">
        <v>514</v>
      </c>
      <c r="B4620" t="s">
        <v>113</v>
      </c>
      <c r="C4620" s="1">
        <v>1.274357</v>
      </c>
    </row>
    <row r="4621" spans="1:3" x14ac:dyDescent="0.3">
      <c r="A4621" s="1" t="s">
        <v>514</v>
      </c>
      <c r="B4621" t="s">
        <v>114</v>
      </c>
      <c r="C4621" s="1">
        <v>1.268756</v>
      </c>
    </row>
    <row r="4622" spans="1:3" x14ac:dyDescent="0.3">
      <c r="A4622" s="1" t="s">
        <v>514</v>
      </c>
      <c r="B4622" t="s">
        <v>115</v>
      </c>
      <c r="C4622" s="1">
        <v>1.2667790000000001</v>
      </c>
    </row>
    <row r="4623" spans="1:3" x14ac:dyDescent="0.3">
      <c r="A4623" s="1" t="s">
        <v>514</v>
      </c>
      <c r="B4623" t="s">
        <v>116</v>
      </c>
      <c r="C4623" s="1">
        <v>1.243058</v>
      </c>
    </row>
    <row r="4624" spans="1:3" x14ac:dyDescent="0.3">
      <c r="A4624" s="1" t="s">
        <v>514</v>
      </c>
      <c r="B4624" t="s">
        <v>117</v>
      </c>
      <c r="C4624" s="1">
        <v>1.248659</v>
      </c>
    </row>
    <row r="4625" spans="1:3" x14ac:dyDescent="0.3">
      <c r="A4625" s="1" t="s">
        <v>514</v>
      </c>
      <c r="B4625" t="s">
        <v>118</v>
      </c>
      <c r="C4625" s="1">
        <v>1.264473</v>
      </c>
    </row>
    <row r="4626" spans="1:3" x14ac:dyDescent="0.3">
      <c r="A4626" s="1" t="s">
        <v>514</v>
      </c>
      <c r="B4626" t="s">
        <v>119</v>
      </c>
      <c r="C4626" s="1">
        <v>1.2766630000000001</v>
      </c>
    </row>
    <row r="4627" spans="1:3" x14ac:dyDescent="0.3">
      <c r="A4627" s="1" t="s">
        <v>514</v>
      </c>
      <c r="B4627" t="s">
        <v>120</v>
      </c>
      <c r="C4627" s="1">
        <v>1.284241</v>
      </c>
    </row>
    <row r="4628" spans="1:3" x14ac:dyDescent="0.3">
      <c r="A4628" s="1" t="s">
        <v>514</v>
      </c>
      <c r="B4628" t="s">
        <v>121</v>
      </c>
      <c r="C4628" s="1">
        <v>1.277981</v>
      </c>
    </row>
    <row r="4629" spans="1:3" x14ac:dyDescent="0.3">
      <c r="A4629" s="1" t="s">
        <v>514</v>
      </c>
      <c r="B4629" t="s">
        <v>122</v>
      </c>
      <c r="C4629" s="1">
        <v>1.272051</v>
      </c>
    </row>
    <row r="4630" spans="1:3" x14ac:dyDescent="0.3">
      <c r="A4630" s="1" t="s">
        <v>514</v>
      </c>
      <c r="B4630" t="s">
        <v>123</v>
      </c>
      <c r="C4630" s="1">
        <v>1.2911600000000001</v>
      </c>
    </row>
    <row r="4631" spans="1:3" x14ac:dyDescent="0.3">
      <c r="A4631" s="1" t="s">
        <v>514</v>
      </c>
      <c r="B4631" t="s">
        <v>124</v>
      </c>
      <c r="C4631" s="1">
        <v>1.2651319999999999</v>
      </c>
    </row>
    <row r="4632" spans="1:3" x14ac:dyDescent="0.3">
      <c r="A4632" s="1" t="s">
        <v>514</v>
      </c>
      <c r="B4632" t="s">
        <v>125</v>
      </c>
      <c r="C4632" s="1">
        <v>1.28457</v>
      </c>
    </row>
    <row r="4633" spans="1:3" x14ac:dyDescent="0.3">
      <c r="A4633" s="1" t="s">
        <v>514</v>
      </c>
      <c r="B4633" t="s">
        <v>126</v>
      </c>
      <c r="C4633" s="1">
        <v>1.304667</v>
      </c>
    </row>
    <row r="4634" spans="1:3" x14ac:dyDescent="0.3">
      <c r="A4634" s="1" t="s">
        <v>514</v>
      </c>
      <c r="B4634" t="s">
        <v>127</v>
      </c>
      <c r="C4634" s="1">
        <v>1.276993</v>
      </c>
    </row>
    <row r="4635" spans="1:3" x14ac:dyDescent="0.3">
      <c r="A4635" s="1" t="s">
        <v>514</v>
      </c>
      <c r="B4635" t="s">
        <v>128</v>
      </c>
      <c r="C4635" s="1">
        <v>1.273039</v>
      </c>
    </row>
    <row r="4636" spans="1:3" x14ac:dyDescent="0.3">
      <c r="A4636" s="1" t="s">
        <v>514</v>
      </c>
      <c r="B4636" t="s">
        <v>129</v>
      </c>
      <c r="C4636" s="1">
        <v>1.2601899999999999</v>
      </c>
    </row>
    <row r="4637" spans="1:3" x14ac:dyDescent="0.3">
      <c r="A4637" s="1" t="s">
        <v>514</v>
      </c>
      <c r="B4637" t="s">
        <v>130</v>
      </c>
      <c r="C4637" s="1">
        <v>1.2710619999999999</v>
      </c>
    </row>
    <row r="4638" spans="1:3" x14ac:dyDescent="0.3">
      <c r="A4638" s="1" t="s">
        <v>514</v>
      </c>
      <c r="B4638" t="s">
        <v>131</v>
      </c>
      <c r="C4638" s="1">
        <v>1.279299</v>
      </c>
    </row>
    <row r="4639" spans="1:3" x14ac:dyDescent="0.3">
      <c r="A4639" s="1" t="s">
        <v>514</v>
      </c>
      <c r="B4639" t="s">
        <v>132</v>
      </c>
      <c r="C4639" s="1">
        <v>1.285229</v>
      </c>
    </row>
    <row r="4640" spans="1:3" x14ac:dyDescent="0.3">
      <c r="A4640" s="1" t="s">
        <v>514</v>
      </c>
      <c r="B4640" t="s">
        <v>133</v>
      </c>
      <c r="C4640" s="1">
        <v>1.280287</v>
      </c>
    </row>
    <row r="4641" spans="1:3" x14ac:dyDescent="0.3">
      <c r="A4641" s="1" t="s">
        <v>514</v>
      </c>
      <c r="B4641" t="s">
        <v>134</v>
      </c>
      <c r="C4641" s="1">
        <v>1.2750159999999999</v>
      </c>
    </row>
    <row r="4642" spans="1:3" x14ac:dyDescent="0.3">
      <c r="A4642" s="1" t="s">
        <v>514</v>
      </c>
      <c r="B4642" t="s">
        <v>135</v>
      </c>
      <c r="C4642" s="1">
        <v>1.27864</v>
      </c>
    </row>
    <row r="4643" spans="1:3" x14ac:dyDescent="0.3">
      <c r="A4643" s="1" t="s">
        <v>514</v>
      </c>
      <c r="B4643" t="s">
        <v>136</v>
      </c>
      <c r="C4643" s="1">
        <v>1.2954429999999999</v>
      </c>
    </row>
    <row r="4644" spans="1:3" x14ac:dyDescent="0.3">
      <c r="A4644" s="1" t="s">
        <v>514</v>
      </c>
      <c r="B4644" t="s">
        <v>137</v>
      </c>
      <c r="C4644" s="1">
        <v>1.286877</v>
      </c>
    </row>
    <row r="4645" spans="1:3" x14ac:dyDescent="0.3">
      <c r="A4645" s="1" t="s">
        <v>514</v>
      </c>
      <c r="B4645" t="s">
        <v>138</v>
      </c>
      <c r="C4645" s="1">
        <v>1.2924770000000001</v>
      </c>
    </row>
    <row r="4646" spans="1:3" x14ac:dyDescent="0.3">
      <c r="A4646" s="1" t="s">
        <v>514</v>
      </c>
      <c r="B4646" t="s">
        <v>139</v>
      </c>
      <c r="C4646" s="1">
        <v>1.2924770000000001</v>
      </c>
    </row>
    <row r="4647" spans="1:3" x14ac:dyDescent="0.3">
      <c r="A4647" s="1" t="s">
        <v>514</v>
      </c>
      <c r="B4647" t="s">
        <v>140</v>
      </c>
      <c r="C4647" s="1">
        <v>1.3020320000000001</v>
      </c>
    </row>
    <row r="4648" spans="1:3" x14ac:dyDescent="0.3">
      <c r="A4648" s="1" t="s">
        <v>514</v>
      </c>
      <c r="B4648" t="s">
        <v>141</v>
      </c>
      <c r="C4648" s="1">
        <v>1.3112569999999999</v>
      </c>
    </row>
    <row r="4649" spans="1:3" x14ac:dyDescent="0.3">
      <c r="A4649" s="1" t="s">
        <v>514</v>
      </c>
      <c r="B4649" t="s">
        <v>142</v>
      </c>
      <c r="C4649" s="1">
        <v>1.313563</v>
      </c>
    </row>
    <row r="4650" spans="1:3" x14ac:dyDescent="0.3">
      <c r="A4650" s="1" t="s">
        <v>514</v>
      </c>
      <c r="B4650" t="s">
        <v>143</v>
      </c>
      <c r="C4650" s="1">
        <v>1.3082910000000001</v>
      </c>
    </row>
    <row r="4651" spans="1:3" x14ac:dyDescent="0.3">
      <c r="A4651" s="1" t="s">
        <v>514</v>
      </c>
      <c r="B4651" t="s">
        <v>144</v>
      </c>
      <c r="C4651" s="1">
        <v>1.2717210000000001</v>
      </c>
    </row>
    <row r="4652" spans="1:3" x14ac:dyDescent="0.3">
      <c r="A4652" s="1" t="s">
        <v>514</v>
      </c>
      <c r="B4652" t="s">
        <v>145</v>
      </c>
      <c r="C4652" s="1">
        <v>1.252613</v>
      </c>
    </row>
    <row r="4653" spans="1:3" x14ac:dyDescent="0.3">
      <c r="A4653" s="1" t="s">
        <v>514</v>
      </c>
      <c r="B4653" t="s">
        <v>146</v>
      </c>
      <c r="C4653" s="1">
        <v>1.246353</v>
      </c>
    </row>
    <row r="4654" spans="1:3" x14ac:dyDescent="0.3">
      <c r="A4654" s="1" t="s">
        <v>514</v>
      </c>
      <c r="B4654" t="s">
        <v>147</v>
      </c>
      <c r="C4654" s="1">
        <v>1.222302</v>
      </c>
    </row>
    <row r="4655" spans="1:3" x14ac:dyDescent="0.3">
      <c r="A4655" s="1" t="s">
        <v>514</v>
      </c>
      <c r="B4655" t="s">
        <v>148</v>
      </c>
      <c r="C4655" s="1">
        <v>1.1745300000000001</v>
      </c>
    </row>
    <row r="4656" spans="1:3" x14ac:dyDescent="0.3">
      <c r="A4656" s="1" t="s">
        <v>514</v>
      </c>
      <c r="B4656" t="s">
        <v>149</v>
      </c>
      <c r="C4656" s="1">
        <v>1.201217</v>
      </c>
    </row>
    <row r="4657" spans="1:3" x14ac:dyDescent="0.3">
      <c r="A4657" s="1" t="s">
        <v>514</v>
      </c>
      <c r="B4657" t="s">
        <v>150</v>
      </c>
      <c r="C4657" s="1">
        <v>1.213077</v>
      </c>
    </row>
    <row r="4658" spans="1:3" x14ac:dyDescent="0.3">
      <c r="A4658" s="1" t="s">
        <v>514</v>
      </c>
      <c r="B4658" t="s">
        <v>151</v>
      </c>
      <c r="C4658" s="1">
        <v>1.243717</v>
      </c>
    </row>
    <row r="4659" spans="1:3" x14ac:dyDescent="0.3">
      <c r="A4659" s="1" t="s">
        <v>514</v>
      </c>
      <c r="B4659" t="s">
        <v>152</v>
      </c>
      <c r="C4659" s="1">
        <v>1.2236199999999999</v>
      </c>
    </row>
    <row r="4660" spans="1:3" x14ac:dyDescent="0.3">
      <c r="A4660" s="1" t="s">
        <v>514</v>
      </c>
      <c r="B4660" t="s">
        <v>153</v>
      </c>
      <c r="C4660" s="1">
        <v>1.1979219999999999</v>
      </c>
    </row>
    <row r="4661" spans="1:3" x14ac:dyDescent="0.3">
      <c r="A4661" s="1" t="s">
        <v>514</v>
      </c>
      <c r="B4661" t="s">
        <v>154</v>
      </c>
      <c r="C4661" s="1">
        <v>1.1208279999999999</v>
      </c>
    </row>
    <row r="4662" spans="1:3" x14ac:dyDescent="0.3">
      <c r="A4662" s="1" t="s">
        <v>514</v>
      </c>
      <c r="B4662" t="s">
        <v>155</v>
      </c>
      <c r="C4662" s="1">
        <v>1.1050139999999999</v>
      </c>
    </row>
    <row r="4663" spans="1:3" x14ac:dyDescent="0.3">
      <c r="A4663" s="1" t="s">
        <v>514</v>
      </c>
      <c r="B4663" t="s">
        <v>156</v>
      </c>
      <c r="C4663" s="1">
        <v>1.0924940000000001</v>
      </c>
    </row>
    <row r="4664" spans="1:3" x14ac:dyDescent="0.3">
      <c r="A4664" s="1" t="s">
        <v>514</v>
      </c>
      <c r="B4664" t="s">
        <v>157</v>
      </c>
      <c r="C4664" s="1">
        <v>0.94555400000000001</v>
      </c>
    </row>
    <row r="4665" spans="1:3" x14ac:dyDescent="0.3">
      <c r="A4665" s="1" t="s">
        <v>514</v>
      </c>
      <c r="B4665" t="s">
        <v>158</v>
      </c>
      <c r="C4665" s="1">
        <v>0.96696899999999997</v>
      </c>
    </row>
    <row r="4666" spans="1:3" x14ac:dyDescent="0.3">
      <c r="A4666" s="1" t="s">
        <v>514</v>
      </c>
      <c r="B4666" t="s">
        <v>159</v>
      </c>
      <c r="C4666" s="1">
        <v>0.96762800000000004</v>
      </c>
    </row>
    <row r="4667" spans="1:3" x14ac:dyDescent="0.3">
      <c r="A4667" s="1" t="s">
        <v>514</v>
      </c>
      <c r="B4667" t="s">
        <v>160</v>
      </c>
      <c r="C4667" s="1">
        <v>1.074044</v>
      </c>
    </row>
    <row r="4668" spans="1:3" x14ac:dyDescent="0.3">
      <c r="A4668" s="1" t="s">
        <v>514</v>
      </c>
      <c r="B4668" t="s">
        <v>161</v>
      </c>
      <c r="C4668" s="1">
        <v>1.007493</v>
      </c>
    </row>
    <row r="4669" spans="1:3" x14ac:dyDescent="0.3">
      <c r="A4669" s="1" t="s">
        <v>514</v>
      </c>
      <c r="B4669" t="s">
        <v>162</v>
      </c>
      <c r="C4669" s="1">
        <v>1.058889</v>
      </c>
    </row>
    <row r="4670" spans="1:3" x14ac:dyDescent="0.3">
      <c r="A4670" s="1" t="s">
        <v>514</v>
      </c>
      <c r="B4670" t="s">
        <v>163</v>
      </c>
      <c r="C4670" s="1">
        <v>1.068773</v>
      </c>
    </row>
    <row r="4671" spans="1:3" x14ac:dyDescent="0.3">
      <c r="A4671" s="1" t="s">
        <v>514</v>
      </c>
      <c r="B4671" t="s">
        <v>164</v>
      </c>
      <c r="C4671" s="1">
        <v>1.0410980000000001</v>
      </c>
    </row>
    <row r="4672" spans="1:3" x14ac:dyDescent="0.3">
      <c r="A4672" s="1" t="s">
        <v>514</v>
      </c>
      <c r="B4672" t="s">
        <v>165</v>
      </c>
      <c r="C4672" s="1">
        <v>1.0641609999999999</v>
      </c>
    </row>
    <row r="4673" spans="1:3" x14ac:dyDescent="0.3">
      <c r="A4673" s="1" t="s">
        <v>514</v>
      </c>
      <c r="B4673" t="s">
        <v>166</v>
      </c>
      <c r="C4673" s="1">
        <v>1.0753619999999999</v>
      </c>
    </row>
    <row r="4674" spans="1:3" x14ac:dyDescent="0.3">
      <c r="A4674" s="1" t="s">
        <v>514</v>
      </c>
      <c r="B4674" t="s">
        <v>167</v>
      </c>
      <c r="C4674" s="1">
        <v>1.056254</v>
      </c>
    </row>
    <row r="4675" spans="1:3" x14ac:dyDescent="0.3">
      <c r="A4675" s="1" t="s">
        <v>514</v>
      </c>
      <c r="B4675" t="s">
        <v>168</v>
      </c>
      <c r="C4675" s="1">
        <v>1.0312140000000001</v>
      </c>
    </row>
    <row r="4676" spans="1:3" x14ac:dyDescent="0.3">
      <c r="A4676" s="1" t="s">
        <v>514</v>
      </c>
      <c r="B4676" t="s">
        <v>169</v>
      </c>
      <c r="C4676" s="1">
        <v>1.053947</v>
      </c>
    </row>
    <row r="4677" spans="1:3" x14ac:dyDescent="0.3">
      <c r="A4677" s="1" t="s">
        <v>514</v>
      </c>
      <c r="B4677" t="s">
        <v>170</v>
      </c>
      <c r="C4677" s="1">
        <v>1.074044</v>
      </c>
    </row>
    <row r="4678" spans="1:3" x14ac:dyDescent="0.3">
      <c r="A4678" s="1" t="s">
        <v>514</v>
      </c>
      <c r="B4678" t="s">
        <v>171</v>
      </c>
      <c r="C4678" s="1">
        <v>1.090517</v>
      </c>
    </row>
    <row r="4679" spans="1:3" x14ac:dyDescent="0.3">
      <c r="A4679" s="1" t="s">
        <v>514</v>
      </c>
      <c r="B4679" t="s">
        <v>172</v>
      </c>
      <c r="C4679" s="1">
        <v>1.1175330000000001</v>
      </c>
    </row>
    <row r="4680" spans="1:3" x14ac:dyDescent="0.3">
      <c r="A4680" s="1" t="s">
        <v>514</v>
      </c>
      <c r="B4680" t="s">
        <v>173</v>
      </c>
      <c r="C4680" s="1">
        <v>1.4202360000000001</v>
      </c>
    </row>
    <row r="4681" spans="1:3" x14ac:dyDescent="0.3">
      <c r="A4681" s="1" t="s">
        <v>514</v>
      </c>
      <c r="B4681" t="s">
        <v>174</v>
      </c>
      <c r="C4681" s="1">
        <v>1.4072309999999999</v>
      </c>
    </row>
    <row r="4682" spans="1:3" x14ac:dyDescent="0.3">
      <c r="A4682" s="1" t="s">
        <v>514</v>
      </c>
      <c r="B4682" t="s">
        <v>175</v>
      </c>
      <c r="C4682" s="1">
        <v>1.4588030000000001</v>
      </c>
    </row>
    <row r="4683" spans="1:3" x14ac:dyDescent="0.3">
      <c r="A4683" s="1" t="s">
        <v>514</v>
      </c>
      <c r="B4683" t="s">
        <v>176</v>
      </c>
      <c r="C4683" s="1">
        <v>1.457457</v>
      </c>
    </row>
    <row r="4684" spans="1:3" x14ac:dyDescent="0.3">
      <c r="A4684" s="1" t="s">
        <v>514</v>
      </c>
      <c r="B4684" t="s">
        <v>177</v>
      </c>
      <c r="C4684" s="1">
        <v>1.4440040000000001</v>
      </c>
    </row>
    <row r="4685" spans="1:3" x14ac:dyDescent="0.3">
      <c r="A4685" s="1" t="s">
        <v>514</v>
      </c>
      <c r="B4685" t="s">
        <v>178</v>
      </c>
      <c r="C4685" s="1">
        <v>1.465978</v>
      </c>
    </row>
    <row r="4686" spans="1:3" x14ac:dyDescent="0.3">
      <c r="A4686" s="1" t="s">
        <v>514</v>
      </c>
      <c r="B4686" t="s">
        <v>179</v>
      </c>
      <c r="C4686" s="1">
        <v>1.4368289999999999</v>
      </c>
    </row>
    <row r="4687" spans="1:3" x14ac:dyDescent="0.3">
      <c r="A4687" s="1" t="s">
        <v>514</v>
      </c>
      <c r="B4687" t="s">
        <v>180</v>
      </c>
      <c r="C4687" s="1">
        <v>1.445349</v>
      </c>
    </row>
    <row r="4688" spans="1:3" x14ac:dyDescent="0.3">
      <c r="A4688" s="1" t="s">
        <v>514</v>
      </c>
      <c r="B4688" t="s">
        <v>181</v>
      </c>
      <c r="C4688" s="1">
        <v>1.4682200000000001</v>
      </c>
    </row>
    <row r="4689" spans="1:3" x14ac:dyDescent="0.3">
      <c r="A4689" s="1" t="s">
        <v>514</v>
      </c>
      <c r="B4689" t="s">
        <v>182</v>
      </c>
      <c r="C4689" s="1">
        <v>1.4592510000000001</v>
      </c>
    </row>
    <row r="4690" spans="1:3" x14ac:dyDescent="0.3">
      <c r="A4690" s="1" t="s">
        <v>514</v>
      </c>
      <c r="B4690" t="s">
        <v>183</v>
      </c>
      <c r="C4690" s="1">
        <v>1.400056</v>
      </c>
    </row>
    <row r="4691" spans="1:3" x14ac:dyDescent="0.3">
      <c r="A4691" s="1" t="s">
        <v>514</v>
      </c>
      <c r="B4691" t="s">
        <v>184</v>
      </c>
      <c r="C4691" s="1">
        <v>1.391535</v>
      </c>
    </row>
    <row r="4692" spans="1:3" x14ac:dyDescent="0.3">
      <c r="A4692" s="1" t="s">
        <v>514</v>
      </c>
      <c r="B4692" t="s">
        <v>185</v>
      </c>
      <c r="C4692" s="1">
        <v>1.3857060000000001</v>
      </c>
    </row>
    <row r="4693" spans="1:3" x14ac:dyDescent="0.3">
      <c r="A4693" s="1" t="s">
        <v>514</v>
      </c>
      <c r="B4693" t="s">
        <v>186</v>
      </c>
      <c r="C4693" s="1">
        <v>1.397365</v>
      </c>
    </row>
    <row r="4694" spans="1:3" x14ac:dyDescent="0.3">
      <c r="A4694" s="1" t="s">
        <v>514</v>
      </c>
      <c r="B4694" t="s">
        <v>187</v>
      </c>
      <c r="C4694" s="1">
        <v>1.38167</v>
      </c>
    </row>
    <row r="4695" spans="1:3" x14ac:dyDescent="0.3">
      <c r="A4695" s="1" t="s">
        <v>514</v>
      </c>
      <c r="B4695" t="s">
        <v>188</v>
      </c>
      <c r="C4695" s="1">
        <v>1.412612</v>
      </c>
    </row>
    <row r="4696" spans="1:3" x14ac:dyDescent="0.3">
      <c r="A4696" s="1" t="s">
        <v>514</v>
      </c>
      <c r="B4696" t="s">
        <v>189</v>
      </c>
      <c r="C4696" s="1">
        <v>1.4350350000000001</v>
      </c>
    </row>
    <row r="4697" spans="1:3" x14ac:dyDescent="0.3">
      <c r="A4697" s="1" t="s">
        <v>514</v>
      </c>
      <c r="B4697" t="s">
        <v>190</v>
      </c>
      <c r="C4697" s="1">
        <v>1.430102</v>
      </c>
    </row>
    <row r="4698" spans="1:3" x14ac:dyDescent="0.3">
      <c r="A4698" s="1" t="s">
        <v>514</v>
      </c>
      <c r="B4698" t="s">
        <v>191</v>
      </c>
      <c r="C4698" s="1">
        <v>1.362835</v>
      </c>
    </row>
    <row r="4699" spans="1:3" x14ac:dyDescent="0.3">
      <c r="A4699" s="1" t="s">
        <v>514</v>
      </c>
      <c r="B4699" t="s">
        <v>192</v>
      </c>
      <c r="C4699" s="1">
        <v>1.3866019999999999</v>
      </c>
    </row>
    <row r="4700" spans="1:3" x14ac:dyDescent="0.3">
      <c r="A4700" s="1" t="s">
        <v>514</v>
      </c>
      <c r="B4700" t="s">
        <v>193</v>
      </c>
      <c r="C4700" s="1">
        <v>1.3587990000000001</v>
      </c>
    </row>
    <row r="4701" spans="1:3" x14ac:dyDescent="0.3">
      <c r="A4701" s="1" t="s">
        <v>514</v>
      </c>
      <c r="B4701" t="s">
        <v>194</v>
      </c>
      <c r="C4701" s="1">
        <v>1.3677680000000001</v>
      </c>
    </row>
    <row r="4702" spans="1:3" x14ac:dyDescent="0.3">
      <c r="A4702" s="1" t="s">
        <v>514</v>
      </c>
      <c r="B4702" t="s">
        <v>195</v>
      </c>
      <c r="C4702" s="1">
        <v>1.38436</v>
      </c>
    </row>
    <row r="4703" spans="1:3" x14ac:dyDescent="0.3">
      <c r="A4703" s="1" t="s">
        <v>514</v>
      </c>
      <c r="B4703" t="s">
        <v>196</v>
      </c>
      <c r="C4703" s="1">
        <v>1.3709070000000001</v>
      </c>
    </row>
    <row r="4704" spans="1:3" x14ac:dyDescent="0.3">
      <c r="A4704" s="1" t="s">
        <v>514</v>
      </c>
      <c r="B4704" t="s">
        <v>197</v>
      </c>
      <c r="C4704" s="1">
        <v>1.3892929999999999</v>
      </c>
    </row>
    <row r="4705" spans="1:3" x14ac:dyDescent="0.3">
      <c r="A4705" s="1" t="s">
        <v>514</v>
      </c>
      <c r="B4705" t="s">
        <v>198</v>
      </c>
      <c r="C4705" s="1">
        <v>1.345345</v>
      </c>
    </row>
    <row r="4706" spans="1:3" x14ac:dyDescent="0.3">
      <c r="A4706" s="1" t="s">
        <v>514</v>
      </c>
      <c r="B4706" t="s">
        <v>199</v>
      </c>
      <c r="C4706" s="1">
        <v>1.315299</v>
      </c>
    </row>
    <row r="4707" spans="1:3" x14ac:dyDescent="0.3">
      <c r="A4707" s="1" t="s">
        <v>514</v>
      </c>
      <c r="B4707" t="s">
        <v>200</v>
      </c>
      <c r="C4707" s="1">
        <v>1.3099179999999999</v>
      </c>
    </row>
    <row r="4708" spans="1:3" x14ac:dyDescent="0.3">
      <c r="A4708" s="1" t="s">
        <v>514</v>
      </c>
      <c r="B4708" t="s">
        <v>201</v>
      </c>
      <c r="C4708" s="1">
        <v>1.3641799999999999</v>
      </c>
    </row>
    <row r="4709" spans="1:3" x14ac:dyDescent="0.3">
      <c r="A4709" s="1" t="s">
        <v>514</v>
      </c>
      <c r="B4709" t="s">
        <v>202</v>
      </c>
      <c r="C4709" s="1">
        <v>1.3386180000000001</v>
      </c>
    </row>
    <row r="4710" spans="1:3" x14ac:dyDescent="0.3">
      <c r="A4710" s="1" t="s">
        <v>514</v>
      </c>
      <c r="B4710" t="s">
        <v>203</v>
      </c>
      <c r="C4710" s="1">
        <v>1.3368249999999999</v>
      </c>
    </row>
    <row r="4711" spans="1:3" x14ac:dyDescent="0.3">
      <c r="A4711" s="1" t="s">
        <v>514</v>
      </c>
      <c r="B4711" t="s">
        <v>204</v>
      </c>
      <c r="C4711" s="1">
        <v>1.3130569999999999</v>
      </c>
    </row>
    <row r="4712" spans="1:3" x14ac:dyDescent="0.3">
      <c r="A4712" s="1" t="s">
        <v>514</v>
      </c>
      <c r="B4712" t="s">
        <v>205</v>
      </c>
      <c r="C4712" s="1">
        <v>1.3354790000000001</v>
      </c>
    </row>
    <row r="4713" spans="1:3" x14ac:dyDescent="0.3">
      <c r="A4713" s="1" t="s">
        <v>514</v>
      </c>
      <c r="B4713" t="s">
        <v>206</v>
      </c>
      <c r="C4713" s="1">
        <v>1.3561080000000001</v>
      </c>
    </row>
    <row r="4714" spans="1:3" x14ac:dyDescent="0.3">
      <c r="A4714" s="1" t="s">
        <v>514</v>
      </c>
      <c r="B4714" t="s">
        <v>207</v>
      </c>
      <c r="C4714" s="1">
        <v>1.363283</v>
      </c>
    </row>
    <row r="4715" spans="1:3" x14ac:dyDescent="0.3">
      <c r="A4715" s="1" t="s">
        <v>514</v>
      </c>
      <c r="B4715" t="s">
        <v>208</v>
      </c>
      <c r="C4715" s="1">
        <v>1.399159</v>
      </c>
    </row>
    <row r="4716" spans="1:3" x14ac:dyDescent="0.3">
      <c r="A4716" s="1" t="s">
        <v>514</v>
      </c>
      <c r="B4716" t="s">
        <v>209</v>
      </c>
      <c r="C4716" s="1">
        <v>1.382566</v>
      </c>
    </row>
    <row r="4717" spans="1:3" x14ac:dyDescent="0.3">
      <c r="A4717" s="1" t="s">
        <v>514</v>
      </c>
      <c r="B4717" t="s">
        <v>210</v>
      </c>
      <c r="C4717" s="1">
        <v>1.406334</v>
      </c>
    </row>
    <row r="4718" spans="1:3" x14ac:dyDescent="0.3">
      <c r="A4718" s="1" t="s">
        <v>514</v>
      </c>
      <c r="B4718" t="s">
        <v>211</v>
      </c>
      <c r="C4718" s="1">
        <v>1.399159</v>
      </c>
    </row>
    <row r="4719" spans="1:3" x14ac:dyDescent="0.3">
      <c r="A4719" s="1" t="s">
        <v>514</v>
      </c>
      <c r="B4719" t="s">
        <v>212</v>
      </c>
      <c r="C4719" s="1">
        <v>1.4435549999999999</v>
      </c>
    </row>
    <row r="4720" spans="1:3" x14ac:dyDescent="0.3">
      <c r="A4720" s="1" t="s">
        <v>514</v>
      </c>
      <c r="B4720" t="s">
        <v>213</v>
      </c>
      <c r="C4720" s="1">
        <v>1.4408650000000001</v>
      </c>
    </row>
    <row r="4721" spans="1:3" x14ac:dyDescent="0.3">
      <c r="A4721" s="1" t="s">
        <v>514</v>
      </c>
      <c r="B4721" t="s">
        <v>214</v>
      </c>
      <c r="C4721" s="1">
        <v>1.4709110000000001</v>
      </c>
    </row>
    <row r="4722" spans="1:3" x14ac:dyDescent="0.3">
      <c r="A4722" s="1" t="s">
        <v>514</v>
      </c>
      <c r="B4722" t="s">
        <v>215</v>
      </c>
      <c r="C4722" s="1">
        <v>1.4552149999999999</v>
      </c>
    </row>
    <row r="4723" spans="1:3" x14ac:dyDescent="0.3">
      <c r="A4723" s="1" t="s">
        <v>514</v>
      </c>
      <c r="B4723" t="s">
        <v>216</v>
      </c>
      <c r="C4723" s="1">
        <v>1.4327920000000001</v>
      </c>
    </row>
    <row r="4724" spans="1:3" x14ac:dyDescent="0.3">
      <c r="A4724" s="1" t="s">
        <v>514</v>
      </c>
      <c r="B4724" t="s">
        <v>217</v>
      </c>
      <c r="C4724" s="1">
        <v>1.4099219999999999</v>
      </c>
    </row>
    <row r="4725" spans="1:3" x14ac:dyDescent="0.3">
      <c r="A4725" s="1" t="s">
        <v>514</v>
      </c>
      <c r="B4725" t="s">
        <v>218</v>
      </c>
      <c r="C4725" s="1">
        <v>1.350727</v>
      </c>
    </row>
    <row r="4726" spans="1:3" x14ac:dyDescent="0.3">
      <c r="A4726" s="1" t="s">
        <v>514</v>
      </c>
      <c r="B4726" t="s">
        <v>219</v>
      </c>
      <c r="C4726" s="1">
        <v>1.3471390000000001</v>
      </c>
    </row>
    <row r="4727" spans="1:3" x14ac:dyDescent="0.3">
      <c r="A4727" s="1" t="s">
        <v>514</v>
      </c>
      <c r="B4727" t="s">
        <v>220</v>
      </c>
      <c r="C4727" s="1">
        <v>1.3735980000000001</v>
      </c>
    </row>
    <row r="4728" spans="1:3" x14ac:dyDescent="0.3">
      <c r="A4728" s="1" t="s">
        <v>514</v>
      </c>
      <c r="B4728" t="s">
        <v>221</v>
      </c>
      <c r="C4728" s="1">
        <v>1.4529730000000001</v>
      </c>
    </row>
    <row r="4729" spans="1:3" x14ac:dyDescent="0.3">
      <c r="A4729" s="1" t="s">
        <v>514</v>
      </c>
      <c r="B4729" t="s">
        <v>222</v>
      </c>
      <c r="C4729" s="1">
        <v>1.4381740000000001</v>
      </c>
    </row>
    <row r="4730" spans="1:3" x14ac:dyDescent="0.3">
      <c r="A4730" s="1" t="s">
        <v>514</v>
      </c>
      <c r="B4730" t="s">
        <v>223</v>
      </c>
      <c r="C4730" s="1">
        <v>1.4413130000000001</v>
      </c>
    </row>
    <row r="4731" spans="1:3" x14ac:dyDescent="0.3">
      <c r="A4731" s="1" t="s">
        <v>514</v>
      </c>
      <c r="B4731" t="s">
        <v>224</v>
      </c>
      <c r="C4731" s="1">
        <v>1.439519</v>
      </c>
    </row>
    <row r="4732" spans="1:3" x14ac:dyDescent="0.3">
      <c r="A4732" s="1" t="s">
        <v>514</v>
      </c>
      <c r="B4732" t="s">
        <v>225</v>
      </c>
      <c r="C4732" s="1">
        <v>1.496472</v>
      </c>
    </row>
    <row r="4733" spans="1:3" x14ac:dyDescent="0.3">
      <c r="A4733" s="1" t="s">
        <v>514</v>
      </c>
      <c r="B4733" t="s">
        <v>226</v>
      </c>
      <c r="C4733" s="1">
        <v>1.4677720000000001</v>
      </c>
    </row>
    <row r="4734" spans="1:3" x14ac:dyDescent="0.3">
      <c r="A4734" s="1" t="s">
        <v>514</v>
      </c>
      <c r="B4734" t="s">
        <v>227</v>
      </c>
      <c r="C4734" s="1">
        <v>1.5067870000000001</v>
      </c>
    </row>
    <row r="4735" spans="1:3" x14ac:dyDescent="0.3">
      <c r="A4735" s="1" t="s">
        <v>514</v>
      </c>
      <c r="B4735" t="s">
        <v>228</v>
      </c>
      <c r="C4735" s="1">
        <v>1.4892970000000001</v>
      </c>
    </row>
    <row r="4736" spans="1:3" x14ac:dyDescent="0.3">
      <c r="A4736" s="1" t="s">
        <v>514</v>
      </c>
      <c r="B4736" t="s">
        <v>229</v>
      </c>
      <c r="C4736" s="1">
        <v>1.503647</v>
      </c>
    </row>
    <row r="4737" spans="1:3" x14ac:dyDescent="0.3">
      <c r="A4737" s="1" t="s">
        <v>514</v>
      </c>
      <c r="B4737" t="s">
        <v>230</v>
      </c>
      <c r="C4737" s="1">
        <v>1.4910909999999999</v>
      </c>
    </row>
    <row r="4738" spans="1:3" x14ac:dyDescent="0.3">
      <c r="A4738" s="1" t="s">
        <v>514</v>
      </c>
      <c r="B4738" t="s">
        <v>231</v>
      </c>
      <c r="C4738" s="1">
        <v>1.4969209999999999</v>
      </c>
    </row>
    <row r="4739" spans="1:3" x14ac:dyDescent="0.3">
      <c r="A4739" s="1" t="s">
        <v>514</v>
      </c>
      <c r="B4739" t="s">
        <v>232</v>
      </c>
      <c r="C4739" s="1">
        <v>1.497369</v>
      </c>
    </row>
    <row r="4740" spans="1:3" x14ac:dyDescent="0.3">
      <c r="A4740" s="1" t="s">
        <v>514</v>
      </c>
      <c r="B4740" t="s">
        <v>233</v>
      </c>
      <c r="C4740" s="1">
        <v>1.4915389999999999</v>
      </c>
    </row>
    <row r="4741" spans="1:3" x14ac:dyDescent="0.3">
      <c r="A4741" s="1" t="s">
        <v>514</v>
      </c>
      <c r="B4741" t="s">
        <v>234</v>
      </c>
      <c r="C4741" s="1">
        <v>1.50589</v>
      </c>
    </row>
    <row r="4742" spans="1:3" x14ac:dyDescent="0.3">
      <c r="A4742" s="1" t="s">
        <v>514</v>
      </c>
      <c r="B4742" t="s">
        <v>235</v>
      </c>
      <c r="C4742" s="1">
        <v>1.5014050000000001</v>
      </c>
    </row>
    <row r="4743" spans="1:3" x14ac:dyDescent="0.3">
      <c r="A4743" s="1" t="s">
        <v>514</v>
      </c>
      <c r="B4743" t="s">
        <v>236</v>
      </c>
      <c r="C4743" s="1">
        <v>1.499163</v>
      </c>
    </row>
    <row r="4744" spans="1:3" x14ac:dyDescent="0.3">
      <c r="A4744" s="1" t="s">
        <v>514</v>
      </c>
      <c r="B4744" t="s">
        <v>237</v>
      </c>
      <c r="C4744" s="1">
        <v>1.4919880000000001</v>
      </c>
    </row>
    <row r="4745" spans="1:3" x14ac:dyDescent="0.3">
      <c r="A4745" s="1" t="s">
        <v>514</v>
      </c>
      <c r="B4745" t="s">
        <v>238</v>
      </c>
      <c r="C4745" s="1">
        <v>1.4951270000000001</v>
      </c>
    </row>
    <row r="4746" spans="1:3" x14ac:dyDescent="0.3">
      <c r="A4746" s="1" t="s">
        <v>514</v>
      </c>
      <c r="B4746" t="s">
        <v>239</v>
      </c>
      <c r="C4746" s="1">
        <v>1.5130650000000001</v>
      </c>
    </row>
    <row r="4747" spans="1:3" x14ac:dyDescent="0.3">
      <c r="A4747" s="1" t="s">
        <v>514</v>
      </c>
      <c r="B4747" t="s">
        <v>240</v>
      </c>
      <c r="C4747" s="1">
        <v>1.52024</v>
      </c>
    </row>
    <row r="4748" spans="1:3" x14ac:dyDescent="0.3">
      <c r="A4748" s="1" t="s">
        <v>514</v>
      </c>
      <c r="B4748" t="s">
        <v>241</v>
      </c>
      <c r="C4748" s="1">
        <v>1.538626</v>
      </c>
    </row>
    <row r="4749" spans="1:3" x14ac:dyDescent="0.3">
      <c r="A4749" s="1" t="s">
        <v>514</v>
      </c>
      <c r="B4749" t="s">
        <v>242</v>
      </c>
      <c r="C4749" s="1">
        <v>1.5493889999999999</v>
      </c>
    </row>
    <row r="4750" spans="1:3" x14ac:dyDescent="0.3">
      <c r="A4750" s="1" t="s">
        <v>514</v>
      </c>
      <c r="B4750" t="s">
        <v>243</v>
      </c>
      <c r="C4750" s="1">
        <v>1.574951</v>
      </c>
    </row>
    <row r="4751" spans="1:3" x14ac:dyDescent="0.3">
      <c r="A4751" s="1" t="s">
        <v>514</v>
      </c>
      <c r="B4751" t="s">
        <v>244</v>
      </c>
      <c r="C4751" s="1">
        <v>1.578538</v>
      </c>
    </row>
    <row r="4752" spans="1:3" x14ac:dyDescent="0.3">
      <c r="A4752" s="1" t="s">
        <v>514</v>
      </c>
      <c r="B4752" t="s">
        <v>245</v>
      </c>
      <c r="C4752" s="1">
        <v>1.574951</v>
      </c>
    </row>
    <row r="4753" spans="1:3" x14ac:dyDescent="0.3">
      <c r="A4753" s="1" t="s">
        <v>514</v>
      </c>
      <c r="B4753" t="s">
        <v>246</v>
      </c>
      <c r="C4753" s="1">
        <v>1.569121</v>
      </c>
    </row>
    <row r="4754" spans="1:3" x14ac:dyDescent="0.3">
      <c r="A4754" s="1" t="s">
        <v>514</v>
      </c>
      <c r="B4754" t="s">
        <v>247</v>
      </c>
      <c r="C4754" s="1">
        <v>1.5655330000000001</v>
      </c>
    </row>
    <row r="4755" spans="1:3" x14ac:dyDescent="0.3">
      <c r="A4755" s="1" t="s">
        <v>514</v>
      </c>
      <c r="B4755" t="s">
        <v>248</v>
      </c>
      <c r="C4755" s="1">
        <v>1.545353</v>
      </c>
    </row>
    <row r="4756" spans="1:3" x14ac:dyDescent="0.3">
      <c r="A4756" s="1" t="s">
        <v>514</v>
      </c>
      <c r="B4756" t="s">
        <v>249</v>
      </c>
      <c r="C4756" s="1">
        <v>1.535487</v>
      </c>
    </row>
    <row r="4757" spans="1:3" x14ac:dyDescent="0.3">
      <c r="A4757" s="1" t="s">
        <v>514</v>
      </c>
      <c r="B4757" t="s">
        <v>250</v>
      </c>
      <c r="C4757" s="1">
        <v>1.526518</v>
      </c>
    </row>
    <row r="4758" spans="1:3" x14ac:dyDescent="0.3">
      <c r="A4758" s="1" t="s">
        <v>514</v>
      </c>
      <c r="B4758" t="s">
        <v>251</v>
      </c>
      <c r="C4758" s="1">
        <v>1.5314509999999999</v>
      </c>
    </row>
    <row r="4759" spans="1:3" x14ac:dyDescent="0.3">
      <c r="A4759" s="1" t="s">
        <v>514</v>
      </c>
      <c r="B4759" t="s">
        <v>252</v>
      </c>
      <c r="C4759" s="1">
        <v>1.490642</v>
      </c>
    </row>
    <row r="4760" spans="1:3" x14ac:dyDescent="0.3">
      <c r="A4760" s="1" t="s">
        <v>514</v>
      </c>
      <c r="B4760" t="s">
        <v>253</v>
      </c>
      <c r="C4760" s="1">
        <v>1.4825699999999999</v>
      </c>
    </row>
    <row r="4761" spans="1:3" x14ac:dyDescent="0.3">
      <c r="A4761" s="1" t="s">
        <v>514</v>
      </c>
      <c r="B4761" t="s">
        <v>254</v>
      </c>
      <c r="C4761" s="1">
        <v>1.501854</v>
      </c>
    </row>
    <row r="4762" spans="1:3" x14ac:dyDescent="0.3">
      <c r="A4762" s="1" t="s">
        <v>514</v>
      </c>
      <c r="B4762" t="s">
        <v>255</v>
      </c>
      <c r="C4762" s="1">
        <v>1.5103740000000001</v>
      </c>
    </row>
    <row r="4763" spans="1:3" x14ac:dyDescent="0.3">
      <c r="A4763" s="1" t="s">
        <v>514</v>
      </c>
      <c r="B4763" t="s">
        <v>256</v>
      </c>
      <c r="C4763" s="1">
        <v>1.4955750000000001</v>
      </c>
    </row>
    <row r="4764" spans="1:3" x14ac:dyDescent="0.3">
      <c r="A4764" s="1" t="s">
        <v>514</v>
      </c>
      <c r="B4764" t="s">
        <v>257</v>
      </c>
      <c r="C4764" s="1">
        <v>1.4740500000000001</v>
      </c>
    </row>
    <row r="4765" spans="1:3" x14ac:dyDescent="0.3">
      <c r="A4765" s="1" t="s">
        <v>514</v>
      </c>
      <c r="B4765" t="s">
        <v>258</v>
      </c>
      <c r="C4765" s="1">
        <v>1.474947</v>
      </c>
    </row>
    <row r="4766" spans="1:3" x14ac:dyDescent="0.3">
      <c r="A4766" s="1" t="s">
        <v>514</v>
      </c>
      <c r="B4766" t="s">
        <v>259</v>
      </c>
      <c r="C4766" s="1">
        <v>1.4910909999999999</v>
      </c>
    </row>
    <row r="4767" spans="1:3" x14ac:dyDescent="0.3">
      <c r="A4767" s="1" t="s">
        <v>514</v>
      </c>
      <c r="B4767" t="s">
        <v>260</v>
      </c>
      <c r="C4767" s="1">
        <v>1.497369</v>
      </c>
    </row>
    <row r="4768" spans="1:3" x14ac:dyDescent="0.3">
      <c r="A4768" s="1" t="s">
        <v>514</v>
      </c>
      <c r="B4768" t="s">
        <v>261</v>
      </c>
      <c r="C4768" s="1">
        <v>1.5157560000000001</v>
      </c>
    </row>
    <row r="4769" spans="1:3" x14ac:dyDescent="0.3">
      <c r="A4769" s="1" t="s">
        <v>514</v>
      </c>
      <c r="B4769" t="s">
        <v>262</v>
      </c>
      <c r="C4769" s="1">
        <v>1.5040960000000001</v>
      </c>
    </row>
    <row r="4770" spans="1:3" x14ac:dyDescent="0.3">
      <c r="A4770" s="1" t="s">
        <v>514</v>
      </c>
      <c r="B4770" t="s">
        <v>263</v>
      </c>
      <c r="C4770" s="1">
        <v>1.4861580000000001</v>
      </c>
    </row>
    <row r="4771" spans="1:3" x14ac:dyDescent="0.3">
      <c r="A4771" s="1" t="s">
        <v>514</v>
      </c>
      <c r="B4771" t="s">
        <v>264</v>
      </c>
      <c r="C4771" s="1">
        <v>1.4736009999999999</v>
      </c>
    </row>
    <row r="4772" spans="1:3" x14ac:dyDescent="0.3">
      <c r="A4772" s="1" t="s">
        <v>514</v>
      </c>
      <c r="B4772" t="s">
        <v>265</v>
      </c>
      <c r="C4772" s="1">
        <v>1.4641839999999999</v>
      </c>
    </row>
    <row r="4773" spans="1:3" x14ac:dyDescent="0.3">
      <c r="A4773" s="1" t="s">
        <v>514</v>
      </c>
      <c r="B4773" t="s">
        <v>266</v>
      </c>
      <c r="C4773" s="1">
        <v>1.4825699999999999</v>
      </c>
    </row>
    <row r="4774" spans="1:3" x14ac:dyDescent="0.3">
      <c r="A4774" s="1" t="s">
        <v>514</v>
      </c>
      <c r="B4774" t="s">
        <v>267</v>
      </c>
      <c r="C4774" s="1">
        <v>1.4637359999999999</v>
      </c>
    </row>
    <row r="4775" spans="1:3" x14ac:dyDescent="0.3">
      <c r="A4775" s="1" t="s">
        <v>514</v>
      </c>
      <c r="B4775" t="s">
        <v>268</v>
      </c>
      <c r="C4775" s="1">
        <v>1.4520759999999999</v>
      </c>
    </row>
    <row r="4776" spans="1:3" x14ac:dyDescent="0.3">
      <c r="A4776" s="1" t="s">
        <v>514</v>
      </c>
      <c r="B4776" t="s">
        <v>269</v>
      </c>
      <c r="C4776" s="1">
        <v>1.4821219999999999</v>
      </c>
    </row>
    <row r="4777" spans="1:3" x14ac:dyDescent="0.3">
      <c r="A4777" s="1" t="s">
        <v>514</v>
      </c>
      <c r="B4777" t="s">
        <v>270</v>
      </c>
      <c r="C4777" s="1">
        <v>1.4767399999999999</v>
      </c>
    </row>
    <row r="4778" spans="1:3" x14ac:dyDescent="0.3">
      <c r="A4778" s="1" t="s">
        <v>514</v>
      </c>
      <c r="B4778" t="s">
        <v>271</v>
      </c>
      <c r="C4778" s="1">
        <v>1.4731529999999999</v>
      </c>
    </row>
    <row r="4779" spans="1:3" x14ac:dyDescent="0.3">
      <c r="A4779" s="1" t="s">
        <v>514</v>
      </c>
      <c r="B4779" t="s">
        <v>272</v>
      </c>
      <c r="C4779" s="1">
        <v>1.4736009999999999</v>
      </c>
    </row>
    <row r="4780" spans="1:3" x14ac:dyDescent="0.3">
      <c r="A4780" s="1" t="s">
        <v>514</v>
      </c>
      <c r="B4780" t="s">
        <v>273</v>
      </c>
      <c r="C4780" s="1">
        <v>1.4641839999999999</v>
      </c>
    </row>
    <row r="4781" spans="1:3" x14ac:dyDescent="0.3">
      <c r="A4781" s="1" t="s">
        <v>514</v>
      </c>
      <c r="B4781" t="s">
        <v>274</v>
      </c>
      <c r="C4781" s="1">
        <v>1.4507300000000001</v>
      </c>
    </row>
    <row r="4782" spans="1:3" x14ac:dyDescent="0.3">
      <c r="A4782" s="1" t="s">
        <v>514</v>
      </c>
      <c r="B4782" t="s">
        <v>275</v>
      </c>
      <c r="C4782" s="1">
        <v>1.4507300000000001</v>
      </c>
    </row>
    <row r="4783" spans="1:3" x14ac:dyDescent="0.3">
      <c r="A4783" s="1" t="s">
        <v>514</v>
      </c>
      <c r="B4783" t="s">
        <v>276</v>
      </c>
      <c r="C4783" s="1">
        <v>1.4713590000000001</v>
      </c>
    </row>
    <row r="4784" spans="1:3" x14ac:dyDescent="0.3">
      <c r="A4784" s="1" t="s">
        <v>514</v>
      </c>
      <c r="B4784" t="s">
        <v>277</v>
      </c>
      <c r="C4784" s="1">
        <v>1.472256</v>
      </c>
    </row>
    <row r="4785" spans="1:3" x14ac:dyDescent="0.3">
      <c r="A4785" s="1" t="s">
        <v>514</v>
      </c>
      <c r="B4785" t="s">
        <v>278</v>
      </c>
      <c r="C4785" s="1">
        <v>1.478534</v>
      </c>
    </row>
    <row r="4786" spans="1:3" x14ac:dyDescent="0.3">
      <c r="A4786" s="1" t="s">
        <v>514</v>
      </c>
      <c r="B4786" t="s">
        <v>279</v>
      </c>
      <c r="C4786" s="1">
        <v>1.50589</v>
      </c>
    </row>
    <row r="4787" spans="1:3" x14ac:dyDescent="0.3">
      <c r="A4787" s="1" t="s">
        <v>514</v>
      </c>
      <c r="B4787" t="s">
        <v>280</v>
      </c>
      <c r="C4787" s="1">
        <v>1.4852609999999999</v>
      </c>
    </row>
    <row r="4788" spans="1:3" x14ac:dyDescent="0.3">
      <c r="A4788" s="1" t="s">
        <v>514</v>
      </c>
      <c r="B4788" t="s">
        <v>281</v>
      </c>
      <c r="C4788" s="1">
        <v>1.5157560000000001</v>
      </c>
    </row>
    <row r="4789" spans="1:3" x14ac:dyDescent="0.3">
      <c r="A4789" s="1" t="s">
        <v>514</v>
      </c>
      <c r="B4789" t="s">
        <v>282</v>
      </c>
      <c r="C4789" s="1">
        <v>1.503199</v>
      </c>
    </row>
    <row r="4790" spans="1:3" x14ac:dyDescent="0.3">
      <c r="A4790" s="1" t="s">
        <v>514</v>
      </c>
      <c r="B4790" t="s">
        <v>283</v>
      </c>
      <c r="C4790" s="1">
        <v>1.499611</v>
      </c>
    </row>
    <row r="4791" spans="1:3" x14ac:dyDescent="0.3">
      <c r="A4791" s="1" t="s">
        <v>514</v>
      </c>
      <c r="B4791" t="s">
        <v>284</v>
      </c>
      <c r="C4791" s="1">
        <v>1.4888490000000001</v>
      </c>
    </row>
    <row r="4792" spans="1:3" x14ac:dyDescent="0.3">
      <c r="A4792" s="1" t="s">
        <v>514</v>
      </c>
      <c r="B4792" t="s">
        <v>285</v>
      </c>
      <c r="C4792" s="1">
        <v>1.4942299999999999</v>
      </c>
    </row>
    <row r="4793" spans="1:3" x14ac:dyDescent="0.3">
      <c r="A4793" s="1" t="s">
        <v>514</v>
      </c>
      <c r="B4793" t="s">
        <v>286</v>
      </c>
      <c r="C4793" s="1">
        <v>1.521137</v>
      </c>
    </row>
    <row r="4794" spans="1:3" x14ac:dyDescent="0.3">
      <c r="A4794" s="1" t="s">
        <v>514</v>
      </c>
      <c r="B4794" t="s">
        <v>287</v>
      </c>
      <c r="C4794" s="1">
        <v>1.5287599999999999</v>
      </c>
    </row>
    <row r="4795" spans="1:3" x14ac:dyDescent="0.3">
      <c r="A4795" s="1" t="s">
        <v>514</v>
      </c>
      <c r="B4795" t="s">
        <v>288</v>
      </c>
      <c r="C4795" s="1">
        <v>1.5135130000000001</v>
      </c>
    </row>
    <row r="4796" spans="1:3" x14ac:dyDescent="0.3">
      <c r="A4796" s="1" t="s">
        <v>514</v>
      </c>
      <c r="B4796" t="s">
        <v>289</v>
      </c>
      <c r="C4796" s="1">
        <v>1.4897450000000001</v>
      </c>
    </row>
    <row r="4797" spans="1:3" x14ac:dyDescent="0.3">
      <c r="A4797" s="1" t="s">
        <v>514</v>
      </c>
      <c r="B4797" t="s">
        <v>290</v>
      </c>
      <c r="C4797" s="1">
        <v>1.5278640000000001</v>
      </c>
    </row>
    <row r="4798" spans="1:3" x14ac:dyDescent="0.3">
      <c r="A4798" s="1" t="s">
        <v>514</v>
      </c>
      <c r="B4798" t="s">
        <v>291</v>
      </c>
      <c r="C4798" s="1">
        <v>1.5314509999999999</v>
      </c>
    </row>
    <row r="4799" spans="1:3" x14ac:dyDescent="0.3">
      <c r="A4799" s="1" t="s">
        <v>514</v>
      </c>
      <c r="B4799" t="s">
        <v>292</v>
      </c>
      <c r="C4799" s="1">
        <v>1.501854</v>
      </c>
    </row>
    <row r="4800" spans="1:3" x14ac:dyDescent="0.3">
      <c r="A4800" s="1" t="s">
        <v>514</v>
      </c>
      <c r="B4800" t="s">
        <v>293</v>
      </c>
      <c r="C4800" s="1">
        <v>1.4924360000000001</v>
      </c>
    </row>
    <row r="4801" spans="1:3" x14ac:dyDescent="0.3">
      <c r="A4801" s="1" t="s">
        <v>514</v>
      </c>
      <c r="B4801" t="s">
        <v>294</v>
      </c>
      <c r="C4801" s="1">
        <v>1.535039</v>
      </c>
    </row>
    <row r="4802" spans="1:3" x14ac:dyDescent="0.3">
      <c r="A4802" s="1" t="s">
        <v>514</v>
      </c>
      <c r="B4802" t="s">
        <v>295</v>
      </c>
      <c r="C4802" s="1">
        <v>1.5493889999999999</v>
      </c>
    </row>
    <row r="4803" spans="1:3" x14ac:dyDescent="0.3">
      <c r="A4803" s="1" t="s">
        <v>514</v>
      </c>
      <c r="B4803" t="s">
        <v>296</v>
      </c>
      <c r="C4803" s="1">
        <v>1.568673</v>
      </c>
    </row>
    <row r="4804" spans="1:3" x14ac:dyDescent="0.3">
      <c r="A4804" s="1" t="s">
        <v>514</v>
      </c>
      <c r="B4804" t="s">
        <v>297</v>
      </c>
      <c r="C4804" s="1">
        <v>1.554322</v>
      </c>
    </row>
    <row r="4805" spans="1:3" x14ac:dyDescent="0.3">
      <c r="A4805" s="1" t="s">
        <v>514</v>
      </c>
      <c r="B4805" t="s">
        <v>298</v>
      </c>
      <c r="C4805" s="1">
        <v>1.5529770000000001</v>
      </c>
    </row>
    <row r="4806" spans="1:3" x14ac:dyDescent="0.3">
      <c r="A4806" s="1" t="s">
        <v>514</v>
      </c>
      <c r="B4806" t="s">
        <v>299</v>
      </c>
      <c r="C4806" s="1">
        <v>1.5821259999999999</v>
      </c>
    </row>
    <row r="4807" spans="1:3" x14ac:dyDescent="0.3">
      <c r="A4807" s="1" t="s">
        <v>514</v>
      </c>
      <c r="B4807" t="s">
        <v>300</v>
      </c>
      <c r="C4807" s="1">
        <v>1.6426670000000001</v>
      </c>
    </row>
    <row r="4808" spans="1:3" x14ac:dyDescent="0.3">
      <c r="A4808" s="1" t="s">
        <v>514</v>
      </c>
      <c r="B4808" t="s">
        <v>301</v>
      </c>
      <c r="C4808" s="1">
        <v>1.6135170000000001</v>
      </c>
    </row>
    <row r="4809" spans="1:3" x14ac:dyDescent="0.3">
      <c r="A4809" s="1" t="s">
        <v>514</v>
      </c>
      <c r="B4809" t="s">
        <v>302</v>
      </c>
      <c r="C4809" s="1">
        <v>1.638182</v>
      </c>
    </row>
    <row r="4810" spans="1:3" x14ac:dyDescent="0.3">
      <c r="A4810" s="1" t="s">
        <v>514</v>
      </c>
      <c r="B4810" t="s">
        <v>303</v>
      </c>
      <c r="C4810" s="1">
        <v>1.639527</v>
      </c>
    </row>
    <row r="4811" spans="1:3" x14ac:dyDescent="0.3">
      <c r="A4811" s="1" t="s">
        <v>514</v>
      </c>
      <c r="B4811" t="s">
        <v>304</v>
      </c>
      <c r="C4811" s="1">
        <v>1.6556709999999999</v>
      </c>
    </row>
    <row r="4812" spans="1:3" x14ac:dyDescent="0.3">
      <c r="A4812" s="1" t="s">
        <v>514</v>
      </c>
      <c r="B4812" t="s">
        <v>305</v>
      </c>
      <c r="C4812" s="1">
        <v>1.66778</v>
      </c>
    </row>
    <row r="4813" spans="1:3" x14ac:dyDescent="0.3">
      <c r="A4813" s="1" t="s">
        <v>514</v>
      </c>
      <c r="B4813" t="s">
        <v>306</v>
      </c>
      <c r="C4813" s="1">
        <v>1.671367</v>
      </c>
    </row>
    <row r="4814" spans="1:3" x14ac:dyDescent="0.3">
      <c r="A4814" s="1" t="s">
        <v>514</v>
      </c>
      <c r="B4814" t="s">
        <v>307</v>
      </c>
      <c r="C4814" s="1">
        <v>1.660604</v>
      </c>
    </row>
    <row r="4815" spans="1:3" x14ac:dyDescent="0.3">
      <c r="A4815" s="1" t="s">
        <v>514</v>
      </c>
      <c r="B4815" t="s">
        <v>308</v>
      </c>
      <c r="C4815" s="1">
        <v>1.6700219999999999</v>
      </c>
    </row>
    <row r="4816" spans="1:3" x14ac:dyDescent="0.3">
      <c r="A4816" s="1" t="s">
        <v>514</v>
      </c>
      <c r="B4816" t="s">
        <v>309</v>
      </c>
      <c r="C4816" s="1">
        <v>1.669125</v>
      </c>
    </row>
    <row r="4817" spans="1:3" x14ac:dyDescent="0.3">
      <c r="A4817" s="1" t="s">
        <v>514</v>
      </c>
      <c r="B4817" t="s">
        <v>310</v>
      </c>
      <c r="C4817" s="1">
        <v>1.6489450000000001</v>
      </c>
    </row>
    <row r="4818" spans="1:3" x14ac:dyDescent="0.3">
      <c r="A4818" s="1" t="s">
        <v>514</v>
      </c>
      <c r="B4818" t="s">
        <v>311</v>
      </c>
      <c r="C4818" s="1">
        <v>1.6153109999999999</v>
      </c>
    </row>
    <row r="4819" spans="1:3" x14ac:dyDescent="0.3">
      <c r="A4819" s="1" t="s">
        <v>514</v>
      </c>
      <c r="B4819" t="s">
        <v>312</v>
      </c>
      <c r="C4819" s="1">
        <v>2.0547089999999999</v>
      </c>
    </row>
    <row r="4820" spans="1:3" x14ac:dyDescent="0.3">
      <c r="A4820" s="1" t="s">
        <v>514</v>
      </c>
      <c r="B4820" t="s">
        <v>313</v>
      </c>
      <c r="C4820" s="1">
        <v>2.0786220000000002</v>
      </c>
    </row>
    <row r="4821" spans="1:3" x14ac:dyDescent="0.3">
      <c r="A4821" s="1" t="s">
        <v>514</v>
      </c>
      <c r="B4821" t="s">
        <v>314</v>
      </c>
      <c r="C4821" s="1">
        <v>2.05172</v>
      </c>
    </row>
    <row r="4822" spans="1:3" x14ac:dyDescent="0.3">
      <c r="A4822" s="1" t="s">
        <v>514</v>
      </c>
      <c r="B4822" t="s">
        <v>315</v>
      </c>
      <c r="C4822" s="1">
        <v>2.033785</v>
      </c>
    </row>
    <row r="4823" spans="1:3" x14ac:dyDescent="0.3">
      <c r="A4823" s="1" t="s">
        <v>514</v>
      </c>
      <c r="B4823" t="s">
        <v>316</v>
      </c>
      <c r="C4823" s="1">
        <v>1.9668300000000001</v>
      </c>
    </row>
    <row r="4824" spans="1:3" x14ac:dyDescent="0.3">
      <c r="A4824" s="1" t="s">
        <v>514</v>
      </c>
      <c r="B4824" t="s">
        <v>317</v>
      </c>
      <c r="C4824" s="1">
        <v>1.9632430000000001</v>
      </c>
    </row>
    <row r="4825" spans="1:3" x14ac:dyDescent="0.3">
      <c r="A4825" s="1" t="s">
        <v>514</v>
      </c>
      <c r="B4825" t="s">
        <v>318</v>
      </c>
      <c r="C4825" s="1">
        <v>1.9781880000000001</v>
      </c>
    </row>
    <row r="4826" spans="1:3" x14ac:dyDescent="0.3">
      <c r="A4826" s="1" t="s">
        <v>514</v>
      </c>
      <c r="B4826" t="s">
        <v>319</v>
      </c>
      <c r="C4826" s="1">
        <v>2.000308</v>
      </c>
    </row>
    <row r="4827" spans="1:3" x14ac:dyDescent="0.3">
      <c r="A4827" s="1" t="s">
        <v>514</v>
      </c>
      <c r="B4827" t="s">
        <v>320</v>
      </c>
      <c r="C4827" s="1">
        <v>1.9961230000000001</v>
      </c>
    </row>
    <row r="4828" spans="1:3" x14ac:dyDescent="0.3">
      <c r="A4828" s="1" t="s">
        <v>514</v>
      </c>
      <c r="B4828" t="s">
        <v>321</v>
      </c>
      <c r="C4828" s="1">
        <v>2.029601</v>
      </c>
    </row>
    <row r="4829" spans="1:3" x14ac:dyDescent="0.3">
      <c r="A4829" s="1" t="s">
        <v>514</v>
      </c>
      <c r="B4829" t="s">
        <v>322</v>
      </c>
      <c r="C4829" s="1">
        <v>2.0600900000000002</v>
      </c>
    </row>
    <row r="4830" spans="1:3" x14ac:dyDescent="0.3">
      <c r="A4830" s="1" t="s">
        <v>514</v>
      </c>
      <c r="B4830" t="s">
        <v>323</v>
      </c>
      <c r="C4830" s="1">
        <v>2.0218289999999999</v>
      </c>
    </row>
    <row r="4831" spans="1:3" x14ac:dyDescent="0.3">
      <c r="A4831" s="1" t="s">
        <v>514</v>
      </c>
      <c r="B4831" t="s">
        <v>324</v>
      </c>
      <c r="C4831" s="1">
        <v>2.0816110000000001</v>
      </c>
    </row>
    <row r="4832" spans="1:3" x14ac:dyDescent="0.3">
      <c r="A4832" s="1" t="s">
        <v>514</v>
      </c>
      <c r="B4832" t="s">
        <v>325</v>
      </c>
      <c r="C4832" s="1">
        <v>2.0923720000000001</v>
      </c>
    </row>
    <row r="4833" spans="1:3" x14ac:dyDescent="0.3">
      <c r="A4833" s="1" t="s">
        <v>514</v>
      </c>
      <c r="B4833" t="s">
        <v>326</v>
      </c>
      <c r="C4833" s="1">
        <v>2.1204689999999999</v>
      </c>
    </row>
    <row r="4834" spans="1:3" x14ac:dyDescent="0.3">
      <c r="A4834" s="1" t="s">
        <v>514</v>
      </c>
      <c r="B4834" t="s">
        <v>327</v>
      </c>
      <c r="C4834" s="1">
        <v>2.1264479999999999</v>
      </c>
    </row>
    <row r="4835" spans="1:3" x14ac:dyDescent="0.3">
      <c r="A4835" s="1" t="s">
        <v>514</v>
      </c>
      <c r="B4835" t="s">
        <v>328</v>
      </c>
      <c r="C4835" s="1">
        <v>2.103132</v>
      </c>
    </row>
    <row r="4836" spans="1:3" x14ac:dyDescent="0.3">
      <c r="A4836" s="1" t="s">
        <v>514</v>
      </c>
      <c r="B4836" t="s">
        <v>329</v>
      </c>
      <c r="C4836" s="1">
        <v>2.1138940000000002</v>
      </c>
    </row>
    <row r="4837" spans="1:3" x14ac:dyDescent="0.3">
      <c r="A4837" s="1" t="s">
        <v>514</v>
      </c>
      <c r="B4837" t="s">
        <v>330</v>
      </c>
      <c r="C4837" s="1">
        <v>2.1174810000000002</v>
      </c>
    </row>
    <row r="4838" spans="1:3" x14ac:dyDescent="0.3">
      <c r="A4838" s="1" t="s">
        <v>514</v>
      </c>
      <c r="B4838" t="s">
        <v>331</v>
      </c>
      <c r="C4838" s="1">
        <v>2.13123</v>
      </c>
    </row>
    <row r="4839" spans="1:3" x14ac:dyDescent="0.3">
      <c r="A4839" s="1" t="s">
        <v>514</v>
      </c>
      <c r="B4839" t="s">
        <v>332</v>
      </c>
      <c r="C4839" s="1">
        <v>2.1174810000000002</v>
      </c>
    </row>
    <row r="4840" spans="1:3" x14ac:dyDescent="0.3">
      <c r="A4840" s="1" t="s">
        <v>514</v>
      </c>
      <c r="B4840" t="s">
        <v>333</v>
      </c>
      <c r="C4840" s="1">
        <v>2.1623169999999998</v>
      </c>
    </row>
    <row r="4841" spans="1:3" x14ac:dyDescent="0.3">
      <c r="A4841" s="1" t="s">
        <v>514</v>
      </c>
      <c r="B4841" t="s">
        <v>334</v>
      </c>
      <c r="C4841" s="1">
        <v>2.149165</v>
      </c>
    </row>
    <row r="4842" spans="1:3" x14ac:dyDescent="0.3">
      <c r="A4842" s="1" t="s">
        <v>514</v>
      </c>
      <c r="B4842" t="s">
        <v>335</v>
      </c>
      <c r="C4842" s="1">
        <v>2.1509580000000001</v>
      </c>
    </row>
    <row r="4843" spans="1:3" x14ac:dyDescent="0.3">
      <c r="A4843" s="1" t="s">
        <v>514</v>
      </c>
      <c r="B4843" t="s">
        <v>336</v>
      </c>
      <c r="C4843" s="1">
        <v>2.1700889999999999</v>
      </c>
    </row>
    <row r="4844" spans="1:3" x14ac:dyDescent="0.3">
      <c r="A4844" s="1" t="s">
        <v>514</v>
      </c>
      <c r="B4844" t="s">
        <v>337</v>
      </c>
      <c r="C4844" s="1">
        <v>2.1682950000000001</v>
      </c>
    </row>
    <row r="4845" spans="1:3" x14ac:dyDescent="0.3">
      <c r="A4845" s="1" t="s">
        <v>514</v>
      </c>
      <c r="B4845" t="s">
        <v>338</v>
      </c>
      <c r="C4845" s="1">
        <v>2.1706859999999999</v>
      </c>
    </row>
    <row r="4846" spans="1:3" x14ac:dyDescent="0.3">
      <c r="A4846" s="1" t="s">
        <v>514</v>
      </c>
      <c r="B4846" t="s">
        <v>339</v>
      </c>
      <c r="C4846" s="1">
        <v>2.1258499999999998</v>
      </c>
    </row>
    <row r="4847" spans="1:3" x14ac:dyDescent="0.3">
      <c r="A4847" s="1" t="s">
        <v>514</v>
      </c>
      <c r="B4847" t="s">
        <v>340</v>
      </c>
      <c r="C4847" s="1">
        <v>2.127046</v>
      </c>
    </row>
    <row r="4848" spans="1:3" x14ac:dyDescent="0.3">
      <c r="A4848" s="1" t="s">
        <v>514</v>
      </c>
      <c r="B4848" t="s">
        <v>341</v>
      </c>
      <c r="C4848" s="1">
        <v>2.1019369999999999</v>
      </c>
    </row>
    <row r="4849" spans="1:3" x14ac:dyDescent="0.3">
      <c r="A4849" s="1" t="s">
        <v>514</v>
      </c>
      <c r="B4849" t="s">
        <v>342</v>
      </c>
      <c r="C4849" s="1">
        <v>2.528778</v>
      </c>
    </row>
    <row r="4850" spans="1:3" x14ac:dyDescent="0.3">
      <c r="A4850" s="1" t="s">
        <v>514</v>
      </c>
      <c r="B4850" t="s">
        <v>343</v>
      </c>
      <c r="C4850" s="1">
        <v>2.5082430000000002</v>
      </c>
    </row>
    <row r="4851" spans="1:3" x14ac:dyDescent="0.3">
      <c r="A4851" s="1" t="s">
        <v>514</v>
      </c>
      <c r="B4851" t="s">
        <v>344</v>
      </c>
      <c r="C4851" s="1">
        <v>2.5023759999999999</v>
      </c>
    </row>
    <row r="4852" spans="1:3" x14ac:dyDescent="0.3">
      <c r="A4852" s="1" t="s">
        <v>514</v>
      </c>
      <c r="B4852" t="s">
        <v>345</v>
      </c>
      <c r="C4852" s="1">
        <v>2.5361120000000001</v>
      </c>
    </row>
    <row r="4853" spans="1:3" x14ac:dyDescent="0.3">
      <c r="A4853" s="1" t="s">
        <v>514</v>
      </c>
      <c r="B4853" t="s">
        <v>346</v>
      </c>
      <c r="C4853" s="1">
        <v>2.5126439999999999</v>
      </c>
    </row>
    <row r="4854" spans="1:3" x14ac:dyDescent="0.3">
      <c r="A4854" s="1" t="s">
        <v>514</v>
      </c>
      <c r="B4854" t="s">
        <v>347</v>
      </c>
      <c r="C4854" s="1">
        <v>2.515577</v>
      </c>
    </row>
    <row r="4855" spans="1:3" x14ac:dyDescent="0.3">
      <c r="A4855" s="1" t="s">
        <v>514</v>
      </c>
      <c r="B4855" t="s">
        <v>348</v>
      </c>
      <c r="C4855" s="1">
        <v>2.4745059999999999</v>
      </c>
    </row>
    <row r="4856" spans="1:3" x14ac:dyDescent="0.3">
      <c r="A4856" s="1" t="s">
        <v>514</v>
      </c>
      <c r="B4856" t="s">
        <v>349</v>
      </c>
      <c r="C4856" s="1">
        <v>2.4913750000000001</v>
      </c>
    </row>
    <row r="4857" spans="1:3" x14ac:dyDescent="0.3">
      <c r="A4857" s="1" t="s">
        <v>514</v>
      </c>
      <c r="B4857" t="s">
        <v>350</v>
      </c>
      <c r="C4857" s="1">
        <v>2.465706</v>
      </c>
    </row>
    <row r="4858" spans="1:3" x14ac:dyDescent="0.3">
      <c r="A4858" s="1" t="s">
        <v>514</v>
      </c>
      <c r="B4858" t="s">
        <v>351</v>
      </c>
      <c r="C4858" s="1">
        <v>2.4649719999999999</v>
      </c>
    </row>
    <row r="4859" spans="1:3" x14ac:dyDescent="0.3">
      <c r="A4859" s="1" t="s">
        <v>514</v>
      </c>
      <c r="B4859" t="s">
        <v>352</v>
      </c>
      <c r="C4859" s="1">
        <v>2.4649719999999999</v>
      </c>
    </row>
    <row r="4860" spans="1:3" x14ac:dyDescent="0.3">
      <c r="A4860" s="1" t="s">
        <v>514</v>
      </c>
      <c r="B4860" t="s">
        <v>353</v>
      </c>
      <c r="C4860" s="1">
        <v>2.5082430000000002</v>
      </c>
    </row>
    <row r="4861" spans="1:3" x14ac:dyDescent="0.3">
      <c r="A4861" s="1" t="s">
        <v>514</v>
      </c>
      <c r="B4861" t="s">
        <v>354</v>
      </c>
      <c r="C4861" s="1">
        <v>2.4297689999999998</v>
      </c>
    </row>
    <row r="4862" spans="1:3" x14ac:dyDescent="0.3">
      <c r="A4862" s="1" t="s">
        <v>514</v>
      </c>
      <c r="B4862" t="s">
        <v>355</v>
      </c>
      <c r="C4862" s="1">
        <v>2.441503</v>
      </c>
    </row>
    <row r="4863" spans="1:3" x14ac:dyDescent="0.3">
      <c r="A4863" s="1" t="s">
        <v>514</v>
      </c>
      <c r="B4863" t="s">
        <v>356</v>
      </c>
      <c r="C4863" s="1">
        <v>2.4627720000000002</v>
      </c>
    </row>
    <row r="4864" spans="1:3" x14ac:dyDescent="0.3">
      <c r="A4864" s="1" t="s">
        <v>514</v>
      </c>
      <c r="B4864" t="s">
        <v>357</v>
      </c>
      <c r="C4864" s="1">
        <v>2.4679060000000002</v>
      </c>
    </row>
    <row r="4865" spans="1:3" x14ac:dyDescent="0.3">
      <c r="A4865" s="1" t="s">
        <v>514</v>
      </c>
      <c r="B4865" t="s">
        <v>358</v>
      </c>
      <c r="C4865" s="1">
        <v>2.4935749999999999</v>
      </c>
    </row>
    <row r="4866" spans="1:3" x14ac:dyDescent="0.3">
      <c r="A4866" s="1" t="s">
        <v>514</v>
      </c>
      <c r="B4866" t="s">
        <v>359</v>
      </c>
      <c r="C4866" s="1">
        <v>2.478907</v>
      </c>
    </row>
    <row r="4867" spans="1:3" x14ac:dyDescent="0.3">
      <c r="A4867" s="1" t="s">
        <v>514</v>
      </c>
      <c r="B4867" t="s">
        <v>360</v>
      </c>
      <c r="C4867" s="1">
        <v>2.4957750000000001</v>
      </c>
    </row>
    <row r="4868" spans="1:3" x14ac:dyDescent="0.3">
      <c r="A4868" s="1" t="s">
        <v>514</v>
      </c>
      <c r="B4868" t="s">
        <v>361</v>
      </c>
      <c r="C4868" s="1">
        <v>2.4855070000000001</v>
      </c>
    </row>
    <row r="4869" spans="1:3" x14ac:dyDescent="0.3">
      <c r="A4869" s="1" t="s">
        <v>514</v>
      </c>
      <c r="B4869" t="s">
        <v>362</v>
      </c>
      <c r="C4869" s="1">
        <v>2.5199780000000001</v>
      </c>
    </row>
    <row r="4870" spans="1:3" x14ac:dyDescent="0.3">
      <c r="A4870" s="1" t="s">
        <v>514</v>
      </c>
      <c r="B4870" t="s">
        <v>363</v>
      </c>
      <c r="C4870" s="1">
        <v>2.4957750000000001</v>
      </c>
    </row>
    <row r="4871" spans="1:3" x14ac:dyDescent="0.3">
      <c r="A4871" s="1" t="s">
        <v>514</v>
      </c>
      <c r="B4871" t="s">
        <v>364</v>
      </c>
      <c r="C4871" s="1">
        <v>2.4862410000000001</v>
      </c>
    </row>
    <row r="4872" spans="1:3" x14ac:dyDescent="0.3">
      <c r="A4872" s="1" t="s">
        <v>514</v>
      </c>
      <c r="B4872" t="s">
        <v>365</v>
      </c>
      <c r="C4872" s="1">
        <v>2.478907</v>
      </c>
    </row>
    <row r="4873" spans="1:3" x14ac:dyDescent="0.3">
      <c r="A4873" s="1" t="s">
        <v>514</v>
      </c>
      <c r="B4873" t="s">
        <v>366</v>
      </c>
      <c r="C4873" s="1">
        <v>2.4730400000000001</v>
      </c>
    </row>
    <row r="4874" spans="1:3" x14ac:dyDescent="0.3">
      <c r="A4874" s="1" t="s">
        <v>514</v>
      </c>
      <c r="B4874" t="s">
        <v>367</v>
      </c>
      <c r="C4874" s="1">
        <v>2.5214439999999998</v>
      </c>
    </row>
    <row r="4875" spans="1:3" x14ac:dyDescent="0.3">
      <c r="A4875" s="1" t="s">
        <v>514</v>
      </c>
      <c r="B4875" t="s">
        <v>368</v>
      </c>
      <c r="C4875" s="1">
        <v>2.524378</v>
      </c>
    </row>
    <row r="4876" spans="1:3" x14ac:dyDescent="0.3">
      <c r="A4876" s="1" t="s">
        <v>514</v>
      </c>
      <c r="B4876" t="s">
        <v>369</v>
      </c>
      <c r="C4876" s="1">
        <v>2.542713</v>
      </c>
    </row>
    <row r="4877" spans="1:3" x14ac:dyDescent="0.3">
      <c r="A4877" s="1" t="s">
        <v>514</v>
      </c>
      <c r="B4877" t="s">
        <v>370</v>
      </c>
      <c r="C4877" s="1">
        <v>2.5522469999999999</v>
      </c>
    </row>
    <row r="4878" spans="1:3" x14ac:dyDescent="0.3">
      <c r="A4878" s="1" t="s">
        <v>514</v>
      </c>
      <c r="B4878" t="s">
        <v>371</v>
      </c>
      <c r="C4878" s="1">
        <v>2.6615250000000001</v>
      </c>
    </row>
    <row r="4879" spans="1:3" x14ac:dyDescent="0.3">
      <c r="A4879" s="1" t="s">
        <v>514</v>
      </c>
      <c r="B4879" t="s">
        <v>372</v>
      </c>
      <c r="C4879" s="1">
        <v>2.6446559999999999</v>
      </c>
    </row>
    <row r="4880" spans="1:3" x14ac:dyDescent="0.3">
      <c r="A4880" s="1" t="s">
        <v>514</v>
      </c>
      <c r="B4880" t="s">
        <v>373</v>
      </c>
      <c r="C4880" s="1">
        <v>2.6417229999999998</v>
      </c>
    </row>
    <row r="4881" spans="1:3" x14ac:dyDescent="0.3">
      <c r="A4881" s="1" t="s">
        <v>514</v>
      </c>
      <c r="B4881" t="s">
        <v>374</v>
      </c>
      <c r="C4881" s="1">
        <v>2.6549239999999998</v>
      </c>
    </row>
    <row r="4882" spans="1:3" x14ac:dyDescent="0.3">
      <c r="A4882" s="1" t="s">
        <v>514</v>
      </c>
      <c r="B4882" t="s">
        <v>375</v>
      </c>
      <c r="C4882" s="1">
        <v>2.6629909999999999</v>
      </c>
    </row>
    <row r="4883" spans="1:3" x14ac:dyDescent="0.3">
      <c r="A4883" s="1" t="s">
        <v>514</v>
      </c>
      <c r="B4883" t="s">
        <v>376</v>
      </c>
      <c r="C4883" s="1">
        <v>2.7245970000000002</v>
      </c>
    </row>
    <row r="4884" spans="1:3" x14ac:dyDescent="0.3">
      <c r="A4884" s="1" t="s">
        <v>514</v>
      </c>
      <c r="B4884" t="s">
        <v>377</v>
      </c>
      <c r="C4884" s="1">
        <v>2.7348650000000001</v>
      </c>
    </row>
    <row r="4885" spans="1:3" x14ac:dyDescent="0.3">
      <c r="A4885" s="1" t="s">
        <v>514</v>
      </c>
      <c r="B4885" t="s">
        <v>378</v>
      </c>
      <c r="C4885" s="1">
        <v>2.6600579999999998</v>
      </c>
    </row>
    <row r="4886" spans="1:3" x14ac:dyDescent="0.3">
      <c r="A4886" s="1" t="s">
        <v>514</v>
      </c>
      <c r="B4886" t="s">
        <v>379</v>
      </c>
      <c r="C4886" s="1">
        <v>2.6285210000000001</v>
      </c>
    </row>
    <row r="4887" spans="1:3" x14ac:dyDescent="0.3">
      <c r="A4887" s="1" t="s">
        <v>514</v>
      </c>
      <c r="B4887" t="s">
        <v>380</v>
      </c>
      <c r="C4887" s="1">
        <v>2.6329220000000002</v>
      </c>
    </row>
    <row r="4888" spans="1:3" x14ac:dyDescent="0.3">
      <c r="A4888" s="1" t="s">
        <v>514</v>
      </c>
      <c r="B4888" t="s">
        <v>381</v>
      </c>
      <c r="C4888" s="1">
        <v>2.6402559999999999</v>
      </c>
    </row>
    <row r="4889" spans="1:3" x14ac:dyDescent="0.3">
      <c r="A4889" s="1" t="s">
        <v>514</v>
      </c>
      <c r="B4889" t="s">
        <v>382</v>
      </c>
      <c r="C4889" s="1">
        <v>2.6505239999999999</v>
      </c>
    </row>
    <row r="4890" spans="1:3" x14ac:dyDescent="0.3">
      <c r="A4890" s="1" t="s">
        <v>514</v>
      </c>
      <c r="B4890" t="s">
        <v>383</v>
      </c>
      <c r="C4890" s="1">
        <v>2.6285210000000001</v>
      </c>
    </row>
    <row r="4891" spans="1:3" x14ac:dyDescent="0.3">
      <c r="A4891" s="1" t="s">
        <v>514</v>
      </c>
      <c r="B4891" t="s">
        <v>384</v>
      </c>
      <c r="C4891" s="1">
        <v>2.6006520000000002</v>
      </c>
    </row>
    <row r="4892" spans="1:3" x14ac:dyDescent="0.3">
      <c r="A4892" s="1" t="s">
        <v>514</v>
      </c>
      <c r="B4892" t="s">
        <v>385</v>
      </c>
      <c r="C4892" s="1">
        <v>2.5808499999999999</v>
      </c>
    </row>
    <row r="4893" spans="1:3" x14ac:dyDescent="0.3">
      <c r="A4893" s="1" t="s">
        <v>514</v>
      </c>
      <c r="B4893" t="s">
        <v>386</v>
      </c>
      <c r="C4893" s="1">
        <v>2.5859839999999998</v>
      </c>
    </row>
    <row r="4894" spans="1:3" x14ac:dyDescent="0.3">
      <c r="A4894" s="1" t="s">
        <v>514</v>
      </c>
      <c r="B4894" t="s">
        <v>387</v>
      </c>
      <c r="C4894" s="1">
        <v>2.5786500000000001</v>
      </c>
    </row>
    <row r="4895" spans="1:3" x14ac:dyDescent="0.3">
      <c r="A4895" s="1" t="s">
        <v>514</v>
      </c>
      <c r="B4895" t="s">
        <v>388</v>
      </c>
      <c r="C4895" s="1">
        <v>2.5742500000000001</v>
      </c>
    </row>
    <row r="4896" spans="1:3" x14ac:dyDescent="0.3">
      <c r="A4896" s="1" t="s">
        <v>514</v>
      </c>
      <c r="B4896" t="s">
        <v>389</v>
      </c>
      <c r="C4896" s="1">
        <v>2.6057860000000002</v>
      </c>
    </row>
    <row r="4897" spans="1:3" x14ac:dyDescent="0.3">
      <c r="A4897" s="1" t="s">
        <v>514</v>
      </c>
      <c r="B4897" t="s">
        <v>390</v>
      </c>
      <c r="C4897" s="1">
        <v>2.5823170000000002</v>
      </c>
    </row>
    <row r="4898" spans="1:3" x14ac:dyDescent="0.3">
      <c r="A4898" s="1" t="s">
        <v>514</v>
      </c>
      <c r="B4898" t="s">
        <v>391</v>
      </c>
      <c r="C4898" s="1">
        <v>2.5705819999999999</v>
      </c>
    </row>
    <row r="4899" spans="1:3" x14ac:dyDescent="0.3">
      <c r="A4899" s="1" t="s">
        <v>514</v>
      </c>
      <c r="B4899" t="s">
        <v>392</v>
      </c>
      <c r="C4899" s="1">
        <v>2.537579</v>
      </c>
    </row>
    <row r="4900" spans="1:3" x14ac:dyDescent="0.3">
      <c r="A4900" s="1" t="s">
        <v>514</v>
      </c>
      <c r="B4900" t="s">
        <v>393</v>
      </c>
      <c r="C4900" s="1">
        <v>2.5353789999999998</v>
      </c>
    </row>
    <row r="4901" spans="1:3" x14ac:dyDescent="0.3">
      <c r="A4901" s="1" t="s">
        <v>514</v>
      </c>
      <c r="B4901" t="s">
        <v>394</v>
      </c>
      <c r="C4901" s="1">
        <v>2.5280450000000001</v>
      </c>
    </row>
    <row r="4902" spans="1:3" x14ac:dyDescent="0.3">
      <c r="A4902" s="1" t="s">
        <v>514</v>
      </c>
      <c r="B4902" t="s">
        <v>395</v>
      </c>
      <c r="C4902" s="1">
        <v>2.5038429999999998</v>
      </c>
    </row>
    <row r="4903" spans="1:3" x14ac:dyDescent="0.3">
      <c r="A4903" s="1" t="s">
        <v>514</v>
      </c>
      <c r="B4903" t="s">
        <v>396</v>
      </c>
      <c r="C4903" s="1">
        <v>2.4899079999999998</v>
      </c>
    </row>
    <row r="4904" spans="1:3" x14ac:dyDescent="0.3">
      <c r="A4904" s="1" t="s">
        <v>514</v>
      </c>
      <c r="B4904" t="s">
        <v>397</v>
      </c>
      <c r="C4904" s="1">
        <v>2.511177</v>
      </c>
    </row>
    <row r="4905" spans="1:3" x14ac:dyDescent="0.3">
      <c r="A4905" s="1" t="s">
        <v>514</v>
      </c>
      <c r="B4905" t="s">
        <v>398</v>
      </c>
      <c r="C4905" s="1">
        <v>2.4576380000000002</v>
      </c>
    </row>
    <row r="4906" spans="1:3" x14ac:dyDescent="0.3">
      <c r="A4906" s="1" t="s">
        <v>514</v>
      </c>
      <c r="B4906" t="s">
        <v>399</v>
      </c>
      <c r="C4906" s="1">
        <v>2.4979749999999998</v>
      </c>
    </row>
    <row r="4907" spans="1:3" x14ac:dyDescent="0.3">
      <c r="A4907" s="1" t="s">
        <v>514</v>
      </c>
      <c r="B4907" t="s">
        <v>400</v>
      </c>
      <c r="C4907" s="1">
        <v>2.515577</v>
      </c>
    </row>
    <row r="4908" spans="1:3" x14ac:dyDescent="0.3">
      <c r="A4908" s="1" t="s">
        <v>514</v>
      </c>
      <c r="B4908" t="s">
        <v>401</v>
      </c>
      <c r="C4908" s="1">
        <v>2.4701059999999999</v>
      </c>
    </row>
    <row r="4909" spans="1:3" x14ac:dyDescent="0.3">
      <c r="A4909" s="1" t="s">
        <v>514</v>
      </c>
      <c r="B4909" t="s">
        <v>402</v>
      </c>
      <c r="C4909" s="1">
        <v>2.4884409999999999</v>
      </c>
    </row>
    <row r="4910" spans="1:3" x14ac:dyDescent="0.3">
      <c r="A4910" s="1" t="s">
        <v>514</v>
      </c>
      <c r="B4910" t="s">
        <v>403</v>
      </c>
      <c r="C4910" s="1">
        <v>2.506043</v>
      </c>
    </row>
    <row r="4911" spans="1:3" x14ac:dyDescent="0.3">
      <c r="A4911" s="1" t="s">
        <v>514</v>
      </c>
      <c r="B4911" t="s">
        <v>404</v>
      </c>
      <c r="C4911" s="1">
        <v>2.5647150000000001</v>
      </c>
    </row>
    <row r="4912" spans="1:3" x14ac:dyDescent="0.3">
      <c r="A4912" s="1" t="s">
        <v>514</v>
      </c>
      <c r="B4912" t="s">
        <v>405</v>
      </c>
      <c r="C4912" s="1">
        <v>2.5896509999999999</v>
      </c>
    </row>
    <row r="4913" spans="1:3" x14ac:dyDescent="0.3">
      <c r="A4913" s="1" t="s">
        <v>514</v>
      </c>
      <c r="B4913" t="s">
        <v>406</v>
      </c>
      <c r="C4913" s="1">
        <v>2.629988</v>
      </c>
    </row>
    <row r="4914" spans="1:3" x14ac:dyDescent="0.3">
      <c r="A4914" s="1" t="s">
        <v>514</v>
      </c>
      <c r="B4914" t="s">
        <v>407</v>
      </c>
      <c r="C4914" s="1">
        <v>2.630722</v>
      </c>
    </row>
    <row r="4915" spans="1:3" x14ac:dyDescent="0.3">
      <c r="A4915" s="1" t="s">
        <v>514</v>
      </c>
      <c r="B4915" t="s">
        <v>408</v>
      </c>
      <c r="C4915" s="1">
        <v>2.6314549999999999</v>
      </c>
    </row>
    <row r="4916" spans="1:3" x14ac:dyDescent="0.3">
      <c r="A4916" s="1" t="s">
        <v>514</v>
      </c>
      <c r="B4916" t="s">
        <v>409</v>
      </c>
      <c r="C4916" s="1">
        <v>2.6336550000000001</v>
      </c>
    </row>
    <row r="4917" spans="1:3" x14ac:dyDescent="0.3">
      <c r="A4917" s="1" t="s">
        <v>514</v>
      </c>
      <c r="B4917" t="s">
        <v>410</v>
      </c>
      <c r="C4917" s="1">
        <v>2.6615250000000001</v>
      </c>
    </row>
    <row r="4918" spans="1:3" x14ac:dyDescent="0.3">
      <c r="A4918" s="1" t="s">
        <v>514</v>
      </c>
      <c r="B4918" t="s">
        <v>411</v>
      </c>
      <c r="C4918" s="1">
        <v>2.6959949999999999</v>
      </c>
    </row>
    <row r="4919" spans="1:3" x14ac:dyDescent="0.3">
      <c r="A4919" s="1" t="s">
        <v>514</v>
      </c>
      <c r="B4919" t="s">
        <v>412</v>
      </c>
      <c r="C4919" s="1">
        <v>2.6402559999999999</v>
      </c>
    </row>
    <row r="4920" spans="1:3" x14ac:dyDescent="0.3">
      <c r="A4920" s="1" t="s">
        <v>514</v>
      </c>
      <c r="B4920" t="s">
        <v>413</v>
      </c>
      <c r="C4920" s="1">
        <v>2.6343890000000001</v>
      </c>
    </row>
    <row r="4921" spans="1:3" x14ac:dyDescent="0.3">
      <c r="A4921" s="1" t="s">
        <v>514</v>
      </c>
      <c r="B4921" t="s">
        <v>414</v>
      </c>
      <c r="C4921" s="1">
        <v>2.6424560000000001</v>
      </c>
    </row>
    <row r="4922" spans="1:3" x14ac:dyDescent="0.3">
      <c r="A4922" s="1" t="s">
        <v>514</v>
      </c>
      <c r="B4922" t="s">
        <v>415</v>
      </c>
      <c r="C4922" s="1">
        <v>2.7003949999999999</v>
      </c>
    </row>
    <row r="4923" spans="1:3" x14ac:dyDescent="0.3">
      <c r="A4923" s="1" t="s">
        <v>514</v>
      </c>
      <c r="B4923" t="s">
        <v>416</v>
      </c>
      <c r="C4923" s="1">
        <v>2.7341319999999998</v>
      </c>
    </row>
    <row r="4924" spans="1:3" x14ac:dyDescent="0.3">
      <c r="A4924" s="1" t="s">
        <v>514</v>
      </c>
      <c r="B4924" t="s">
        <v>417</v>
      </c>
      <c r="C4924" s="1">
        <v>2.717263</v>
      </c>
    </row>
    <row r="4925" spans="1:3" x14ac:dyDescent="0.3">
      <c r="A4925" s="1" t="s">
        <v>514</v>
      </c>
      <c r="B4925" t="s">
        <v>418</v>
      </c>
      <c r="C4925" s="1">
        <v>2.7480660000000001</v>
      </c>
    </row>
    <row r="4926" spans="1:3" x14ac:dyDescent="0.3">
      <c r="A4926" s="1" t="s">
        <v>514</v>
      </c>
      <c r="B4926" t="s">
        <v>419</v>
      </c>
      <c r="C4926" s="1">
        <v>2.7062620000000002</v>
      </c>
    </row>
    <row r="4927" spans="1:3" x14ac:dyDescent="0.3">
      <c r="A4927" s="1" t="s">
        <v>514</v>
      </c>
      <c r="B4927" t="s">
        <v>420</v>
      </c>
      <c r="C4927" s="1">
        <v>2.6996609999999999</v>
      </c>
    </row>
    <row r="4928" spans="1:3" x14ac:dyDescent="0.3">
      <c r="A4928" s="1" t="s">
        <v>514</v>
      </c>
      <c r="B4928" t="s">
        <v>421</v>
      </c>
      <c r="C4928" s="1">
        <v>2.7084619999999999</v>
      </c>
    </row>
    <row r="4929" spans="1:3" x14ac:dyDescent="0.3">
      <c r="A4929" s="1" t="s">
        <v>514</v>
      </c>
      <c r="B4929" t="s">
        <v>422</v>
      </c>
      <c r="C4929" s="1">
        <v>2.717997</v>
      </c>
    </row>
    <row r="4930" spans="1:3" x14ac:dyDescent="0.3">
      <c r="A4930" s="1" t="s">
        <v>514</v>
      </c>
      <c r="B4930" t="s">
        <v>423</v>
      </c>
      <c r="C4930" s="1">
        <v>2.712129</v>
      </c>
    </row>
    <row r="4931" spans="1:3" x14ac:dyDescent="0.3">
      <c r="A4931" s="1" t="s">
        <v>514</v>
      </c>
      <c r="B4931" t="s">
        <v>424</v>
      </c>
      <c r="C4931" s="1">
        <v>2.7550340000000002</v>
      </c>
    </row>
    <row r="4932" spans="1:3" x14ac:dyDescent="0.3">
      <c r="A4932" s="1" t="s">
        <v>514</v>
      </c>
      <c r="B4932" t="s">
        <v>425</v>
      </c>
      <c r="C4932" s="1">
        <v>2.7664019999999998</v>
      </c>
    </row>
    <row r="4933" spans="1:3" x14ac:dyDescent="0.3">
      <c r="A4933" s="1" t="s">
        <v>514</v>
      </c>
      <c r="B4933" t="s">
        <v>426</v>
      </c>
      <c r="C4933" s="1">
        <v>2.7649349999999999</v>
      </c>
    </row>
    <row r="4934" spans="1:3" x14ac:dyDescent="0.3">
      <c r="A4934" s="1" t="s">
        <v>514</v>
      </c>
      <c r="B4934" t="s">
        <v>427</v>
      </c>
      <c r="C4934" s="1">
        <v>2.7509999999999999</v>
      </c>
    </row>
    <row r="4935" spans="1:3" x14ac:dyDescent="0.3">
      <c r="A4935" s="1" t="s">
        <v>514</v>
      </c>
      <c r="B4935" t="s">
        <v>428</v>
      </c>
      <c r="C4935" s="1">
        <v>3.5825</v>
      </c>
    </row>
    <row r="4936" spans="1:3" x14ac:dyDescent="0.3">
      <c r="A4936" s="1" t="s">
        <v>514</v>
      </c>
      <c r="B4936" t="s">
        <v>429</v>
      </c>
      <c r="C4936" s="1">
        <v>3.5979999999999999</v>
      </c>
    </row>
    <row r="4937" spans="1:3" x14ac:dyDescent="0.3">
      <c r="A4937" s="1" t="s">
        <v>514</v>
      </c>
      <c r="B4937" t="s">
        <v>430</v>
      </c>
      <c r="C4937" s="1">
        <v>3.585</v>
      </c>
    </row>
    <row r="4938" spans="1:3" x14ac:dyDescent="0.3">
      <c r="A4938" s="1" t="s">
        <v>514</v>
      </c>
      <c r="B4938" t="s">
        <v>431</v>
      </c>
      <c r="C4938" s="1">
        <v>3.6074999999999999</v>
      </c>
    </row>
    <row r="4939" spans="1:3" x14ac:dyDescent="0.3">
      <c r="A4939" s="1" t="s">
        <v>514</v>
      </c>
      <c r="B4939" t="s">
        <v>432</v>
      </c>
      <c r="C4939" s="1">
        <v>3.5994999999999999</v>
      </c>
    </row>
    <row r="4940" spans="1:3" x14ac:dyDescent="0.3">
      <c r="A4940" s="1" t="s">
        <v>514</v>
      </c>
      <c r="B4940" t="s">
        <v>433</v>
      </c>
      <c r="C4940" s="1">
        <v>3.5125000000000002</v>
      </c>
    </row>
    <row r="4941" spans="1:3" x14ac:dyDescent="0.3">
      <c r="A4941" s="1" t="s">
        <v>514</v>
      </c>
      <c r="B4941" t="s">
        <v>434</v>
      </c>
      <c r="C4941" s="1">
        <v>3.5245000000000002</v>
      </c>
    </row>
    <row r="4942" spans="1:3" x14ac:dyDescent="0.3">
      <c r="A4942" s="1" t="s">
        <v>514</v>
      </c>
      <c r="B4942" t="s">
        <v>435</v>
      </c>
      <c r="C4942" s="1">
        <v>3.5545</v>
      </c>
    </row>
    <row r="4943" spans="1:3" x14ac:dyDescent="0.3">
      <c r="A4943" s="1" t="s">
        <v>514</v>
      </c>
      <c r="B4943" t="s">
        <v>436</v>
      </c>
      <c r="C4943" s="1">
        <v>3.4655</v>
      </c>
    </row>
    <row r="4944" spans="1:3" x14ac:dyDescent="0.3">
      <c r="A4944" s="1" t="s">
        <v>514</v>
      </c>
      <c r="B4944" t="s">
        <v>437</v>
      </c>
      <c r="C4944" s="1">
        <v>3.4860000000000002</v>
      </c>
    </row>
    <row r="4945" spans="1:3" x14ac:dyDescent="0.3">
      <c r="A4945" s="1" t="s">
        <v>514</v>
      </c>
      <c r="B4945" t="s">
        <v>438</v>
      </c>
      <c r="C4945" s="1">
        <v>3.4780000000000002</v>
      </c>
    </row>
    <row r="4946" spans="1:3" x14ac:dyDescent="0.3">
      <c r="A4946" s="1" t="s">
        <v>514</v>
      </c>
      <c r="B4946" t="s">
        <v>439</v>
      </c>
      <c r="C4946" s="1">
        <v>3.4660000000000002</v>
      </c>
    </row>
    <row r="4947" spans="1:3" x14ac:dyDescent="0.3">
      <c r="A4947" s="1" t="s">
        <v>514</v>
      </c>
      <c r="B4947" t="s">
        <v>440</v>
      </c>
      <c r="C4947" s="1">
        <v>3.4605000000000001</v>
      </c>
    </row>
    <row r="4948" spans="1:3" x14ac:dyDescent="0.3">
      <c r="A4948" s="1" t="s">
        <v>514</v>
      </c>
      <c r="B4948" t="s">
        <v>441</v>
      </c>
      <c r="C4948" s="1">
        <v>3.46</v>
      </c>
    </row>
    <row r="4949" spans="1:3" x14ac:dyDescent="0.3">
      <c r="A4949" s="1" t="s">
        <v>514</v>
      </c>
      <c r="B4949" t="s">
        <v>442</v>
      </c>
      <c r="C4949" s="1">
        <v>3.4714999999999998</v>
      </c>
    </row>
    <row r="4950" spans="1:3" x14ac:dyDescent="0.3">
      <c r="A4950" s="1" t="s">
        <v>514</v>
      </c>
      <c r="B4950" t="s">
        <v>443</v>
      </c>
      <c r="C4950" s="1">
        <v>3.4565000000000001</v>
      </c>
    </row>
    <row r="4951" spans="1:3" x14ac:dyDescent="0.3">
      <c r="A4951" s="1" t="s">
        <v>514</v>
      </c>
      <c r="B4951" t="s">
        <v>444</v>
      </c>
      <c r="C4951" s="1">
        <v>3.5015000000000001</v>
      </c>
    </row>
    <row r="4952" spans="1:3" x14ac:dyDescent="0.3">
      <c r="A4952" s="1" t="s">
        <v>514</v>
      </c>
      <c r="B4952" t="s">
        <v>445</v>
      </c>
      <c r="C4952" s="1">
        <v>3.5514999999999999</v>
      </c>
    </row>
    <row r="4953" spans="1:3" x14ac:dyDescent="0.3">
      <c r="A4953" s="1" t="s">
        <v>514</v>
      </c>
      <c r="B4953" t="s">
        <v>446</v>
      </c>
      <c r="C4953" s="1">
        <v>3.585</v>
      </c>
    </row>
    <row r="4954" spans="1:3" x14ac:dyDescent="0.3">
      <c r="A4954" s="1" t="s">
        <v>514</v>
      </c>
      <c r="B4954" t="s">
        <v>447</v>
      </c>
      <c r="C4954" s="1">
        <v>3.5935000000000001</v>
      </c>
    </row>
    <row r="4955" spans="1:3" x14ac:dyDescent="0.3">
      <c r="A4955" s="1" t="s">
        <v>514</v>
      </c>
      <c r="B4955" t="s">
        <v>448</v>
      </c>
      <c r="C4955" s="1">
        <v>3.5445000000000002</v>
      </c>
    </row>
    <row r="4956" spans="1:3" x14ac:dyDescent="0.3">
      <c r="A4956" s="1" t="s">
        <v>514</v>
      </c>
      <c r="B4956" t="s">
        <v>449</v>
      </c>
      <c r="C4956" s="1">
        <v>3.5950000000000002</v>
      </c>
    </row>
    <row r="4957" spans="1:3" x14ac:dyDescent="0.3">
      <c r="A4957" s="1" t="s">
        <v>514</v>
      </c>
      <c r="B4957" t="s">
        <v>450</v>
      </c>
      <c r="C4957" s="1">
        <v>3.617</v>
      </c>
    </row>
    <row r="4958" spans="1:3" x14ac:dyDescent="0.3">
      <c r="A4958" s="1" t="s">
        <v>514</v>
      </c>
      <c r="B4958" t="s">
        <v>451</v>
      </c>
      <c r="C4958" s="1">
        <v>3.6379999999999999</v>
      </c>
    </row>
    <row r="4959" spans="1:3" x14ac:dyDescent="0.3">
      <c r="A4959" s="1" t="s">
        <v>514</v>
      </c>
      <c r="B4959" t="s">
        <v>452</v>
      </c>
      <c r="C4959" s="1">
        <v>3.6789999999999998</v>
      </c>
    </row>
    <row r="4960" spans="1:3" x14ac:dyDescent="0.3">
      <c r="A4960" s="1" t="s">
        <v>514</v>
      </c>
      <c r="B4960" t="s">
        <v>453</v>
      </c>
      <c r="C4960" s="1">
        <v>3.6324999999999998</v>
      </c>
    </row>
    <row r="4961" spans="1:3" x14ac:dyDescent="0.3">
      <c r="A4961" s="1" t="s">
        <v>514</v>
      </c>
      <c r="B4961" t="s">
        <v>454</v>
      </c>
      <c r="C4961" s="1">
        <v>3.6890000000000001</v>
      </c>
    </row>
    <row r="4962" spans="1:3" x14ac:dyDescent="0.3">
      <c r="A4962" s="1" t="s">
        <v>514</v>
      </c>
      <c r="B4962" t="s">
        <v>455</v>
      </c>
      <c r="C4962" s="1">
        <v>3.714</v>
      </c>
    </row>
    <row r="4963" spans="1:3" x14ac:dyDescent="0.3">
      <c r="A4963" s="1" t="s">
        <v>514</v>
      </c>
      <c r="B4963" t="s">
        <v>456</v>
      </c>
      <c r="C4963" s="1">
        <v>3.702</v>
      </c>
    </row>
    <row r="4964" spans="1:3" x14ac:dyDescent="0.3">
      <c r="A4964" s="1" t="s">
        <v>514</v>
      </c>
      <c r="B4964" t="s">
        <v>457</v>
      </c>
      <c r="C4964" s="1">
        <v>3.7115</v>
      </c>
    </row>
    <row r="4965" spans="1:3" x14ac:dyDescent="0.3">
      <c r="A4965" s="1" t="s">
        <v>514</v>
      </c>
      <c r="B4965" t="s">
        <v>458</v>
      </c>
      <c r="C4965" s="1">
        <v>3.6629999999999998</v>
      </c>
    </row>
    <row r="4966" spans="1:3" x14ac:dyDescent="0.3">
      <c r="A4966" s="1" t="s">
        <v>514</v>
      </c>
      <c r="B4966" t="s">
        <v>459</v>
      </c>
      <c r="C4966" s="1">
        <v>3.6675</v>
      </c>
    </row>
    <row r="4967" spans="1:3" x14ac:dyDescent="0.3">
      <c r="A4967" s="1" t="s">
        <v>514</v>
      </c>
      <c r="B4967" t="s">
        <v>460</v>
      </c>
      <c r="C4967" s="1">
        <v>3.6429999999999998</v>
      </c>
    </row>
    <row r="4968" spans="1:3" x14ac:dyDescent="0.3">
      <c r="A4968" s="1" t="s">
        <v>514</v>
      </c>
      <c r="B4968" t="s">
        <v>461</v>
      </c>
      <c r="C4968" s="1">
        <v>3.57</v>
      </c>
    </row>
    <row r="4969" spans="1:3" x14ac:dyDescent="0.3">
      <c r="A4969" s="1" t="s">
        <v>514</v>
      </c>
      <c r="B4969" t="s">
        <v>462</v>
      </c>
      <c r="C4969" s="1">
        <v>3.5834999999999999</v>
      </c>
    </row>
    <row r="4970" spans="1:3" x14ac:dyDescent="0.3">
      <c r="A4970" s="1" t="s">
        <v>514</v>
      </c>
      <c r="B4970" t="s">
        <v>463</v>
      </c>
      <c r="C4970" s="1">
        <v>3.62</v>
      </c>
    </row>
    <row r="4971" spans="1:3" x14ac:dyDescent="0.3">
      <c r="A4971" s="1" t="s">
        <v>514</v>
      </c>
      <c r="B4971" t="s">
        <v>464</v>
      </c>
      <c r="C4971" s="1">
        <v>3.6055000000000001</v>
      </c>
    </row>
    <row r="4972" spans="1:3" x14ac:dyDescent="0.3">
      <c r="A4972" s="1" t="s">
        <v>514</v>
      </c>
      <c r="B4972" t="s">
        <v>465</v>
      </c>
      <c r="C4972" s="1">
        <v>3.6074999999999999</v>
      </c>
    </row>
    <row r="4973" spans="1:3" x14ac:dyDescent="0.3">
      <c r="A4973" s="1" t="s">
        <v>514</v>
      </c>
      <c r="B4973" t="s">
        <v>466</v>
      </c>
      <c r="C4973" s="1">
        <v>3.6025</v>
      </c>
    </row>
    <row r="4974" spans="1:3" x14ac:dyDescent="0.3">
      <c r="A4974" s="1" t="s">
        <v>514</v>
      </c>
      <c r="B4974" t="s">
        <v>467</v>
      </c>
      <c r="C4974" s="1">
        <v>3.6044999999999998</v>
      </c>
    </row>
    <row r="4975" spans="1:3" x14ac:dyDescent="0.3">
      <c r="A4975" s="1" t="s">
        <v>514</v>
      </c>
      <c r="B4975" t="s">
        <v>468</v>
      </c>
      <c r="C4975" s="1">
        <v>3.62</v>
      </c>
    </row>
    <row r="4976" spans="1:3" x14ac:dyDescent="0.3">
      <c r="A4976" s="1" t="s">
        <v>514</v>
      </c>
      <c r="B4976" t="s">
        <v>469</v>
      </c>
      <c r="C4976" s="1">
        <v>3.6465000000000001</v>
      </c>
    </row>
    <row r="4977" spans="1:3" x14ac:dyDescent="0.3">
      <c r="A4977" s="1" t="s">
        <v>514</v>
      </c>
      <c r="B4977" t="s">
        <v>470</v>
      </c>
      <c r="C4977" s="1">
        <v>3.6255000000000002</v>
      </c>
    </row>
    <row r="4978" spans="1:3" x14ac:dyDescent="0.3">
      <c r="A4978" s="1" t="s">
        <v>514</v>
      </c>
      <c r="B4978" t="s">
        <v>471</v>
      </c>
      <c r="C4978" s="1">
        <v>3.64</v>
      </c>
    </row>
    <row r="4979" spans="1:3" x14ac:dyDescent="0.3">
      <c r="A4979" s="1" t="s">
        <v>514</v>
      </c>
      <c r="B4979" t="s">
        <v>472</v>
      </c>
      <c r="C4979" s="1">
        <v>3.661</v>
      </c>
    </row>
    <row r="4980" spans="1:3" x14ac:dyDescent="0.3">
      <c r="A4980" s="1" t="s">
        <v>514</v>
      </c>
      <c r="B4980" t="s">
        <v>473</v>
      </c>
      <c r="C4980" s="1">
        <v>3.6855000000000002</v>
      </c>
    </row>
    <row r="4981" spans="1:3" x14ac:dyDescent="0.3">
      <c r="A4981" s="1" t="s">
        <v>514</v>
      </c>
      <c r="B4981" t="s">
        <v>474</v>
      </c>
      <c r="C4981" s="1">
        <v>3.6579999999999999</v>
      </c>
    </row>
    <row r="4982" spans="1:3" x14ac:dyDescent="0.3">
      <c r="A4982" s="1" t="s">
        <v>514</v>
      </c>
      <c r="B4982" t="s">
        <v>475</v>
      </c>
      <c r="C4982" s="1">
        <v>3.613</v>
      </c>
    </row>
    <row r="4983" spans="1:3" x14ac:dyDescent="0.3">
      <c r="A4983" s="1" t="s">
        <v>514</v>
      </c>
      <c r="B4983" t="s">
        <v>476</v>
      </c>
      <c r="C4983" s="1">
        <v>3.63</v>
      </c>
    </row>
    <row r="4984" spans="1:3" x14ac:dyDescent="0.3">
      <c r="A4984" s="1" t="s">
        <v>514</v>
      </c>
      <c r="B4984" t="s">
        <v>477</v>
      </c>
      <c r="C4984" s="1">
        <v>3.65</v>
      </c>
    </row>
    <row r="4985" spans="1:3" x14ac:dyDescent="0.3">
      <c r="A4985" s="1" t="s">
        <v>514</v>
      </c>
      <c r="B4985" t="s">
        <v>478</v>
      </c>
      <c r="C4985" s="1">
        <v>3.6065</v>
      </c>
    </row>
    <row r="4986" spans="1:3" x14ac:dyDescent="0.3">
      <c r="A4986" s="1" t="s">
        <v>514</v>
      </c>
      <c r="B4986" t="s">
        <v>479</v>
      </c>
      <c r="C4986" s="1">
        <v>3.6194999999999999</v>
      </c>
    </row>
    <row r="4987" spans="1:3" x14ac:dyDescent="0.3">
      <c r="A4987" s="1" t="s">
        <v>514</v>
      </c>
      <c r="B4987" t="s">
        <v>480</v>
      </c>
      <c r="C4987" s="1">
        <v>3.6315</v>
      </c>
    </row>
    <row r="4988" spans="1:3" x14ac:dyDescent="0.3">
      <c r="A4988" s="1" t="s">
        <v>514</v>
      </c>
      <c r="B4988" t="s">
        <v>481</v>
      </c>
      <c r="C4988" s="1">
        <v>3.64</v>
      </c>
    </row>
    <row r="4989" spans="1:3" x14ac:dyDescent="0.3">
      <c r="A4989" s="1" t="s">
        <v>514</v>
      </c>
      <c r="B4989" t="s">
        <v>482</v>
      </c>
      <c r="C4989" s="1">
        <v>3.7450000000000001</v>
      </c>
    </row>
    <row r="4990" spans="1:3" x14ac:dyDescent="0.3">
      <c r="A4990" s="1" t="s">
        <v>514</v>
      </c>
      <c r="B4990" t="s">
        <v>483</v>
      </c>
      <c r="C4990" s="1">
        <v>3.7225000000000001</v>
      </c>
    </row>
    <row r="4991" spans="1:3" x14ac:dyDescent="0.3">
      <c r="A4991" s="1" t="s">
        <v>514</v>
      </c>
      <c r="B4991" t="s">
        <v>484</v>
      </c>
      <c r="C4991" s="1">
        <v>3.7309999999999999</v>
      </c>
    </row>
    <row r="4992" spans="1:3" x14ac:dyDescent="0.3">
      <c r="A4992" s="1" t="s">
        <v>514</v>
      </c>
      <c r="B4992" t="s">
        <v>485</v>
      </c>
      <c r="C4992" s="1">
        <v>3.74</v>
      </c>
    </row>
    <row r="4993" spans="1:3" x14ac:dyDescent="0.3">
      <c r="A4993" s="1" t="s">
        <v>514</v>
      </c>
      <c r="B4993" t="s">
        <v>486</v>
      </c>
      <c r="C4993" s="1">
        <v>3.7355</v>
      </c>
    </row>
    <row r="4994" spans="1:3" x14ac:dyDescent="0.3">
      <c r="A4994" s="1" t="s">
        <v>514</v>
      </c>
      <c r="B4994" t="s">
        <v>487</v>
      </c>
      <c r="C4994" s="1">
        <v>3.7549999999999999</v>
      </c>
    </row>
    <row r="4995" spans="1:3" x14ac:dyDescent="0.3">
      <c r="A4995" s="1" t="s">
        <v>514</v>
      </c>
      <c r="B4995" t="s">
        <v>488</v>
      </c>
      <c r="C4995" s="1">
        <v>3.7565</v>
      </c>
    </row>
    <row r="4996" spans="1:3" x14ac:dyDescent="0.3">
      <c r="A4996" s="1" t="s">
        <v>514</v>
      </c>
      <c r="B4996" t="s">
        <v>489</v>
      </c>
      <c r="C4996" s="1">
        <v>3.7719999999999998</v>
      </c>
    </row>
    <row r="4997" spans="1:3" x14ac:dyDescent="0.3">
      <c r="A4997" s="1" t="s">
        <v>514</v>
      </c>
      <c r="B4997" t="s">
        <v>490</v>
      </c>
      <c r="C4997" s="1">
        <v>3.8109999999999999</v>
      </c>
    </row>
    <row r="4998" spans="1:3" x14ac:dyDescent="0.3">
      <c r="A4998" s="1" t="s">
        <v>514</v>
      </c>
      <c r="B4998" t="s">
        <v>491</v>
      </c>
      <c r="C4998" s="1">
        <v>3.8054999999999999</v>
      </c>
    </row>
    <row r="4999" spans="1:3" x14ac:dyDescent="0.3">
      <c r="A4999" s="1" t="s">
        <v>514</v>
      </c>
      <c r="B4999" t="s">
        <v>492</v>
      </c>
      <c r="C4999" s="1">
        <v>3.8260000000000001</v>
      </c>
    </row>
    <row r="5000" spans="1:3" x14ac:dyDescent="0.3">
      <c r="A5000" s="1" t="s">
        <v>514</v>
      </c>
      <c r="B5000" t="s">
        <v>493</v>
      </c>
      <c r="C5000" s="1">
        <v>3.8319999999999999</v>
      </c>
    </row>
    <row r="5001" spans="1:3" x14ac:dyDescent="0.3">
      <c r="A5001" s="1" t="s">
        <v>514</v>
      </c>
      <c r="B5001" t="s">
        <v>494</v>
      </c>
      <c r="C5001" s="1">
        <v>3.883</v>
      </c>
    </row>
    <row r="5002" spans="1:3" x14ac:dyDescent="0.3">
      <c r="A5002" s="1" t="s">
        <v>514</v>
      </c>
      <c r="B5002" t="s">
        <v>495</v>
      </c>
      <c r="C5002" s="1">
        <v>3.82</v>
      </c>
    </row>
    <row r="5003" spans="1:3" x14ac:dyDescent="0.3">
      <c r="A5003" s="1" t="s">
        <v>514</v>
      </c>
      <c r="B5003" t="s">
        <v>496</v>
      </c>
      <c r="C5003" s="1">
        <v>3.8515000000000001</v>
      </c>
    </row>
    <row r="5004" spans="1:3" x14ac:dyDescent="0.3">
      <c r="A5004" s="1" t="s">
        <v>514</v>
      </c>
      <c r="B5004" t="s">
        <v>497</v>
      </c>
      <c r="C5004" s="1">
        <v>3.7094999999999998</v>
      </c>
    </row>
    <row r="5005" spans="1:3" x14ac:dyDescent="0.3">
      <c r="A5005" s="1" t="s">
        <v>514</v>
      </c>
      <c r="B5005" t="s">
        <v>498</v>
      </c>
      <c r="C5005" s="1">
        <v>3.7835000000000001</v>
      </c>
    </row>
    <row r="5006" spans="1:3" x14ac:dyDescent="0.3">
      <c r="A5006" s="1" t="s">
        <v>514</v>
      </c>
      <c r="B5006" t="s">
        <v>499</v>
      </c>
      <c r="C5006" s="1">
        <v>3.8075000000000001</v>
      </c>
    </row>
    <row r="5007" spans="1:3" x14ac:dyDescent="0.3">
      <c r="A5007" s="1" t="s">
        <v>514</v>
      </c>
      <c r="B5007" t="s">
        <v>500</v>
      </c>
      <c r="C5007" s="1">
        <v>3.8</v>
      </c>
    </row>
    <row r="5008" spans="1:3" x14ac:dyDescent="0.3">
      <c r="A5008" s="1" t="s">
        <v>514</v>
      </c>
      <c r="B5008" t="s">
        <v>501</v>
      </c>
      <c r="C5008" s="1">
        <v>3.7675000000000001</v>
      </c>
    </row>
    <row r="5009" spans="1:3" x14ac:dyDescent="0.3">
      <c r="A5009" s="1" t="s">
        <v>514</v>
      </c>
      <c r="B5009" t="s">
        <v>502</v>
      </c>
      <c r="C5009" s="1">
        <v>3.7395</v>
      </c>
    </row>
    <row r="5010" spans="1:3" x14ac:dyDescent="0.3">
      <c r="A5010" s="1" t="s">
        <v>514</v>
      </c>
      <c r="B5010" t="s">
        <v>503</v>
      </c>
      <c r="C5010" s="1">
        <v>3.7195</v>
      </c>
    </row>
    <row r="5011" spans="1:3" x14ac:dyDescent="0.3">
      <c r="A5011" s="1" t="s">
        <v>514</v>
      </c>
      <c r="B5011" t="s">
        <v>504</v>
      </c>
      <c r="C5011" s="1">
        <v>3.7025000000000001</v>
      </c>
    </row>
    <row r="5012" spans="1:3" x14ac:dyDescent="0.3">
      <c r="A5012" s="1" t="s">
        <v>515</v>
      </c>
      <c r="B5012" t="s">
        <v>4</v>
      </c>
      <c r="C5012" s="1">
        <v>15.560097000000001</v>
      </c>
    </row>
    <row r="5013" spans="1:3" x14ac:dyDescent="0.3">
      <c r="A5013" s="1" t="s">
        <v>515</v>
      </c>
      <c r="B5013" t="s">
        <v>5</v>
      </c>
      <c r="C5013" s="1">
        <v>15.435686</v>
      </c>
    </row>
    <row r="5014" spans="1:3" x14ac:dyDescent="0.3">
      <c r="A5014" s="1" t="s">
        <v>515</v>
      </c>
      <c r="B5014" t="s">
        <v>6</v>
      </c>
      <c r="C5014" s="1">
        <v>15.053572000000001</v>
      </c>
    </row>
    <row r="5015" spans="1:3" x14ac:dyDescent="0.3">
      <c r="A5015" s="1" t="s">
        <v>515</v>
      </c>
      <c r="B5015" t="s">
        <v>7</v>
      </c>
      <c r="C5015" s="1">
        <v>14.813639</v>
      </c>
    </row>
    <row r="5016" spans="1:3" x14ac:dyDescent="0.3">
      <c r="A5016" s="1" t="s">
        <v>515</v>
      </c>
      <c r="B5016" t="s">
        <v>8</v>
      </c>
      <c r="C5016" s="1">
        <v>14.529273999999999</v>
      </c>
    </row>
    <row r="5017" spans="1:3" x14ac:dyDescent="0.3">
      <c r="A5017" s="1" t="s">
        <v>515</v>
      </c>
      <c r="B5017" t="s">
        <v>9</v>
      </c>
      <c r="C5017" s="1">
        <v>14.573705</v>
      </c>
    </row>
    <row r="5018" spans="1:3" x14ac:dyDescent="0.3">
      <c r="A5018" s="1" t="s">
        <v>515</v>
      </c>
      <c r="B5018" t="s">
        <v>10</v>
      </c>
      <c r="C5018" s="1">
        <v>14.502613999999999</v>
      </c>
    </row>
    <row r="5019" spans="1:3" x14ac:dyDescent="0.3">
      <c r="A5019" s="1" t="s">
        <v>515</v>
      </c>
      <c r="B5019" t="s">
        <v>11</v>
      </c>
      <c r="C5019" s="1">
        <v>14.307115</v>
      </c>
    </row>
    <row r="5020" spans="1:3" x14ac:dyDescent="0.3">
      <c r="A5020" s="1" t="s">
        <v>515</v>
      </c>
      <c r="B5020" t="s">
        <v>12</v>
      </c>
      <c r="C5020" s="1">
        <v>14.564818000000001</v>
      </c>
    </row>
    <row r="5021" spans="1:3" x14ac:dyDescent="0.3">
      <c r="A5021" s="1" t="s">
        <v>515</v>
      </c>
      <c r="B5021" t="s">
        <v>13</v>
      </c>
      <c r="C5021" s="1">
        <v>14.16493</v>
      </c>
    </row>
    <row r="5022" spans="1:3" x14ac:dyDescent="0.3">
      <c r="A5022" s="1" t="s">
        <v>515</v>
      </c>
      <c r="B5022" t="s">
        <v>14</v>
      </c>
      <c r="C5022" s="1">
        <v>13.969431</v>
      </c>
    </row>
    <row r="5023" spans="1:3" x14ac:dyDescent="0.3">
      <c r="A5023" s="1" t="s">
        <v>515</v>
      </c>
      <c r="B5023" t="s">
        <v>15</v>
      </c>
      <c r="C5023" s="1">
        <v>14.333772</v>
      </c>
    </row>
    <row r="5024" spans="1:3" x14ac:dyDescent="0.3">
      <c r="A5024" s="1" t="s">
        <v>515</v>
      </c>
      <c r="B5024" t="s">
        <v>16</v>
      </c>
      <c r="C5024" s="1">
        <v>14.458182000000001</v>
      </c>
    </row>
    <row r="5025" spans="1:3" x14ac:dyDescent="0.3">
      <c r="A5025" s="1" t="s">
        <v>515</v>
      </c>
      <c r="B5025" t="s">
        <v>17</v>
      </c>
      <c r="C5025" s="1">
        <v>14.058293000000001</v>
      </c>
    </row>
    <row r="5026" spans="1:3" x14ac:dyDescent="0.3">
      <c r="A5026" s="1" t="s">
        <v>515</v>
      </c>
      <c r="B5026" t="s">
        <v>18</v>
      </c>
      <c r="C5026" s="1">
        <v>14.5115</v>
      </c>
    </row>
    <row r="5027" spans="1:3" x14ac:dyDescent="0.3">
      <c r="A5027" s="1" t="s">
        <v>515</v>
      </c>
      <c r="B5027" t="s">
        <v>19</v>
      </c>
      <c r="C5027" s="1">
        <v>14.715888</v>
      </c>
    </row>
    <row r="5028" spans="1:3" x14ac:dyDescent="0.3">
      <c r="A5028" s="1" t="s">
        <v>515</v>
      </c>
      <c r="B5028" t="s">
        <v>20</v>
      </c>
      <c r="C5028" s="1">
        <v>14.262681000000001</v>
      </c>
    </row>
    <row r="5029" spans="1:3" x14ac:dyDescent="0.3">
      <c r="A5029" s="1" t="s">
        <v>515</v>
      </c>
      <c r="B5029" t="s">
        <v>21</v>
      </c>
      <c r="C5029" s="1">
        <v>14.271566999999999</v>
      </c>
    </row>
    <row r="5030" spans="1:3" x14ac:dyDescent="0.3">
      <c r="A5030" s="1" t="s">
        <v>515</v>
      </c>
      <c r="B5030" t="s">
        <v>22</v>
      </c>
      <c r="C5030" s="1">
        <v>14.573705</v>
      </c>
    </row>
    <row r="5031" spans="1:3" x14ac:dyDescent="0.3">
      <c r="A5031" s="1" t="s">
        <v>515</v>
      </c>
      <c r="B5031" t="s">
        <v>23</v>
      </c>
      <c r="C5031" s="1">
        <v>14.182703</v>
      </c>
    </row>
    <row r="5032" spans="1:3" x14ac:dyDescent="0.3">
      <c r="A5032" s="1" t="s">
        <v>515</v>
      </c>
      <c r="B5032" t="s">
        <v>24</v>
      </c>
      <c r="C5032" s="1">
        <v>14.395977999999999</v>
      </c>
    </row>
    <row r="5033" spans="1:3" x14ac:dyDescent="0.3">
      <c r="A5033" s="1" t="s">
        <v>515</v>
      </c>
      <c r="B5033" t="s">
        <v>25</v>
      </c>
      <c r="C5033" s="1">
        <v>14.627022999999999</v>
      </c>
    </row>
    <row r="5034" spans="1:3" x14ac:dyDescent="0.3">
      <c r="A5034" s="1" t="s">
        <v>515</v>
      </c>
      <c r="B5034" t="s">
        <v>26</v>
      </c>
      <c r="C5034" s="1">
        <v>15.053572000000001</v>
      </c>
    </row>
    <row r="5035" spans="1:3" x14ac:dyDescent="0.3">
      <c r="A5035" s="1" t="s">
        <v>515</v>
      </c>
      <c r="B5035" t="s">
        <v>27</v>
      </c>
      <c r="C5035" s="1">
        <v>14.911389</v>
      </c>
    </row>
    <row r="5036" spans="1:3" x14ac:dyDescent="0.3">
      <c r="A5036" s="1" t="s">
        <v>515</v>
      </c>
      <c r="B5036" t="s">
        <v>28</v>
      </c>
      <c r="C5036" s="1">
        <v>15.106889000000001</v>
      </c>
    </row>
    <row r="5037" spans="1:3" x14ac:dyDescent="0.3">
      <c r="A5037" s="1" t="s">
        <v>515</v>
      </c>
      <c r="B5037" t="s">
        <v>29</v>
      </c>
      <c r="C5037" s="1">
        <v>15.400141</v>
      </c>
    </row>
    <row r="5038" spans="1:3" x14ac:dyDescent="0.3">
      <c r="A5038" s="1" t="s">
        <v>515</v>
      </c>
      <c r="B5038" t="s">
        <v>30</v>
      </c>
      <c r="C5038" s="1">
        <v>15.462346</v>
      </c>
    </row>
    <row r="5039" spans="1:3" x14ac:dyDescent="0.3">
      <c r="A5039" s="1" t="s">
        <v>515</v>
      </c>
      <c r="B5039" t="s">
        <v>31</v>
      </c>
      <c r="C5039" s="1">
        <v>15.764483</v>
      </c>
    </row>
    <row r="5040" spans="1:3" x14ac:dyDescent="0.3">
      <c r="A5040" s="1" t="s">
        <v>515</v>
      </c>
      <c r="B5040" t="s">
        <v>32</v>
      </c>
      <c r="C5040" s="1">
        <v>15.746712</v>
      </c>
    </row>
    <row r="5041" spans="1:3" x14ac:dyDescent="0.3">
      <c r="A5041" s="1" t="s">
        <v>515</v>
      </c>
      <c r="B5041" t="s">
        <v>33</v>
      </c>
      <c r="C5041" s="1">
        <v>15.897779</v>
      </c>
    </row>
    <row r="5042" spans="1:3" x14ac:dyDescent="0.3">
      <c r="A5042" s="1" t="s">
        <v>515</v>
      </c>
      <c r="B5042" t="s">
        <v>34</v>
      </c>
      <c r="C5042" s="1">
        <v>16.217690999999999</v>
      </c>
    </row>
    <row r="5043" spans="1:3" x14ac:dyDescent="0.3">
      <c r="A5043" s="1" t="s">
        <v>515</v>
      </c>
      <c r="B5043" t="s">
        <v>35</v>
      </c>
      <c r="C5043" s="1">
        <v>16.510940999999999</v>
      </c>
    </row>
    <row r="5044" spans="1:3" x14ac:dyDescent="0.3">
      <c r="A5044" s="1" t="s">
        <v>515</v>
      </c>
      <c r="B5044" t="s">
        <v>36</v>
      </c>
      <c r="C5044" s="1">
        <v>16.61758</v>
      </c>
    </row>
    <row r="5045" spans="1:3" x14ac:dyDescent="0.3">
      <c r="A5045" s="1" t="s">
        <v>515</v>
      </c>
      <c r="B5045" t="s">
        <v>37</v>
      </c>
      <c r="C5045" s="1">
        <v>16.182141999999999</v>
      </c>
    </row>
    <row r="5046" spans="1:3" x14ac:dyDescent="0.3">
      <c r="A5046" s="1" t="s">
        <v>515</v>
      </c>
      <c r="B5046" t="s">
        <v>38</v>
      </c>
      <c r="C5046" s="1">
        <v>16.191030999999999</v>
      </c>
    </row>
    <row r="5047" spans="1:3" x14ac:dyDescent="0.3">
      <c r="A5047" s="1" t="s">
        <v>515</v>
      </c>
      <c r="B5047" t="s">
        <v>39</v>
      </c>
      <c r="C5047" s="1">
        <v>16.093281000000001</v>
      </c>
    </row>
    <row r="5048" spans="1:3" x14ac:dyDescent="0.3">
      <c r="A5048" s="1" t="s">
        <v>515</v>
      </c>
      <c r="B5048" t="s">
        <v>40</v>
      </c>
      <c r="C5048" s="1">
        <v>15.835575</v>
      </c>
    </row>
    <row r="5049" spans="1:3" x14ac:dyDescent="0.3">
      <c r="A5049" s="1" t="s">
        <v>515</v>
      </c>
      <c r="B5049" t="s">
        <v>41</v>
      </c>
      <c r="C5049" s="1">
        <v>15.515663999999999</v>
      </c>
    </row>
    <row r="5050" spans="1:3" x14ac:dyDescent="0.3">
      <c r="A5050" s="1" t="s">
        <v>515</v>
      </c>
      <c r="B5050" t="s">
        <v>42</v>
      </c>
      <c r="C5050" s="1">
        <v>15.364595</v>
      </c>
    </row>
    <row r="5051" spans="1:3" x14ac:dyDescent="0.3">
      <c r="A5051" s="1" t="s">
        <v>515</v>
      </c>
      <c r="B5051" t="s">
        <v>43</v>
      </c>
      <c r="C5051" s="1">
        <v>15.142436</v>
      </c>
    </row>
    <row r="5052" spans="1:3" x14ac:dyDescent="0.3">
      <c r="A5052" s="1" t="s">
        <v>515</v>
      </c>
      <c r="B5052" t="s">
        <v>44</v>
      </c>
      <c r="C5052" s="1">
        <v>15.35571</v>
      </c>
    </row>
    <row r="5053" spans="1:3" x14ac:dyDescent="0.3">
      <c r="A5053" s="1" t="s">
        <v>515</v>
      </c>
      <c r="B5053" t="s">
        <v>45</v>
      </c>
      <c r="C5053" s="1">
        <v>15.471232000000001</v>
      </c>
    </row>
    <row r="5054" spans="1:3" x14ac:dyDescent="0.3">
      <c r="A5054" s="1" t="s">
        <v>515</v>
      </c>
      <c r="B5054" t="s">
        <v>46</v>
      </c>
      <c r="C5054" s="1">
        <v>15.826687</v>
      </c>
    </row>
    <row r="5055" spans="1:3" x14ac:dyDescent="0.3">
      <c r="A5055" s="1" t="s">
        <v>515</v>
      </c>
      <c r="B5055" t="s">
        <v>47</v>
      </c>
      <c r="C5055" s="1">
        <v>15.177982</v>
      </c>
    </row>
    <row r="5056" spans="1:3" x14ac:dyDescent="0.3">
      <c r="A5056" s="1" t="s">
        <v>515</v>
      </c>
      <c r="B5056" t="s">
        <v>48</v>
      </c>
      <c r="C5056" s="1">
        <v>14.715888</v>
      </c>
    </row>
    <row r="5057" spans="1:3" x14ac:dyDescent="0.3">
      <c r="A5057" s="1" t="s">
        <v>515</v>
      </c>
      <c r="B5057" t="s">
        <v>49</v>
      </c>
      <c r="C5057" s="1">
        <v>14.644795999999999</v>
      </c>
    </row>
    <row r="5058" spans="1:3" x14ac:dyDescent="0.3">
      <c r="A5058" s="1" t="s">
        <v>515</v>
      </c>
      <c r="B5058" t="s">
        <v>50</v>
      </c>
      <c r="C5058" s="1">
        <v>14.955821</v>
      </c>
    </row>
    <row r="5059" spans="1:3" x14ac:dyDescent="0.3">
      <c r="A5059" s="1" t="s">
        <v>515</v>
      </c>
      <c r="B5059" t="s">
        <v>51</v>
      </c>
      <c r="C5059" s="1">
        <v>14.884729999999999</v>
      </c>
    </row>
    <row r="5060" spans="1:3" x14ac:dyDescent="0.3">
      <c r="A5060" s="1" t="s">
        <v>515</v>
      </c>
      <c r="B5060" t="s">
        <v>52</v>
      </c>
      <c r="C5060" s="1">
        <v>14.804751</v>
      </c>
    </row>
    <row r="5061" spans="1:3" x14ac:dyDescent="0.3">
      <c r="A5061" s="1" t="s">
        <v>515</v>
      </c>
      <c r="B5061" t="s">
        <v>53</v>
      </c>
      <c r="C5061" s="1">
        <v>15.195753</v>
      </c>
    </row>
    <row r="5062" spans="1:3" x14ac:dyDescent="0.3">
      <c r="A5062" s="1" t="s">
        <v>515</v>
      </c>
      <c r="B5062" t="s">
        <v>54</v>
      </c>
      <c r="C5062" s="1">
        <v>15.453459000000001</v>
      </c>
    </row>
    <row r="5063" spans="1:3" x14ac:dyDescent="0.3">
      <c r="A5063" s="1" t="s">
        <v>515</v>
      </c>
      <c r="B5063" t="s">
        <v>55</v>
      </c>
      <c r="C5063" s="1">
        <v>15.791143999999999</v>
      </c>
    </row>
    <row r="5064" spans="1:3" x14ac:dyDescent="0.3">
      <c r="A5064" s="1" t="s">
        <v>515</v>
      </c>
      <c r="B5064" t="s">
        <v>56</v>
      </c>
      <c r="C5064" s="1">
        <v>15.640074</v>
      </c>
    </row>
    <row r="5065" spans="1:3" x14ac:dyDescent="0.3">
      <c r="A5065" s="1" t="s">
        <v>515</v>
      </c>
      <c r="B5065" t="s">
        <v>57</v>
      </c>
      <c r="C5065" s="1">
        <v>15.844461000000001</v>
      </c>
    </row>
    <row r="5066" spans="1:3" x14ac:dyDescent="0.3">
      <c r="A5066" s="1" t="s">
        <v>515</v>
      </c>
      <c r="B5066" t="s">
        <v>58</v>
      </c>
      <c r="C5066" s="1">
        <v>15.880008</v>
      </c>
    </row>
    <row r="5067" spans="1:3" x14ac:dyDescent="0.3">
      <c r="A5067" s="1" t="s">
        <v>515</v>
      </c>
      <c r="B5067" t="s">
        <v>59</v>
      </c>
      <c r="C5067" s="1">
        <v>15.844461000000001</v>
      </c>
    </row>
    <row r="5068" spans="1:3" x14ac:dyDescent="0.3">
      <c r="A5068" s="1" t="s">
        <v>515</v>
      </c>
      <c r="B5068" t="s">
        <v>60</v>
      </c>
      <c r="C5068" s="1">
        <v>15.764483</v>
      </c>
    </row>
    <row r="5069" spans="1:3" x14ac:dyDescent="0.3">
      <c r="A5069" s="1" t="s">
        <v>515</v>
      </c>
      <c r="B5069" t="s">
        <v>61</v>
      </c>
      <c r="C5069" s="1">
        <v>16.102167000000001</v>
      </c>
    </row>
    <row r="5070" spans="1:3" x14ac:dyDescent="0.3">
      <c r="A5070" s="1" t="s">
        <v>515</v>
      </c>
      <c r="B5070" t="s">
        <v>62</v>
      </c>
      <c r="C5070" s="1">
        <v>16.128826</v>
      </c>
    </row>
    <row r="5071" spans="1:3" x14ac:dyDescent="0.3">
      <c r="A5071" s="1" t="s">
        <v>515</v>
      </c>
      <c r="B5071" t="s">
        <v>63</v>
      </c>
      <c r="C5071" s="1">
        <v>16.128826</v>
      </c>
    </row>
    <row r="5072" spans="1:3" x14ac:dyDescent="0.3">
      <c r="A5072" s="1" t="s">
        <v>515</v>
      </c>
      <c r="B5072" t="s">
        <v>64</v>
      </c>
      <c r="C5072" s="1">
        <v>17.808358999999999</v>
      </c>
    </row>
    <row r="5073" spans="1:3" x14ac:dyDescent="0.3">
      <c r="A5073" s="1" t="s">
        <v>515</v>
      </c>
      <c r="B5073" t="s">
        <v>65</v>
      </c>
      <c r="C5073" s="1">
        <v>17.897223</v>
      </c>
    </row>
    <row r="5074" spans="1:3" x14ac:dyDescent="0.3">
      <c r="A5074" s="1" t="s">
        <v>515</v>
      </c>
      <c r="B5074" t="s">
        <v>66</v>
      </c>
      <c r="C5074" s="1">
        <v>18.394859</v>
      </c>
    </row>
    <row r="5075" spans="1:3" x14ac:dyDescent="0.3">
      <c r="A5075" s="1" t="s">
        <v>515</v>
      </c>
      <c r="B5075" t="s">
        <v>67</v>
      </c>
      <c r="C5075" s="1">
        <v>18.483725</v>
      </c>
    </row>
    <row r="5076" spans="1:3" x14ac:dyDescent="0.3">
      <c r="A5076" s="1" t="s">
        <v>515</v>
      </c>
      <c r="B5076" t="s">
        <v>68</v>
      </c>
      <c r="C5076" s="1">
        <v>18.803633000000001</v>
      </c>
    </row>
    <row r="5077" spans="1:3" x14ac:dyDescent="0.3">
      <c r="A5077" s="1" t="s">
        <v>515</v>
      </c>
      <c r="B5077" t="s">
        <v>69</v>
      </c>
      <c r="C5077" s="1">
        <v>17.808358999999999</v>
      </c>
    </row>
    <row r="5078" spans="1:3" x14ac:dyDescent="0.3">
      <c r="A5078" s="1" t="s">
        <v>515</v>
      </c>
      <c r="B5078" t="s">
        <v>70</v>
      </c>
      <c r="C5078" s="1">
        <v>18.128267000000001</v>
      </c>
    </row>
    <row r="5079" spans="1:3" x14ac:dyDescent="0.3">
      <c r="A5079" s="1" t="s">
        <v>515</v>
      </c>
      <c r="B5079" t="s">
        <v>71</v>
      </c>
      <c r="C5079" s="1">
        <v>18.803633000000001</v>
      </c>
    </row>
    <row r="5080" spans="1:3" x14ac:dyDescent="0.3">
      <c r="A5080" s="1" t="s">
        <v>515</v>
      </c>
      <c r="B5080" t="s">
        <v>72</v>
      </c>
      <c r="C5080" s="1">
        <v>18.839182000000001</v>
      </c>
    </row>
    <row r="5081" spans="1:3" x14ac:dyDescent="0.3">
      <c r="A5081" s="1" t="s">
        <v>515</v>
      </c>
      <c r="B5081" t="s">
        <v>73</v>
      </c>
      <c r="C5081" s="1">
        <v>18.750316999999999</v>
      </c>
    </row>
    <row r="5082" spans="1:3" x14ac:dyDescent="0.3">
      <c r="A5082" s="1" t="s">
        <v>515</v>
      </c>
      <c r="B5082" t="s">
        <v>74</v>
      </c>
      <c r="C5082" s="1">
        <v>18.981363000000002</v>
      </c>
    </row>
    <row r="5083" spans="1:3" x14ac:dyDescent="0.3">
      <c r="A5083" s="1" t="s">
        <v>515</v>
      </c>
      <c r="B5083" t="s">
        <v>75</v>
      </c>
      <c r="C5083" s="1">
        <v>18.999134000000002</v>
      </c>
    </row>
    <row r="5084" spans="1:3" x14ac:dyDescent="0.3">
      <c r="A5084" s="1" t="s">
        <v>515</v>
      </c>
      <c r="B5084" t="s">
        <v>76</v>
      </c>
      <c r="C5084" s="1">
        <v>18.768090999999998</v>
      </c>
    </row>
    <row r="5085" spans="1:3" x14ac:dyDescent="0.3">
      <c r="A5085" s="1" t="s">
        <v>515</v>
      </c>
      <c r="B5085" t="s">
        <v>77</v>
      </c>
      <c r="C5085" s="1">
        <v>18.714770999999999</v>
      </c>
    </row>
    <row r="5086" spans="1:3" x14ac:dyDescent="0.3">
      <c r="A5086" s="1" t="s">
        <v>515</v>
      </c>
      <c r="B5086" t="s">
        <v>78</v>
      </c>
      <c r="C5086" s="1">
        <v>18.394859</v>
      </c>
    </row>
    <row r="5087" spans="1:3" x14ac:dyDescent="0.3">
      <c r="A5087" s="1" t="s">
        <v>515</v>
      </c>
      <c r="B5087" t="s">
        <v>79</v>
      </c>
      <c r="C5087" s="1">
        <v>18.181584999999998</v>
      </c>
    </row>
    <row r="5088" spans="1:3" x14ac:dyDescent="0.3">
      <c r="A5088" s="1" t="s">
        <v>515</v>
      </c>
      <c r="B5088" t="s">
        <v>80</v>
      </c>
      <c r="C5088" s="1">
        <v>18.341540999999999</v>
      </c>
    </row>
    <row r="5089" spans="1:3" x14ac:dyDescent="0.3">
      <c r="A5089" s="1" t="s">
        <v>515</v>
      </c>
      <c r="B5089" t="s">
        <v>81</v>
      </c>
      <c r="C5089" s="1">
        <v>18.092724</v>
      </c>
    </row>
    <row r="5090" spans="1:3" x14ac:dyDescent="0.3">
      <c r="A5090" s="1" t="s">
        <v>515</v>
      </c>
      <c r="B5090" t="s">
        <v>82</v>
      </c>
      <c r="C5090" s="1">
        <v>18.092724</v>
      </c>
    </row>
    <row r="5091" spans="1:3" x14ac:dyDescent="0.3">
      <c r="A5091" s="1" t="s">
        <v>515</v>
      </c>
      <c r="B5091" t="s">
        <v>83</v>
      </c>
      <c r="C5091" s="1">
        <v>17.968312999999998</v>
      </c>
    </row>
    <row r="5092" spans="1:3" x14ac:dyDescent="0.3">
      <c r="A5092" s="1" t="s">
        <v>515</v>
      </c>
      <c r="B5092" t="s">
        <v>84</v>
      </c>
      <c r="C5092" s="1">
        <v>17.843900999999999</v>
      </c>
    </row>
    <row r="5093" spans="1:3" x14ac:dyDescent="0.3">
      <c r="A5093" s="1" t="s">
        <v>515</v>
      </c>
      <c r="B5093" t="s">
        <v>85</v>
      </c>
      <c r="C5093" s="1">
        <v>17.986084000000002</v>
      </c>
    </row>
    <row r="5094" spans="1:3" x14ac:dyDescent="0.3">
      <c r="A5094" s="1" t="s">
        <v>515</v>
      </c>
      <c r="B5094" t="s">
        <v>86</v>
      </c>
      <c r="C5094" s="1">
        <v>18.323768999999999</v>
      </c>
    </row>
    <row r="5095" spans="1:3" x14ac:dyDescent="0.3">
      <c r="A5095" s="1" t="s">
        <v>515</v>
      </c>
      <c r="B5095" t="s">
        <v>87</v>
      </c>
      <c r="C5095" s="1">
        <v>18.039404000000001</v>
      </c>
    </row>
    <row r="5096" spans="1:3" x14ac:dyDescent="0.3">
      <c r="A5096" s="1" t="s">
        <v>515</v>
      </c>
      <c r="B5096" t="s">
        <v>88</v>
      </c>
      <c r="C5096" s="1">
        <v>17.701720999999999</v>
      </c>
    </row>
    <row r="5097" spans="1:3" x14ac:dyDescent="0.3">
      <c r="A5097" s="1" t="s">
        <v>515</v>
      </c>
      <c r="B5097" t="s">
        <v>89</v>
      </c>
      <c r="C5097" s="1">
        <v>17.861675000000002</v>
      </c>
    </row>
    <row r="5098" spans="1:3" x14ac:dyDescent="0.3">
      <c r="A5098" s="1" t="s">
        <v>515</v>
      </c>
      <c r="B5098" t="s">
        <v>90</v>
      </c>
      <c r="C5098" s="1">
        <v>18.057176999999999</v>
      </c>
    </row>
    <row r="5099" spans="1:3" x14ac:dyDescent="0.3">
      <c r="A5099" s="1" t="s">
        <v>515</v>
      </c>
      <c r="B5099" t="s">
        <v>91</v>
      </c>
      <c r="C5099" s="1">
        <v>17.772811999999998</v>
      </c>
    </row>
    <row r="5100" spans="1:3" x14ac:dyDescent="0.3">
      <c r="A5100" s="1" t="s">
        <v>515</v>
      </c>
      <c r="B5100" t="s">
        <v>92</v>
      </c>
      <c r="C5100" s="1">
        <v>17.60397</v>
      </c>
    </row>
    <row r="5101" spans="1:3" x14ac:dyDescent="0.3">
      <c r="A5101" s="1" t="s">
        <v>515</v>
      </c>
      <c r="B5101" t="s">
        <v>93</v>
      </c>
      <c r="C5101" s="1">
        <v>17.763926000000001</v>
      </c>
    </row>
    <row r="5102" spans="1:3" x14ac:dyDescent="0.3">
      <c r="A5102" s="1" t="s">
        <v>515</v>
      </c>
      <c r="B5102" t="s">
        <v>94</v>
      </c>
      <c r="C5102" s="1">
        <v>17.675059999999998</v>
      </c>
    </row>
    <row r="5103" spans="1:3" x14ac:dyDescent="0.3">
      <c r="A5103" s="1" t="s">
        <v>515</v>
      </c>
      <c r="B5103" t="s">
        <v>95</v>
      </c>
      <c r="C5103" s="1">
        <v>17.914991000000001</v>
      </c>
    </row>
    <row r="5104" spans="1:3" x14ac:dyDescent="0.3">
      <c r="A5104" s="1" t="s">
        <v>515</v>
      </c>
      <c r="B5104" t="s">
        <v>96</v>
      </c>
      <c r="C5104" s="1">
        <v>17.986084000000002</v>
      </c>
    </row>
    <row r="5105" spans="1:3" x14ac:dyDescent="0.3">
      <c r="A5105" s="1" t="s">
        <v>515</v>
      </c>
      <c r="B5105" t="s">
        <v>97</v>
      </c>
      <c r="C5105" s="1">
        <v>17.968312999999998</v>
      </c>
    </row>
    <row r="5106" spans="1:3" x14ac:dyDescent="0.3">
      <c r="A5106" s="1" t="s">
        <v>515</v>
      </c>
      <c r="B5106" t="s">
        <v>98</v>
      </c>
      <c r="C5106" s="1">
        <v>18.163815</v>
      </c>
    </row>
    <row r="5107" spans="1:3" x14ac:dyDescent="0.3">
      <c r="A5107" s="1" t="s">
        <v>515</v>
      </c>
      <c r="B5107" t="s">
        <v>99</v>
      </c>
      <c r="C5107" s="1">
        <v>18.572590000000002</v>
      </c>
    </row>
    <row r="5108" spans="1:3" x14ac:dyDescent="0.3">
      <c r="A5108" s="1" t="s">
        <v>515</v>
      </c>
      <c r="B5108" t="s">
        <v>100</v>
      </c>
      <c r="C5108" s="1">
        <v>18.572590000000002</v>
      </c>
    </row>
    <row r="5109" spans="1:3" x14ac:dyDescent="0.3">
      <c r="A5109" s="1" t="s">
        <v>515</v>
      </c>
      <c r="B5109" t="s">
        <v>101</v>
      </c>
      <c r="C5109" s="1">
        <v>19.070225000000001</v>
      </c>
    </row>
    <row r="5110" spans="1:3" x14ac:dyDescent="0.3">
      <c r="A5110" s="1" t="s">
        <v>515</v>
      </c>
      <c r="B5110" t="s">
        <v>102</v>
      </c>
      <c r="C5110" s="1">
        <v>18.803633000000001</v>
      </c>
    </row>
    <row r="5111" spans="1:3" x14ac:dyDescent="0.3">
      <c r="A5111" s="1" t="s">
        <v>515</v>
      </c>
      <c r="B5111" t="s">
        <v>103</v>
      </c>
      <c r="C5111" s="1">
        <v>18.750316999999999</v>
      </c>
    </row>
    <row r="5112" spans="1:3" x14ac:dyDescent="0.3">
      <c r="A5112" s="1" t="s">
        <v>515</v>
      </c>
      <c r="B5112" t="s">
        <v>104</v>
      </c>
      <c r="C5112" s="1">
        <v>19.016908999999998</v>
      </c>
    </row>
    <row r="5113" spans="1:3" x14ac:dyDescent="0.3">
      <c r="A5113" s="1" t="s">
        <v>515</v>
      </c>
      <c r="B5113" t="s">
        <v>105</v>
      </c>
      <c r="C5113" s="1">
        <v>19.052455999999999</v>
      </c>
    </row>
    <row r="5114" spans="1:3" x14ac:dyDescent="0.3">
      <c r="A5114" s="1" t="s">
        <v>515</v>
      </c>
      <c r="B5114" t="s">
        <v>106</v>
      </c>
      <c r="C5114" s="1">
        <v>19.052455999999999</v>
      </c>
    </row>
    <row r="5115" spans="1:3" x14ac:dyDescent="0.3">
      <c r="A5115" s="1" t="s">
        <v>515</v>
      </c>
      <c r="B5115" t="s">
        <v>107</v>
      </c>
      <c r="C5115" s="1">
        <v>18.981363000000002</v>
      </c>
    </row>
    <row r="5116" spans="1:3" x14ac:dyDescent="0.3">
      <c r="A5116" s="1" t="s">
        <v>515</v>
      </c>
      <c r="B5116" t="s">
        <v>108</v>
      </c>
      <c r="C5116" s="1">
        <v>19.283501000000001</v>
      </c>
    </row>
    <row r="5117" spans="1:3" x14ac:dyDescent="0.3">
      <c r="A5117" s="1" t="s">
        <v>515</v>
      </c>
      <c r="B5117" t="s">
        <v>109</v>
      </c>
      <c r="C5117" s="1">
        <v>19.123545</v>
      </c>
    </row>
    <row r="5118" spans="1:3" x14ac:dyDescent="0.3">
      <c r="A5118" s="1" t="s">
        <v>515</v>
      </c>
      <c r="B5118" t="s">
        <v>110</v>
      </c>
      <c r="C5118" s="1">
        <v>18.78586</v>
      </c>
    </row>
    <row r="5119" spans="1:3" x14ac:dyDescent="0.3">
      <c r="A5119" s="1" t="s">
        <v>515</v>
      </c>
      <c r="B5119" t="s">
        <v>111</v>
      </c>
      <c r="C5119" s="1">
        <v>18.78586</v>
      </c>
    </row>
    <row r="5120" spans="1:3" x14ac:dyDescent="0.3">
      <c r="A5120" s="1" t="s">
        <v>515</v>
      </c>
      <c r="B5120" t="s">
        <v>112</v>
      </c>
      <c r="C5120" s="1">
        <v>19.016908999999998</v>
      </c>
    </row>
    <row r="5121" spans="1:3" x14ac:dyDescent="0.3">
      <c r="A5121" s="1" t="s">
        <v>515</v>
      </c>
      <c r="B5121" t="s">
        <v>113</v>
      </c>
      <c r="C5121" s="1">
        <v>19.265726000000001</v>
      </c>
    </row>
    <row r="5122" spans="1:3" x14ac:dyDescent="0.3">
      <c r="A5122" s="1" t="s">
        <v>515</v>
      </c>
      <c r="B5122" t="s">
        <v>114</v>
      </c>
      <c r="C5122" s="1">
        <v>19.336818999999998</v>
      </c>
    </row>
    <row r="5123" spans="1:3" x14ac:dyDescent="0.3">
      <c r="A5123" s="1" t="s">
        <v>515</v>
      </c>
      <c r="B5123" t="s">
        <v>115</v>
      </c>
      <c r="C5123" s="1">
        <v>19.301272999999998</v>
      </c>
    </row>
    <row r="5124" spans="1:3" x14ac:dyDescent="0.3">
      <c r="A5124" s="1" t="s">
        <v>515</v>
      </c>
      <c r="B5124" t="s">
        <v>116</v>
      </c>
      <c r="C5124" s="1">
        <v>19.407909</v>
      </c>
    </row>
    <row r="5125" spans="1:3" x14ac:dyDescent="0.3">
      <c r="A5125" s="1" t="s">
        <v>515</v>
      </c>
      <c r="B5125" t="s">
        <v>117</v>
      </c>
      <c r="C5125" s="1">
        <v>19.692274000000001</v>
      </c>
    </row>
    <row r="5126" spans="1:3" x14ac:dyDescent="0.3">
      <c r="A5126" s="1" t="s">
        <v>515</v>
      </c>
      <c r="B5126" t="s">
        <v>118</v>
      </c>
      <c r="C5126" s="1">
        <v>19.621182999999998</v>
      </c>
    </row>
    <row r="5127" spans="1:3" x14ac:dyDescent="0.3">
      <c r="A5127" s="1" t="s">
        <v>515</v>
      </c>
      <c r="B5127" t="s">
        <v>119</v>
      </c>
      <c r="C5127" s="1">
        <v>19.603411000000001</v>
      </c>
    </row>
    <row r="5128" spans="1:3" x14ac:dyDescent="0.3">
      <c r="A5128" s="1" t="s">
        <v>515</v>
      </c>
      <c r="B5128" t="s">
        <v>120</v>
      </c>
      <c r="C5128" s="1">
        <v>19.301272999999998</v>
      </c>
    </row>
    <row r="5129" spans="1:3" x14ac:dyDescent="0.3">
      <c r="A5129" s="1" t="s">
        <v>515</v>
      </c>
      <c r="B5129" t="s">
        <v>121</v>
      </c>
      <c r="C5129" s="1">
        <v>19.016908999999998</v>
      </c>
    </row>
    <row r="5130" spans="1:3" x14ac:dyDescent="0.3">
      <c r="A5130" s="1" t="s">
        <v>515</v>
      </c>
      <c r="B5130" t="s">
        <v>122</v>
      </c>
      <c r="C5130" s="1">
        <v>18.856953000000001</v>
      </c>
    </row>
    <row r="5131" spans="1:3" x14ac:dyDescent="0.3">
      <c r="A5131" s="1" t="s">
        <v>515</v>
      </c>
      <c r="B5131" t="s">
        <v>123</v>
      </c>
      <c r="C5131" s="1">
        <v>18.412631999999999</v>
      </c>
    </row>
    <row r="5132" spans="1:3" x14ac:dyDescent="0.3">
      <c r="A5132" s="1" t="s">
        <v>515</v>
      </c>
      <c r="B5132" t="s">
        <v>124</v>
      </c>
      <c r="C5132" s="1">
        <v>17.648401</v>
      </c>
    </row>
    <row r="5133" spans="1:3" x14ac:dyDescent="0.3">
      <c r="A5133" s="1" t="s">
        <v>515</v>
      </c>
      <c r="B5133" t="s">
        <v>125</v>
      </c>
      <c r="C5133" s="1">
        <v>17.763926000000001</v>
      </c>
    </row>
    <row r="5134" spans="1:3" x14ac:dyDescent="0.3">
      <c r="A5134" s="1" t="s">
        <v>515</v>
      </c>
      <c r="B5134" t="s">
        <v>126</v>
      </c>
      <c r="C5134" s="1">
        <v>17.932766000000001</v>
      </c>
    </row>
    <row r="5135" spans="1:3" x14ac:dyDescent="0.3">
      <c r="A5135" s="1" t="s">
        <v>515</v>
      </c>
      <c r="B5135" t="s">
        <v>127</v>
      </c>
      <c r="C5135" s="1">
        <v>17.559538</v>
      </c>
    </row>
    <row r="5136" spans="1:3" x14ac:dyDescent="0.3">
      <c r="A5136" s="1" t="s">
        <v>515</v>
      </c>
      <c r="B5136" t="s">
        <v>128</v>
      </c>
      <c r="C5136" s="1">
        <v>17.408470000000001</v>
      </c>
    </row>
    <row r="5137" spans="1:3" x14ac:dyDescent="0.3">
      <c r="A5137" s="1" t="s">
        <v>515</v>
      </c>
      <c r="B5137" t="s">
        <v>129</v>
      </c>
      <c r="C5137" s="1">
        <v>17.843900999999999</v>
      </c>
    </row>
    <row r="5138" spans="1:3" x14ac:dyDescent="0.3">
      <c r="A5138" s="1" t="s">
        <v>515</v>
      </c>
      <c r="B5138" t="s">
        <v>130</v>
      </c>
      <c r="C5138" s="1">
        <v>18.572590000000002</v>
      </c>
    </row>
    <row r="5139" spans="1:3" x14ac:dyDescent="0.3">
      <c r="A5139" s="1" t="s">
        <v>515</v>
      </c>
      <c r="B5139" t="s">
        <v>131</v>
      </c>
      <c r="C5139" s="1">
        <v>21.274056999999999</v>
      </c>
    </row>
    <row r="5140" spans="1:3" x14ac:dyDescent="0.3">
      <c r="A5140" s="1" t="s">
        <v>515</v>
      </c>
      <c r="B5140" t="s">
        <v>132</v>
      </c>
      <c r="C5140" s="1">
        <v>21.682829000000002</v>
      </c>
    </row>
    <row r="5141" spans="1:3" x14ac:dyDescent="0.3">
      <c r="A5141" s="1" t="s">
        <v>515</v>
      </c>
      <c r="B5141" t="s">
        <v>133</v>
      </c>
      <c r="C5141" s="1">
        <v>21.469557000000002</v>
      </c>
    </row>
    <row r="5142" spans="1:3" x14ac:dyDescent="0.3">
      <c r="A5142" s="1" t="s">
        <v>515</v>
      </c>
      <c r="B5142" t="s">
        <v>134</v>
      </c>
      <c r="C5142" s="1">
        <v>21.238507999999999</v>
      </c>
    </row>
    <row r="5143" spans="1:3" x14ac:dyDescent="0.3">
      <c r="A5143" s="1" t="s">
        <v>515</v>
      </c>
      <c r="B5143" t="s">
        <v>135</v>
      </c>
      <c r="C5143" s="1">
        <v>21.593966000000002</v>
      </c>
    </row>
    <row r="5144" spans="1:3" x14ac:dyDescent="0.3">
      <c r="A5144" s="1" t="s">
        <v>515</v>
      </c>
      <c r="B5144" t="s">
        <v>136</v>
      </c>
      <c r="C5144" s="1">
        <v>21.736149000000001</v>
      </c>
    </row>
    <row r="5145" spans="1:3" x14ac:dyDescent="0.3">
      <c r="A5145" s="1" t="s">
        <v>515</v>
      </c>
      <c r="B5145" t="s">
        <v>137</v>
      </c>
      <c r="C5145" s="1">
        <v>21.309601000000001</v>
      </c>
    </row>
    <row r="5146" spans="1:3" x14ac:dyDescent="0.3">
      <c r="A5146" s="1" t="s">
        <v>515</v>
      </c>
      <c r="B5146" t="s">
        <v>138</v>
      </c>
      <c r="C5146" s="1">
        <v>21.469557000000002</v>
      </c>
    </row>
    <row r="5147" spans="1:3" x14ac:dyDescent="0.3">
      <c r="A5147" s="1" t="s">
        <v>515</v>
      </c>
      <c r="B5147" t="s">
        <v>139</v>
      </c>
      <c r="C5147" s="1">
        <v>21.327373999999999</v>
      </c>
    </row>
    <row r="5148" spans="1:3" x14ac:dyDescent="0.3">
      <c r="A5148" s="1" t="s">
        <v>515</v>
      </c>
      <c r="B5148" t="s">
        <v>140</v>
      </c>
      <c r="C5148" s="1">
        <v>21.043009000000001</v>
      </c>
    </row>
    <row r="5149" spans="1:3" x14ac:dyDescent="0.3">
      <c r="A5149" s="1" t="s">
        <v>515</v>
      </c>
      <c r="B5149" t="s">
        <v>141</v>
      </c>
      <c r="C5149" s="1">
        <v>21.380693000000001</v>
      </c>
    </row>
    <row r="5150" spans="1:3" x14ac:dyDescent="0.3">
      <c r="A5150" s="1" t="s">
        <v>515</v>
      </c>
      <c r="B5150" t="s">
        <v>142</v>
      </c>
      <c r="C5150" s="1">
        <v>20.847507</v>
      </c>
    </row>
    <row r="5151" spans="1:3" x14ac:dyDescent="0.3">
      <c r="A5151" s="1" t="s">
        <v>515</v>
      </c>
      <c r="B5151" t="s">
        <v>143</v>
      </c>
      <c r="C5151" s="1">
        <v>20.189914999999999</v>
      </c>
    </row>
    <row r="5152" spans="1:3" x14ac:dyDescent="0.3">
      <c r="A5152" s="1" t="s">
        <v>515</v>
      </c>
      <c r="B5152" t="s">
        <v>144</v>
      </c>
      <c r="C5152" s="1">
        <v>19.816685</v>
      </c>
    </row>
    <row r="5153" spans="1:3" x14ac:dyDescent="0.3">
      <c r="A5153" s="1" t="s">
        <v>515</v>
      </c>
      <c r="B5153" t="s">
        <v>145</v>
      </c>
      <c r="C5153" s="1">
        <v>19.319046</v>
      </c>
    </row>
    <row r="5154" spans="1:3" x14ac:dyDescent="0.3">
      <c r="A5154" s="1" t="s">
        <v>515</v>
      </c>
      <c r="B5154" t="s">
        <v>146</v>
      </c>
      <c r="C5154" s="1">
        <v>19.976641000000001</v>
      </c>
    </row>
    <row r="5155" spans="1:3" x14ac:dyDescent="0.3">
      <c r="A5155" s="1" t="s">
        <v>515</v>
      </c>
      <c r="B5155" t="s">
        <v>147</v>
      </c>
      <c r="C5155" s="1">
        <v>19.514547</v>
      </c>
    </row>
    <row r="5156" spans="1:3" x14ac:dyDescent="0.3">
      <c r="A5156" s="1" t="s">
        <v>515</v>
      </c>
      <c r="B5156" t="s">
        <v>148</v>
      </c>
      <c r="C5156" s="1">
        <v>18.981363000000002</v>
      </c>
    </row>
    <row r="5157" spans="1:3" x14ac:dyDescent="0.3">
      <c r="A5157" s="1" t="s">
        <v>515</v>
      </c>
      <c r="B5157" t="s">
        <v>149</v>
      </c>
      <c r="C5157" s="1">
        <v>18.519268</v>
      </c>
    </row>
    <row r="5158" spans="1:3" x14ac:dyDescent="0.3">
      <c r="A5158" s="1" t="s">
        <v>515</v>
      </c>
      <c r="B5158" t="s">
        <v>150</v>
      </c>
      <c r="C5158" s="1">
        <v>18.856953000000001</v>
      </c>
    </row>
    <row r="5159" spans="1:3" x14ac:dyDescent="0.3">
      <c r="A5159" s="1" t="s">
        <v>515</v>
      </c>
      <c r="B5159" t="s">
        <v>151</v>
      </c>
      <c r="C5159" s="1">
        <v>19.123545</v>
      </c>
    </row>
    <row r="5160" spans="1:3" x14ac:dyDescent="0.3">
      <c r="A5160" s="1" t="s">
        <v>515</v>
      </c>
      <c r="B5160" t="s">
        <v>152</v>
      </c>
      <c r="C5160" s="1">
        <v>17.861675000000002</v>
      </c>
    </row>
    <row r="5161" spans="1:3" x14ac:dyDescent="0.3">
      <c r="A5161" s="1" t="s">
        <v>515</v>
      </c>
      <c r="B5161" t="s">
        <v>153</v>
      </c>
      <c r="C5161" s="1">
        <v>17.710608000000001</v>
      </c>
    </row>
    <row r="5162" spans="1:3" x14ac:dyDescent="0.3">
      <c r="A5162" s="1" t="s">
        <v>515</v>
      </c>
      <c r="B5162" t="s">
        <v>154</v>
      </c>
      <c r="C5162" s="1">
        <v>16.102167000000001</v>
      </c>
    </row>
    <row r="5163" spans="1:3" x14ac:dyDescent="0.3">
      <c r="A5163" s="1" t="s">
        <v>515</v>
      </c>
      <c r="B5163" t="s">
        <v>155</v>
      </c>
      <c r="C5163" s="1">
        <v>16.608694</v>
      </c>
    </row>
    <row r="5164" spans="1:3" x14ac:dyDescent="0.3">
      <c r="A5164" s="1" t="s">
        <v>515</v>
      </c>
      <c r="B5164" t="s">
        <v>156</v>
      </c>
      <c r="C5164" s="1">
        <v>16.626465</v>
      </c>
    </row>
    <row r="5165" spans="1:3" x14ac:dyDescent="0.3">
      <c r="A5165" s="1" t="s">
        <v>515</v>
      </c>
      <c r="B5165" t="s">
        <v>157</v>
      </c>
      <c r="C5165" s="1">
        <v>15.115777</v>
      </c>
    </row>
    <row r="5166" spans="1:3" x14ac:dyDescent="0.3">
      <c r="A5166" s="1" t="s">
        <v>515</v>
      </c>
      <c r="B5166" t="s">
        <v>158</v>
      </c>
      <c r="C5166" s="1">
        <v>14.778091999999999</v>
      </c>
    </row>
    <row r="5167" spans="1:3" x14ac:dyDescent="0.3">
      <c r="A5167" s="1" t="s">
        <v>515</v>
      </c>
      <c r="B5167" t="s">
        <v>159</v>
      </c>
      <c r="C5167" s="1">
        <v>13.445131</v>
      </c>
    </row>
    <row r="5168" spans="1:3" x14ac:dyDescent="0.3">
      <c r="A5168" s="1" t="s">
        <v>515</v>
      </c>
      <c r="B5168" t="s">
        <v>160</v>
      </c>
      <c r="C5168" s="1">
        <v>12.592036999999999</v>
      </c>
    </row>
    <row r="5169" spans="1:3" x14ac:dyDescent="0.3">
      <c r="A5169" s="1" t="s">
        <v>515</v>
      </c>
      <c r="B5169" t="s">
        <v>161</v>
      </c>
      <c r="C5169" s="1">
        <v>12.467627</v>
      </c>
    </row>
    <row r="5170" spans="1:3" x14ac:dyDescent="0.3">
      <c r="A5170" s="1" t="s">
        <v>515</v>
      </c>
      <c r="B5170" t="s">
        <v>162</v>
      </c>
      <c r="C5170" s="1">
        <v>13.329609</v>
      </c>
    </row>
    <row r="5171" spans="1:3" x14ac:dyDescent="0.3">
      <c r="A5171" s="1" t="s">
        <v>515</v>
      </c>
      <c r="B5171" t="s">
        <v>163</v>
      </c>
      <c r="C5171" s="1">
        <v>14.765826000000001</v>
      </c>
    </row>
    <row r="5172" spans="1:3" x14ac:dyDescent="0.3">
      <c r="A5172" s="1" t="s">
        <v>515</v>
      </c>
      <c r="B5172" t="s">
        <v>164</v>
      </c>
      <c r="C5172" s="1">
        <v>13.414092</v>
      </c>
    </row>
    <row r="5173" spans="1:3" x14ac:dyDescent="0.3">
      <c r="A5173" s="1" t="s">
        <v>515</v>
      </c>
      <c r="B5173" t="s">
        <v>165</v>
      </c>
      <c r="C5173" s="1">
        <v>15.216405</v>
      </c>
    </row>
    <row r="5174" spans="1:3" x14ac:dyDescent="0.3">
      <c r="A5174" s="1" t="s">
        <v>515</v>
      </c>
      <c r="B5174" t="s">
        <v>166</v>
      </c>
      <c r="C5174" s="1">
        <v>15.300888</v>
      </c>
    </row>
    <row r="5175" spans="1:3" x14ac:dyDescent="0.3">
      <c r="A5175" s="1" t="s">
        <v>515</v>
      </c>
      <c r="B5175" t="s">
        <v>167</v>
      </c>
      <c r="C5175" s="1">
        <v>15.498017000000001</v>
      </c>
    </row>
    <row r="5176" spans="1:3" x14ac:dyDescent="0.3">
      <c r="A5176" s="1" t="s">
        <v>515</v>
      </c>
      <c r="B5176" t="s">
        <v>168</v>
      </c>
      <c r="C5176" s="1">
        <v>15.413534</v>
      </c>
    </row>
    <row r="5177" spans="1:3" x14ac:dyDescent="0.3">
      <c r="A5177" s="1" t="s">
        <v>515</v>
      </c>
      <c r="B5177" t="s">
        <v>169</v>
      </c>
      <c r="C5177" s="1">
        <v>15.713919000000001</v>
      </c>
    </row>
    <row r="5178" spans="1:3" x14ac:dyDescent="0.3">
      <c r="A5178" s="1" t="s">
        <v>515</v>
      </c>
      <c r="B5178" t="s">
        <v>170</v>
      </c>
      <c r="C5178" s="1">
        <v>16.774656</v>
      </c>
    </row>
    <row r="5179" spans="1:3" x14ac:dyDescent="0.3">
      <c r="A5179" s="1" t="s">
        <v>515</v>
      </c>
      <c r="B5179" t="s">
        <v>171</v>
      </c>
      <c r="C5179" s="1">
        <v>16.718332</v>
      </c>
    </row>
    <row r="5180" spans="1:3" x14ac:dyDescent="0.3">
      <c r="A5180" s="1" t="s">
        <v>515</v>
      </c>
      <c r="B5180" t="s">
        <v>172</v>
      </c>
      <c r="C5180" s="1">
        <v>17.164217000000001</v>
      </c>
    </row>
    <row r="5181" spans="1:3" x14ac:dyDescent="0.3">
      <c r="A5181" s="1" t="s">
        <v>515</v>
      </c>
      <c r="B5181" t="s">
        <v>173</v>
      </c>
      <c r="C5181" s="1">
        <v>17.201767</v>
      </c>
    </row>
    <row r="5182" spans="1:3" x14ac:dyDescent="0.3">
      <c r="A5182" s="1" t="s">
        <v>515</v>
      </c>
      <c r="B5182" t="s">
        <v>174</v>
      </c>
      <c r="C5182" s="1">
        <v>18.074760000000001</v>
      </c>
    </row>
    <row r="5183" spans="1:3" x14ac:dyDescent="0.3">
      <c r="A5183" s="1" t="s">
        <v>515</v>
      </c>
      <c r="B5183" t="s">
        <v>175</v>
      </c>
      <c r="C5183" s="1">
        <v>17.896408000000001</v>
      </c>
    </row>
    <row r="5184" spans="1:3" x14ac:dyDescent="0.3">
      <c r="A5184" s="1" t="s">
        <v>515</v>
      </c>
      <c r="B5184" t="s">
        <v>176</v>
      </c>
      <c r="C5184" s="1">
        <v>17.760296</v>
      </c>
    </row>
    <row r="5185" spans="1:3" x14ac:dyDescent="0.3">
      <c r="A5185" s="1" t="s">
        <v>515</v>
      </c>
      <c r="B5185" t="s">
        <v>177</v>
      </c>
      <c r="C5185" s="1">
        <v>17.445827000000001</v>
      </c>
    </row>
    <row r="5186" spans="1:3" x14ac:dyDescent="0.3">
      <c r="A5186" s="1" t="s">
        <v>515</v>
      </c>
      <c r="B5186" t="s">
        <v>178</v>
      </c>
      <c r="C5186" s="1">
        <v>17.783764000000001</v>
      </c>
    </row>
    <row r="5187" spans="1:3" x14ac:dyDescent="0.3">
      <c r="A5187" s="1" t="s">
        <v>515</v>
      </c>
      <c r="B5187" t="s">
        <v>179</v>
      </c>
      <c r="C5187" s="1">
        <v>17.117284999999999</v>
      </c>
    </row>
    <row r="5188" spans="1:3" x14ac:dyDescent="0.3">
      <c r="A5188" s="1" t="s">
        <v>515</v>
      </c>
      <c r="B5188" t="s">
        <v>180</v>
      </c>
      <c r="C5188" s="1">
        <v>16.417947999999999</v>
      </c>
    </row>
    <row r="5189" spans="1:3" x14ac:dyDescent="0.3">
      <c r="A5189" s="1" t="s">
        <v>515</v>
      </c>
      <c r="B5189" t="s">
        <v>181</v>
      </c>
      <c r="C5189" s="1">
        <v>17.351959000000001</v>
      </c>
    </row>
    <row r="5190" spans="1:3" x14ac:dyDescent="0.3">
      <c r="A5190" s="1" t="s">
        <v>515</v>
      </c>
      <c r="B5190" t="s">
        <v>182</v>
      </c>
      <c r="C5190" s="1">
        <v>17.370730999999999</v>
      </c>
    </row>
    <row r="5191" spans="1:3" x14ac:dyDescent="0.3">
      <c r="A5191" s="1" t="s">
        <v>515</v>
      </c>
      <c r="B5191" t="s">
        <v>183</v>
      </c>
      <c r="C5191" s="1">
        <v>16.718332</v>
      </c>
    </row>
    <row r="5192" spans="1:3" x14ac:dyDescent="0.3">
      <c r="A5192" s="1" t="s">
        <v>515</v>
      </c>
      <c r="B5192" t="s">
        <v>184</v>
      </c>
      <c r="C5192" s="1">
        <v>16.971782999999999</v>
      </c>
    </row>
    <row r="5193" spans="1:3" x14ac:dyDescent="0.3">
      <c r="A5193" s="1" t="s">
        <v>515</v>
      </c>
      <c r="B5193" t="s">
        <v>185</v>
      </c>
      <c r="C5193" s="1">
        <v>17.652343999999999</v>
      </c>
    </row>
    <row r="5194" spans="1:3" x14ac:dyDescent="0.3">
      <c r="A5194" s="1" t="s">
        <v>515</v>
      </c>
      <c r="B5194" t="s">
        <v>186</v>
      </c>
      <c r="C5194" s="1">
        <v>18.356373000000001</v>
      </c>
    </row>
    <row r="5195" spans="1:3" x14ac:dyDescent="0.3">
      <c r="A5195" s="1" t="s">
        <v>515</v>
      </c>
      <c r="B5195" t="s">
        <v>187</v>
      </c>
      <c r="C5195" s="1">
        <v>18.497177000000001</v>
      </c>
    </row>
    <row r="5196" spans="1:3" x14ac:dyDescent="0.3">
      <c r="A5196" s="1" t="s">
        <v>515</v>
      </c>
      <c r="B5196" t="s">
        <v>188</v>
      </c>
      <c r="C5196" s="1">
        <v>19.046322</v>
      </c>
    </row>
    <row r="5197" spans="1:3" x14ac:dyDescent="0.3">
      <c r="A5197" s="1" t="s">
        <v>515</v>
      </c>
      <c r="B5197" t="s">
        <v>189</v>
      </c>
      <c r="C5197" s="1">
        <v>19.909929000000002</v>
      </c>
    </row>
    <row r="5198" spans="1:3" x14ac:dyDescent="0.3">
      <c r="A5198" s="1" t="s">
        <v>515</v>
      </c>
      <c r="B5198" t="s">
        <v>190</v>
      </c>
      <c r="C5198" s="1">
        <v>19.618931</v>
      </c>
    </row>
    <row r="5199" spans="1:3" x14ac:dyDescent="0.3">
      <c r="A5199" s="1" t="s">
        <v>515</v>
      </c>
      <c r="B5199" t="s">
        <v>191</v>
      </c>
      <c r="C5199" s="1">
        <v>18.614516999999999</v>
      </c>
    </row>
    <row r="5200" spans="1:3" x14ac:dyDescent="0.3">
      <c r="A5200" s="1" t="s">
        <v>515</v>
      </c>
      <c r="B5200" t="s">
        <v>192</v>
      </c>
      <c r="C5200" s="1">
        <v>19.534448999999999</v>
      </c>
    </row>
    <row r="5201" spans="1:3" x14ac:dyDescent="0.3">
      <c r="A5201" s="1" t="s">
        <v>515</v>
      </c>
      <c r="B5201" t="s">
        <v>193</v>
      </c>
      <c r="C5201" s="1">
        <v>19.609542999999999</v>
      </c>
    </row>
    <row r="5202" spans="1:3" x14ac:dyDescent="0.3">
      <c r="A5202" s="1" t="s">
        <v>515</v>
      </c>
      <c r="B5202" t="s">
        <v>194</v>
      </c>
      <c r="C5202" s="1">
        <v>20.013186999999999</v>
      </c>
    </row>
    <row r="5203" spans="1:3" x14ac:dyDescent="0.3">
      <c r="A5203" s="1" t="s">
        <v>515</v>
      </c>
      <c r="B5203" t="s">
        <v>195</v>
      </c>
      <c r="C5203" s="1">
        <v>20.276026000000002</v>
      </c>
    </row>
    <row r="5204" spans="1:3" x14ac:dyDescent="0.3">
      <c r="A5204" s="1" t="s">
        <v>515</v>
      </c>
      <c r="B5204" t="s">
        <v>196</v>
      </c>
      <c r="C5204" s="1">
        <v>20.229088000000001</v>
      </c>
    </row>
    <row r="5205" spans="1:3" x14ac:dyDescent="0.3">
      <c r="A5205" s="1" t="s">
        <v>515</v>
      </c>
      <c r="B5205" t="s">
        <v>197</v>
      </c>
      <c r="C5205" s="1">
        <v>19.956865000000001</v>
      </c>
    </row>
    <row r="5206" spans="1:3" x14ac:dyDescent="0.3">
      <c r="A5206" s="1" t="s">
        <v>515</v>
      </c>
      <c r="B5206" t="s">
        <v>198</v>
      </c>
      <c r="C5206" s="1">
        <v>19.318546000000001</v>
      </c>
    </row>
    <row r="5207" spans="1:3" x14ac:dyDescent="0.3">
      <c r="A5207" s="1" t="s">
        <v>515</v>
      </c>
      <c r="B5207" t="s">
        <v>199</v>
      </c>
      <c r="C5207" s="1">
        <v>18.764709</v>
      </c>
    </row>
    <row r="5208" spans="1:3" x14ac:dyDescent="0.3">
      <c r="A5208" s="1" t="s">
        <v>515</v>
      </c>
      <c r="B5208" t="s">
        <v>200</v>
      </c>
      <c r="C5208" s="1">
        <v>19.008772</v>
      </c>
    </row>
    <row r="5209" spans="1:3" x14ac:dyDescent="0.3">
      <c r="A5209" s="1" t="s">
        <v>515</v>
      </c>
      <c r="B5209" t="s">
        <v>201</v>
      </c>
      <c r="C5209" s="1">
        <v>20.13522</v>
      </c>
    </row>
    <row r="5210" spans="1:3" x14ac:dyDescent="0.3">
      <c r="A5210" s="1" t="s">
        <v>515</v>
      </c>
      <c r="B5210" t="s">
        <v>202</v>
      </c>
      <c r="C5210" s="1">
        <v>20.341733999999999</v>
      </c>
    </row>
    <row r="5211" spans="1:3" x14ac:dyDescent="0.3">
      <c r="A5211" s="1" t="s">
        <v>515</v>
      </c>
      <c r="B5211" t="s">
        <v>203</v>
      </c>
      <c r="C5211" s="1">
        <v>20.829861000000001</v>
      </c>
    </row>
    <row r="5212" spans="1:3" x14ac:dyDescent="0.3">
      <c r="A5212" s="1" t="s">
        <v>515</v>
      </c>
      <c r="B5212" t="s">
        <v>204</v>
      </c>
      <c r="C5212" s="1">
        <v>20.876797</v>
      </c>
    </row>
    <row r="5213" spans="1:3" x14ac:dyDescent="0.3">
      <c r="A5213" s="1" t="s">
        <v>515</v>
      </c>
      <c r="B5213" t="s">
        <v>205</v>
      </c>
      <c r="C5213" s="1">
        <v>21.149021000000001</v>
      </c>
    </row>
    <row r="5214" spans="1:3" x14ac:dyDescent="0.3">
      <c r="A5214" s="1" t="s">
        <v>515</v>
      </c>
      <c r="B5214" t="s">
        <v>206</v>
      </c>
      <c r="C5214" s="1">
        <v>21.477568000000002</v>
      </c>
    </row>
    <row r="5215" spans="1:3" x14ac:dyDescent="0.3">
      <c r="A5215" s="1" t="s">
        <v>515</v>
      </c>
      <c r="B5215" t="s">
        <v>207</v>
      </c>
      <c r="C5215" s="1">
        <v>21.731016</v>
      </c>
    </row>
    <row r="5216" spans="1:3" x14ac:dyDescent="0.3">
      <c r="A5216" s="1" t="s">
        <v>515</v>
      </c>
      <c r="B5216" t="s">
        <v>208</v>
      </c>
      <c r="C5216" s="1">
        <v>22.162821000000001</v>
      </c>
    </row>
    <row r="5217" spans="1:3" x14ac:dyDescent="0.3">
      <c r="A5217" s="1" t="s">
        <v>515</v>
      </c>
      <c r="B5217" t="s">
        <v>209</v>
      </c>
      <c r="C5217" s="1">
        <v>21.946918</v>
      </c>
    </row>
    <row r="5218" spans="1:3" x14ac:dyDescent="0.3">
      <c r="A5218" s="1" t="s">
        <v>515</v>
      </c>
      <c r="B5218" t="s">
        <v>210</v>
      </c>
      <c r="C5218" s="1">
        <v>22.115884999999999</v>
      </c>
    </row>
    <row r="5219" spans="1:3" x14ac:dyDescent="0.3">
      <c r="A5219" s="1" t="s">
        <v>515</v>
      </c>
      <c r="B5219" t="s">
        <v>211</v>
      </c>
      <c r="C5219" s="1">
        <v>22.359949</v>
      </c>
    </row>
    <row r="5220" spans="1:3" x14ac:dyDescent="0.3">
      <c r="A5220" s="1" t="s">
        <v>515</v>
      </c>
      <c r="B5220" t="s">
        <v>212</v>
      </c>
      <c r="C5220" s="1">
        <v>22.876238000000001</v>
      </c>
    </row>
    <row r="5221" spans="1:3" x14ac:dyDescent="0.3">
      <c r="A5221" s="1" t="s">
        <v>515</v>
      </c>
      <c r="B5221" t="s">
        <v>213</v>
      </c>
      <c r="C5221" s="1">
        <v>22.585238</v>
      </c>
    </row>
    <row r="5222" spans="1:3" x14ac:dyDescent="0.3">
      <c r="A5222" s="1" t="s">
        <v>515</v>
      </c>
      <c r="B5222" t="s">
        <v>214</v>
      </c>
      <c r="C5222" s="1">
        <v>22.838688000000001</v>
      </c>
    </row>
    <row r="5223" spans="1:3" x14ac:dyDescent="0.3">
      <c r="A5223" s="1" t="s">
        <v>515</v>
      </c>
      <c r="B5223" t="s">
        <v>215</v>
      </c>
      <c r="C5223" s="1">
        <v>23.195395999999999</v>
      </c>
    </row>
    <row r="5224" spans="1:3" x14ac:dyDescent="0.3">
      <c r="A5224" s="1" t="s">
        <v>515</v>
      </c>
      <c r="B5224" t="s">
        <v>216</v>
      </c>
      <c r="C5224" s="1">
        <v>22.998267999999999</v>
      </c>
    </row>
    <row r="5225" spans="1:3" x14ac:dyDescent="0.3">
      <c r="A5225" s="1" t="s">
        <v>515</v>
      </c>
      <c r="B5225" t="s">
        <v>217</v>
      </c>
      <c r="C5225" s="1">
        <v>22.763591999999999</v>
      </c>
    </row>
    <row r="5226" spans="1:3" x14ac:dyDescent="0.3">
      <c r="A5226" s="1" t="s">
        <v>515</v>
      </c>
      <c r="B5226" t="s">
        <v>218</v>
      </c>
      <c r="C5226" s="1">
        <v>21.909369999999999</v>
      </c>
    </row>
    <row r="5227" spans="1:3" x14ac:dyDescent="0.3">
      <c r="A5227" s="1" t="s">
        <v>515</v>
      </c>
      <c r="B5227" t="s">
        <v>219</v>
      </c>
      <c r="C5227" s="1">
        <v>21.768566</v>
      </c>
    </row>
    <row r="5228" spans="1:3" x14ac:dyDescent="0.3">
      <c r="A5228" s="1" t="s">
        <v>515</v>
      </c>
      <c r="B5228" t="s">
        <v>220</v>
      </c>
      <c r="C5228" s="1">
        <v>22.040790999999999</v>
      </c>
    </row>
    <row r="5229" spans="1:3" x14ac:dyDescent="0.3">
      <c r="A5229" s="1" t="s">
        <v>515</v>
      </c>
      <c r="B5229" t="s">
        <v>221</v>
      </c>
      <c r="C5229" s="1">
        <v>22.988882</v>
      </c>
    </row>
    <row r="5230" spans="1:3" x14ac:dyDescent="0.3">
      <c r="A5230" s="1" t="s">
        <v>515</v>
      </c>
      <c r="B5230" t="s">
        <v>222</v>
      </c>
      <c r="C5230" s="1">
        <v>22.387229999999999</v>
      </c>
    </row>
    <row r="5231" spans="1:3" x14ac:dyDescent="0.3">
      <c r="A5231" s="1" t="s">
        <v>515</v>
      </c>
      <c r="B5231" t="s">
        <v>223</v>
      </c>
      <c r="C5231" s="1">
        <v>21.931141</v>
      </c>
    </row>
    <row r="5232" spans="1:3" x14ac:dyDescent="0.3">
      <c r="A5232" s="1" t="s">
        <v>515</v>
      </c>
      <c r="B5232" t="s">
        <v>224</v>
      </c>
      <c r="C5232" s="1">
        <v>21.853508000000001</v>
      </c>
    </row>
    <row r="5233" spans="1:3" x14ac:dyDescent="0.3">
      <c r="A5233" s="1" t="s">
        <v>515</v>
      </c>
      <c r="B5233" t="s">
        <v>225</v>
      </c>
      <c r="C5233" s="1">
        <v>22.426048000000002</v>
      </c>
    </row>
    <row r="5234" spans="1:3" x14ac:dyDescent="0.3">
      <c r="A5234" s="1" t="s">
        <v>515</v>
      </c>
      <c r="B5234" t="s">
        <v>226</v>
      </c>
      <c r="C5234" s="1">
        <v>21.78558</v>
      </c>
    </row>
    <row r="5235" spans="1:3" x14ac:dyDescent="0.3">
      <c r="A5235" s="1" t="s">
        <v>515</v>
      </c>
      <c r="B5235" t="s">
        <v>227</v>
      </c>
      <c r="C5235" s="1">
        <v>22.377524999999999</v>
      </c>
    </row>
    <row r="5236" spans="1:3" x14ac:dyDescent="0.3">
      <c r="A5236" s="1" t="s">
        <v>515</v>
      </c>
      <c r="B5236" t="s">
        <v>228</v>
      </c>
      <c r="C5236" s="1">
        <v>22.115518999999999</v>
      </c>
    </row>
    <row r="5237" spans="1:3" x14ac:dyDescent="0.3">
      <c r="A5237" s="1" t="s">
        <v>515</v>
      </c>
      <c r="B5237" t="s">
        <v>229</v>
      </c>
      <c r="C5237" s="1">
        <v>22.493974999999999</v>
      </c>
    </row>
    <row r="5238" spans="1:3" x14ac:dyDescent="0.3">
      <c r="A5238" s="1" t="s">
        <v>515</v>
      </c>
      <c r="B5238" t="s">
        <v>230</v>
      </c>
      <c r="C5238" s="1">
        <v>22.542496</v>
      </c>
    </row>
    <row r="5239" spans="1:3" x14ac:dyDescent="0.3">
      <c r="A5239" s="1" t="s">
        <v>515</v>
      </c>
      <c r="B5239" t="s">
        <v>231</v>
      </c>
      <c r="C5239" s="1">
        <v>22.445454000000002</v>
      </c>
    </row>
    <row r="5240" spans="1:3" x14ac:dyDescent="0.3">
      <c r="A5240" s="1" t="s">
        <v>515</v>
      </c>
      <c r="B5240" t="s">
        <v>232</v>
      </c>
      <c r="C5240" s="1">
        <v>22.717168999999998</v>
      </c>
    </row>
    <row r="5241" spans="1:3" x14ac:dyDescent="0.3">
      <c r="A5241" s="1" t="s">
        <v>515</v>
      </c>
      <c r="B5241" t="s">
        <v>233</v>
      </c>
      <c r="C5241" s="1">
        <v>22.736575999999999</v>
      </c>
    </row>
    <row r="5242" spans="1:3" x14ac:dyDescent="0.3">
      <c r="A5242" s="1" t="s">
        <v>515</v>
      </c>
      <c r="B5242" t="s">
        <v>234</v>
      </c>
      <c r="C5242" s="1">
        <v>23.435265999999999</v>
      </c>
    </row>
    <row r="5243" spans="1:3" x14ac:dyDescent="0.3">
      <c r="A5243" s="1" t="s">
        <v>515</v>
      </c>
      <c r="B5243" t="s">
        <v>235</v>
      </c>
      <c r="C5243" s="1">
        <v>23.231483000000001</v>
      </c>
    </row>
    <row r="5244" spans="1:3" x14ac:dyDescent="0.3">
      <c r="A5244" s="1" t="s">
        <v>515</v>
      </c>
      <c r="B5244" t="s">
        <v>236</v>
      </c>
      <c r="C5244" s="1">
        <v>22.726870999999999</v>
      </c>
    </row>
    <row r="5245" spans="1:3" x14ac:dyDescent="0.3">
      <c r="A5245" s="1" t="s">
        <v>515</v>
      </c>
      <c r="B5245" t="s">
        <v>237</v>
      </c>
      <c r="C5245" s="1">
        <v>22.649239999999999</v>
      </c>
    </row>
    <row r="5246" spans="1:3" x14ac:dyDescent="0.3">
      <c r="A5246" s="1" t="s">
        <v>515</v>
      </c>
      <c r="B5246" t="s">
        <v>238</v>
      </c>
      <c r="C5246" s="1">
        <v>22.513383999999999</v>
      </c>
    </row>
    <row r="5247" spans="1:3" x14ac:dyDescent="0.3">
      <c r="A5247" s="1" t="s">
        <v>515</v>
      </c>
      <c r="B5247" t="s">
        <v>239</v>
      </c>
      <c r="C5247" s="1">
        <v>23.231483000000001</v>
      </c>
    </row>
    <row r="5248" spans="1:3" x14ac:dyDescent="0.3">
      <c r="A5248" s="1" t="s">
        <v>515</v>
      </c>
      <c r="B5248" t="s">
        <v>240</v>
      </c>
      <c r="C5248" s="1">
        <v>23.105329999999999</v>
      </c>
    </row>
    <row r="5249" spans="1:3" x14ac:dyDescent="0.3">
      <c r="A5249" s="1" t="s">
        <v>515</v>
      </c>
      <c r="B5249" t="s">
        <v>241</v>
      </c>
      <c r="C5249" s="1">
        <v>21.834101</v>
      </c>
    </row>
    <row r="5250" spans="1:3" x14ac:dyDescent="0.3">
      <c r="A5250" s="1" t="s">
        <v>515</v>
      </c>
      <c r="B5250" t="s">
        <v>242</v>
      </c>
      <c r="C5250" s="1">
        <v>21.853508000000001</v>
      </c>
    </row>
    <row r="5251" spans="1:3" x14ac:dyDescent="0.3">
      <c r="A5251" s="1" t="s">
        <v>515</v>
      </c>
      <c r="B5251" t="s">
        <v>243</v>
      </c>
      <c r="C5251" s="1">
        <v>21.989364999999999</v>
      </c>
    </row>
    <row r="5252" spans="1:3" x14ac:dyDescent="0.3">
      <c r="A5252" s="1" t="s">
        <v>515</v>
      </c>
      <c r="B5252" t="s">
        <v>244</v>
      </c>
      <c r="C5252" s="1">
        <v>21.911732000000001</v>
      </c>
    </row>
    <row r="5253" spans="1:3" x14ac:dyDescent="0.3">
      <c r="A5253" s="1" t="s">
        <v>515</v>
      </c>
      <c r="B5253" t="s">
        <v>245</v>
      </c>
      <c r="C5253" s="1">
        <v>22.202852</v>
      </c>
    </row>
    <row r="5254" spans="1:3" x14ac:dyDescent="0.3">
      <c r="A5254" s="1" t="s">
        <v>515</v>
      </c>
      <c r="B5254" t="s">
        <v>246</v>
      </c>
      <c r="C5254" s="1">
        <v>22.600721</v>
      </c>
    </row>
    <row r="5255" spans="1:3" x14ac:dyDescent="0.3">
      <c r="A5255" s="1" t="s">
        <v>515</v>
      </c>
      <c r="B5255" t="s">
        <v>247</v>
      </c>
      <c r="C5255" s="1">
        <v>21.979659999999999</v>
      </c>
    </row>
    <row r="5256" spans="1:3" x14ac:dyDescent="0.3">
      <c r="A5256" s="1" t="s">
        <v>515</v>
      </c>
      <c r="B5256" t="s">
        <v>248</v>
      </c>
      <c r="C5256" s="1">
        <v>23.289707</v>
      </c>
    </row>
    <row r="5257" spans="1:3" x14ac:dyDescent="0.3">
      <c r="A5257" s="1" t="s">
        <v>515</v>
      </c>
      <c r="B5257" t="s">
        <v>249</v>
      </c>
      <c r="C5257" s="1">
        <v>23.774908</v>
      </c>
    </row>
    <row r="5258" spans="1:3" x14ac:dyDescent="0.3">
      <c r="A5258" s="1" t="s">
        <v>515</v>
      </c>
      <c r="B5258" t="s">
        <v>250</v>
      </c>
      <c r="C5258" s="1">
        <v>23.386747</v>
      </c>
    </row>
    <row r="5259" spans="1:3" x14ac:dyDescent="0.3">
      <c r="A5259" s="1" t="s">
        <v>515</v>
      </c>
      <c r="B5259" t="s">
        <v>251</v>
      </c>
      <c r="C5259" s="1">
        <v>23.503195000000002</v>
      </c>
    </row>
    <row r="5260" spans="1:3" x14ac:dyDescent="0.3">
      <c r="A5260" s="1" t="s">
        <v>515</v>
      </c>
      <c r="B5260" t="s">
        <v>252</v>
      </c>
      <c r="C5260" s="1">
        <v>22.930655999999999</v>
      </c>
    </row>
    <row r="5261" spans="1:3" x14ac:dyDescent="0.3">
      <c r="A5261" s="1" t="s">
        <v>515</v>
      </c>
      <c r="B5261" t="s">
        <v>253</v>
      </c>
      <c r="C5261" s="1">
        <v>23.008289000000001</v>
      </c>
    </row>
    <row r="5262" spans="1:3" x14ac:dyDescent="0.3">
      <c r="A5262" s="1" t="s">
        <v>515</v>
      </c>
      <c r="B5262" t="s">
        <v>254</v>
      </c>
      <c r="C5262" s="1">
        <v>23.580828</v>
      </c>
    </row>
    <row r="5263" spans="1:3" x14ac:dyDescent="0.3">
      <c r="A5263" s="1" t="s">
        <v>515</v>
      </c>
      <c r="B5263" t="s">
        <v>255</v>
      </c>
      <c r="C5263" s="1">
        <v>22.853024000000001</v>
      </c>
    </row>
    <row r="5264" spans="1:3" x14ac:dyDescent="0.3">
      <c r="A5264" s="1" t="s">
        <v>515</v>
      </c>
      <c r="B5264" t="s">
        <v>256</v>
      </c>
      <c r="C5264" s="1">
        <v>23.289707</v>
      </c>
    </row>
    <row r="5265" spans="1:3" x14ac:dyDescent="0.3">
      <c r="A5265" s="1" t="s">
        <v>515</v>
      </c>
      <c r="B5265" t="s">
        <v>257</v>
      </c>
      <c r="C5265" s="1">
        <v>23.017992</v>
      </c>
    </row>
    <row r="5266" spans="1:3" x14ac:dyDescent="0.3">
      <c r="A5266" s="1" t="s">
        <v>515</v>
      </c>
      <c r="B5266" t="s">
        <v>258</v>
      </c>
      <c r="C5266" s="1">
        <v>23.144145999999999</v>
      </c>
    </row>
    <row r="5267" spans="1:3" x14ac:dyDescent="0.3">
      <c r="A5267" s="1" t="s">
        <v>515</v>
      </c>
      <c r="B5267" t="s">
        <v>259</v>
      </c>
      <c r="C5267" s="1">
        <v>22.998587000000001</v>
      </c>
    </row>
    <row r="5268" spans="1:3" x14ac:dyDescent="0.3">
      <c r="A5268" s="1" t="s">
        <v>515</v>
      </c>
      <c r="B5268" t="s">
        <v>260</v>
      </c>
      <c r="C5268" s="1">
        <v>23.464379999999998</v>
      </c>
    </row>
    <row r="5269" spans="1:3" x14ac:dyDescent="0.3">
      <c r="A5269" s="1" t="s">
        <v>515</v>
      </c>
      <c r="B5269" t="s">
        <v>261</v>
      </c>
      <c r="C5269" s="1">
        <v>23.609940000000002</v>
      </c>
    </row>
    <row r="5270" spans="1:3" x14ac:dyDescent="0.3">
      <c r="A5270" s="1" t="s">
        <v>515</v>
      </c>
      <c r="B5270" t="s">
        <v>262</v>
      </c>
      <c r="C5270" s="1">
        <v>22.950066</v>
      </c>
    </row>
    <row r="5271" spans="1:3" x14ac:dyDescent="0.3">
      <c r="A5271" s="1" t="s">
        <v>515</v>
      </c>
      <c r="B5271" t="s">
        <v>263</v>
      </c>
      <c r="C5271" s="1">
        <v>22.435751</v>
      </c>
    </row>
    <row r="5272" spans="1:3" x14ac:dyDescent="0.3">
      <c r="A5272" s="1" t="s">
        <v>515</v>
      </c>
      <c r="B5272" t="s">
        <v>264</v>
      </c>
      <c r="C5272" s="1">
        <v>22.377524999999999</v>
      </c>
    </row>
    <row r="5273" spans="1:3" x14ac:dyDescent="0.3">
      <c r="A5273" s="1" t="s">
        <v>515</v>
      </c>
      <c r="B5273" t="s">
        <v>265</v>
      </c>
      <c r="C5273" s="1">
        <v>22.319302</v>
      </c>
    </row>
    <row r="5274" spans="1:3" x14ac:dyDescent="0.3">
      <c r="A5274" s="1" t="s">
        <v>515</v>
      </c>
      <c r="B5274" t="s">
        <v>266</v>
      </c>
      <c r="C5274" s="1">
        <v>22.688054999999999</v>
      </c>
    </row>
    <row r="5275" spans="1:3" x14ac:dyDescent="0.3">
      <c r="A5275" s="1" t="s">
        <v>515</v>
      </c>
      <c r="B5275" t="s">
        <v>267</v>
      </c>
      <c r="C5275" s="1">
        <v>22.348414999999999</v>
      </c>
    </row>
    <row r="5276" spans="1:3" x14ac:dyDescent="0.3">
      <c r="A5276" s="1" t="s">
        <v>515</v>
      </c>
      <c r="B5276" t="s">
        <v>268</v>
      </c>
      <c r="C5276" s="1">
        <v>22.222261</v>
      </c>
    </row>
    <row r="5277" spans="1:3" x14ac:dyDescent="0.3">
      <c r="A5277" s="1" t="s">
        <v>515</v>
      </c>
      <c r="B5277" t="s">
        <v>269</v>
      </c>
      <c r="C5277" s="1">
        <v>22.658944999999999</v>
      </c>
    </row>
    <row r="5278" spans="1:3" x14ac:dyDescent="0.3">
      <c r="A5278" s="1" t="s">
        <v>515</v>
      </c>
      <c r="B5278" t="s">
        <v>270</v>
      </c>
      <c r="C5278" s="1">
        <v>22.668648000000001</v>
      </c>
    </row>
    <row r="5279" spans="1:3" x14ac:dyDescent="0.3">
      <c r="A5279" s="1" t="s">
        <v>515</v>
      </c>
      <c r="B5279" t="s">
        <v>271</v>
      </c>
      <c r="C5279" s="1">
        <v>23.105329999999999</v>
      </c>
    </row>
    <row r="5280" spans="1:3" x14ac:dyDescent="0.3">
      <c r="A5280" s="1" t="s">
        <v>515</v>
      </c>
      <c r="B5280" t="s">
        <v>272</v>
      </c>
      <c r="C5280" s="1">
        <v>22.765688000000001</v>
      </c>
    </row>
    <row r="5281" spans="1:3" x14ac:dyDescent="0.3">
      <c r="A5281" s="1" t="s">
        <v>515</v>
      </c>
      <c r="B5281" t="s">
        <v>273</v>
      </c>
      <c r="C5281" s="1">
        <v>22.125221</v>
      </c>
    </row>
    <row r="5282" spans="1:3" x14ac:dyDescent="0.3">
      <c r="A5282" s="1" t="s">
        <v>515</v>
      </c>
      <c r="B5282" t="s">
        <v>274</v>
      </c>
      <c r="C5282" s="1">
        <v>22.241671</v>
      </c>
    </row>
    <row r="5283" spans="1:3" x14ac:dyDescent="0.3">
      <c r="A5283" s="1" t="s">
        <v>515</v>
      </c>
      <c r="B5283" t="s">
        <v>275</v>
      </c>
      <c r="C5283" s="1">
        <v>21.931141</v>
      </c>
    </row>
    <row r="5284" spans="1:3" x14ac:dyDescent="0.3">
      <c r="A5284" s="1" t="s">
        <v>515</v>
      </c>
      <c r="B5284" t="s">
        <v>276</v>
      </c>
      <c r="C5284" s="1">
        <v>21.630316000000001</v>
      </c>
    </row>
    <row r="5285" spans="1:3" x14ac:dyDescent="0.3">
      <c r="A5285" s="1" t="s">
        <v>515</v>
      </c>
      <c r="B5285" t="s">
        <v>277</v>
      </c>
      <c r="C5285" s="1">
        <v>21.300379</v>
      </c>
    </row>
    <row r="5286" spans="1:3" x14ac:dyDescent="0.3">
      <c r="A5286" s="1" t="s">
        <v>515</v>
      </c>
      <c r="B5286" t="s">
        <v>278</v>
      </c>
      <c r="C5286" s="1">
        <v>21.882619999999999</v>
      </c>
    </row>
    <row r="5287" spans="1:3" x14ac:dyDescent="0.3">
      <c r="A5287" s="1" t="s">
        <v>515</v>
      </c>
      <c r="B5287" t="s">
        <v>279</v>
      </c>
      <c r="C5287" s="1">
        <v>22.251374999999999</v>
      </c>
    </row>
    <row r="5288" spans="1:3" x14ac:dyDescent="0.3">
      <c r="A5288" s="1" t="s">
        <v>515</v>
      </c>
      <c r="B5288" t="s">
        <v>280</v>
      </c>
      <c r="C5288" s="1">
        <v>21.921436</v>
      </c>
    </row>
    <row r="5289" spans="1:3" x14ac:dyDescent="0.3">
      <c r="A5289" s="1" t="s">
        <v>515</v>
      </c>
      <c r="B5289" t="s">
        <v>281</v>
      </c>
      <c r="C5289" s="1">
        <v>22.843321</v>
      </c>
    </row>
    <row r="5290" spans="1:3" x14ac:dyDescent="0.3">
      <c r="A5290" s="1" t="s">
        <v>515</v>
      </c>
      <c r="B5290" t="s">
        <v>282</v>
      </c>
      <c r="C5290" s="1">
        <v>22.600721</v>
      </c>
    </row>
    <row r="5291" spans="1:3" x14ac:dyDescent="0.3">
      <c r="A5291" s="1" t="s">
        <v>515</v>
      </c>
      <c r="B5291" t="s">
        <v>283</v>
      </c>
      <c r="C5291" s="1">
        <v>22.416343999999999</v>
      </c>
    </row>
    <row r="5292" spans="1:3" x14ac:dyDescent="0.3">
      <c r="A5292" s="1" t="s">
        <v>515</v>
      </c>
      <c r="B5292" t="s">
        <v>284</v>
      </c>
      <c r="C5292" s="1">
        <v>22.076699999999999</v>
      </c>
    </row>
    <row r="5293" spans="1:3" x14ac:dyDescent="0.3">
      <c r="A5293" s="1" t="s">
        <v>515</v>
      </c>
      <c r="B5293" t="s">
        <v>285</v>
      </c>
      <c r="C5293" s="1">
        <v>22.493974999999999</v>
      </c>
    </row>
    <row r="5294" spans="1:3" x14ac:dyDescent="0.3">
      <c r="A5294" s="1" t="s">
        <v>515</v>
      </c>
      <c r="B5294" t="s">
        <v>286</v>
      </c>
      <c r="C5294" s="1">
        <v>22.610422</v>
      </c>
    </row>
    <row r="5295" spans="1:3" x14ac:dyDescent="0.3">
      <c r="A5295" s="1" t="s">
        <v>515</v>
      </c>
      <c r="B5295" t="s">
        <v>287</v>
      </c>
      <c r="C5295" s="1">
        <v>22.658944999999999</v>
      </c>
    </row>
    <row r="5296" spans="1:3" x14ac:dyDescent="0.3">
      <c r="A5296" s="1" t="s">
        <v>515</v>
      </c>
      <c r="B5296" t="s">
        <v>288</v>
      </c>
      <c r="C5296" s="1">
        <v>22.668648000000001</v>
      </c>
    </row>
    <row r="5297" spans="1:3" x14ac:dyDescent="0.3">
      <c r="A5297" s="1" t="s">
        <v>515</v>
      </c>
      <c r="B5297" t="s">
        <v>289</v>
      </c>
      <c r="C5297" s="1">
        <v>21.659427999999998</v>
      </c>
    </row>
    <row r="5298" spans="1:3" x14ac:dyDescent="0.3">
      <c r="A5298" s="1" t="s">
        <v>515</v>
      </c>
      <c r="B5298" t="s">
        <v>290</v>
      </c>
      <c r="C5298" s="1">
        <v>22.076699999999999</v>
      </c>
    </row>
    <row r="5299" spans="1:3" x14ac:dyDescent="0.3">
      <c r="A5299" s="1" t="s">
        <v>515</v>
      </c>
      <c r="B5299" t="s">
        <v>291</v>
      </c>
      <c r="C5299" s="1">
        <v>21.756468000000002</v>
      </c>
    </row>
    <row r="5300" spans="1:3" x14ac:dyDescent="0.3">
      <c r="A5300" s="1" t="s">
        <v>515</v>
      </c>
      <c r="B5300" t="s">
        <v>292</v>
      </c>
      <c r="C5300" s="1">
        <v>21.591498999999999</v>
      </c>
    </row>
    <row r="5301" spans="1:3" x14ac:dyDescent="0.3">
      <c r="A5301" s="1" t="s">
        <v>515</v>
      </c>
      <c r="B5301" t="s">
        <v>293</v>
      </c>
      <c r="C5301" s="1">
        <v>21.678834999999999</v>
      </c>
    </row>
    <row r="5302" spans="1:3" x14ac:dyDescent="0.3">
      <c r="A5302" s="1" t="s">
        <v>515</v>
      </c>
      <c r="B5302" t="s">
        <v>294</v>
      </c>
      <c r="C5302" s="1">
        <v>22.066998000000002</v>
      </c>
    </row>
    <row r="5303" spans="1:3" x14ac:dyDescent="0.3">
      <c r="A5303" s="1" t="s">
        <v>515</v>
      </c>
      <c r="B5303" t="s">
        <v>295</v>
      </c>
      <c r="C5303" s="1">
        <v>20.989847000000001</v>
      </c>
    </row>
    <row r="5304" spans="1:3" x14ac:dyDescent="0.3">
      <c r="A5304" s="1" t="s">
        <v>515</v>
      </c>
      <c r="B5304" t="s">
        <v>296</v>
      </c>
      <c r="C5304" s="1">
        <v>20.504643999999999</v>
      </c>
    </row>
    <row r="5305" spans="1:3" x14ac:dyDescent="0.3">
      <c r="A5305" s="1" t="s">
        <v>515</v>
      </c>
      <c r="B5305" t="s">
        <v>297</v>
      </c>
      <c r="C5305" s="1">
        <v>20.524054</v>
      </c>
    </row>
    <row r="5306" spans="1:3" x14ac:dyDescent="0.3">
      <c r="A5306" s="1" t="s">
        <v>515</v>
      </c>
      <c r="B5306" t="s">
        <v>298</v>
      </c>
      <c r="C5306" s="1">
        <v>20.165005000000001</v>
      </c>
    </row>
    <row r="5307" spans="1:3" x14ac:dyDescent="0.3">
      <c r="A5307" s="1" t="s">
        <v>515</v>
      </c>
      <c r="B5307" t="s">
        <v>299</v>
      </c>
      <c r="C5307" s="1">
        <v>20.310566000000001</v>
      </c>
    </row>
    <row r="5308" spans="1:3" x14ac:dyDescent="0.3">
      <c r="A5308" s="1" t="s">
        <v>515</v>
      </c>
      <c r="B5308" t="s">
        <v>300</v>
      </c>
      <c r="C5308" s="1">
        <v>20.271747999999999</v>
      </c>
    </row>
    <row r="5309" spans="1:3" x14ac:dyDescent="0.3">
      <c r="A5309" s="1" t="s">
        <v>515</v>
      </c>
      <c r="B5309" t="s">
        <v>301</v>
      </c>
      <c r="C5309" s="1">
        <v>20.184411999999998</v>
      </c>
    </row>
    <row r="5310" spans="1:3" x14ac:dyDescent="0.3">
      <c r="A5310" s="1" t="s">
        <v>515</v>
      </c>
      <c r="B5310" t="s">
        <v>302</v>
      </c>
      <c r="C5310" s="1">
        <v>20.786064</v>
      </c>
    </row>
    <row r="5311" spans="1:3" x14ac:dyDescent="0.3">
      <c r="A5311" s="1" t="s">
        <v>515</v>
      </c>
      <c r="B5311" t="s">
        <v>303</v>
      </c>
      <c r="C5311" s="1">
        <v>20.689022000000001</v>
      </c>
    </row>
    <row r="5312" spans="1:3" x14ac:dyDescent="0.3">
      <c r="A5312" s="1" t="s">
        <v>515</v>
      </c>
      <c r="B5312" t="s">
        <v>304</v>
      </c>
      <c r="C5312" s="1">
        <v>20.630797999999999</v>
      </c>
    </row>
    <row r="5313" spans="1:3" x14ac:dyDescent="0.3">
      <c r="A5313" s="1" t="s">
        <v>515</v>
      </c>
      <c r="B5313" t="s">
        <v>305</v>
      </c>
      <c r="C5313" s="1">
        <v>20.436717999999999</v>
      </c>
    </row>
    <row r="5314" spans="1:3" x14ac:dyDescent="0.3">
      <c r="A5314" s="1" t="s">
        <v>515</v>
      </c>
      <c r="B5314" t="s">
        <v>306</v>
      </c>
      <c r="C5314" s="1">
        <v>20.533757999999999</v>
      </c>
    </row>
    <row r="5315" spans="1:3" x14ac:dyDescent="0.3">
      <c r="A5315" s="1" t="s">
        <v>515</v>
      </c>
      <c r="B5315" t="s">
        <v>307</v>
      </c>
      <c r="C5315" s="1">
        <v>19.922402999999999</v>
      </c>
    </row>
    <row r="5316" spans="1:3" x14ac:dyDescent="0.3">
      <c r="A5316" s="1" t="s">
        <v>515</v>
      </c>
      <c r="B5316" t="s">
        <v>308</v>
      </c>
      <c r="C5316" s="1">
        <v>20.165005000000001</v>
      </c>
    </row>
    <row r="5317" spans="1:3" x14ac:dyDescent="0.3">
      <c r="A5317" s="1" t="s">
        <v>515</v>
      </c>
      <c r="B5317" t="s">
        <v>309</v>
      </c>
      <c r="C5317" s="1">
        <v>20.126187999999999</v>
      </c>
    </row>
    <row r="5318" spans="1:3" x14ac:dyDescent="0.3">
      <c r="A5318" s="1" t="s">
        <v>515</v>
      </c>
      <c r="B5318" t="s">
        <v>310</v>
      </c>
      <c r="C5318" s="1">
        <v>19.805954</v>
      </c>
    </row>
    <row r="5319" spans="1:3" x14ac:dyDescent="0.3">
      <c r="A5319" s="1" t="s">
        <v>515</v>
      </c>
      <c r="B5319" t="s">
        <v>311</v>
      </c>
      <c r="C5319" s="1">
        <v>19.476016999999999</v>
      </c>
    </row>
    <row r="5320" spans="1:3" x14ac:dyDescent="0.3">
      <c r="A5320" s="1" t="s">
        <v>515</v>
      </c>
      <c r="B5320" t="s">
        <v>312</v>
      </c>
      <c r="C5320" s="1">
        <v>19.679801999999999</v>
      </c>
    </row>
    <row r="5321" spans="1:3" x14ac:dyDescent="0.3">
      <c r="A5321" s="1" t="s">
        <v>515</v>
      </c>
      <c r="B5321" t="s">
        <v>313</v>
      </c>
      <c r="C5321" s="1">
        <v>19.815659</v>
      </c>
    </row>
    <row r="5322" spans="1:3" x14ac:dyDescent="0.3">
      <c r="A5322" s="1" t="s">
        <v>515</v>
      </c>
      <c r="B5322" t="s">
        <v>314</v>
      </c>
      <c r="C5322" s="1">
        <v>19.893291000000001</v>
      </c>
    </row>
    <row r="5323" spans="1:3" x14ac:dyDescent="0.3">
      <c r="A5323" s="1" t="s">
        <v>515</v>
      </c>
      <c r="B5323" t="s">
        <v>315</v>
      </c>
      <c r="C5323" s="1">
        <v>19.650690000000001</v>
      </c>
    </row>
    <row r="5324" spans="1:3" x14ac:dyDescent="0.3">
      <c r="A5324" s="1" t="s">
        <v>515</v>
      </c>
      <c r="B5324" t="s">
        <v>316</v>
      </c>
      <c r="C5324" s="1">
        <v>19.524538</v>
      </c>
    </row>
    <row r="5325" spans="1:3" x14ac:dyDescent="0.3">
      <c r="A5325" s="1" t="s">
        <v>515</v>
      </c>
      <c r="B5325" t="s">
        <v>317</v>
      </c>
      <c r="C5325" s="1">
        <v>19.340160000000001</v>
      </c>
    </row>
    <row r="5326" spans="1:3" x14ac:dyDescent="0.3">
      <c r="A5326" s="1" t="s">
        <v>515</v>
      </c>
      <c r="B5326" t="s">
        <v>318</v>
      </c>
      <c r="C5326" s="1">
        <v>19.873881999999998</v>
      </c>
    </row>
    <row r="5327" spans="1:3" x14ac:dyDescent="0.3">
      <c r="A5327" s="1" t="s">
        <v>515</v>
      </c>
      <c r="B5327" t="s">
        <v>319</v>
      </c>
      <c r="C5327" s="1">
        <v>19.922402999999999</v>
      </c>
    </row>
    <row r="5328" spans="1:3" x14ac:dyDescent="0.3">
      <c r="A5328" s="1" t="s">
        <v>515</v>
      </c>
      <c r="B5328" t="s">
        <v>320</v>
      </c>
      <c r="C5328" s="1">
        <v>20.213524</v>
      </c>
    </row>
    <row r="5329" spans="1:3" x14ac:dyDescent="0.3">
      <c r="A5329" s="1" t="s">
        <v>515</v>
      </c>
      <c r="B5329" t="s">
        <v>321</v>
      </c>
      <c r="C5329" s="1">
        <v>20.368790000000001</v>
      </c>
    </row>
    <row r="5330" spans="1:3" x14ac:dyDescent="0.3">
      <c r="A5330" s="1" t="s">
        <v>515</v>
      </c>
      <c r="B5330" t="s">
        <v>322</v>
      </c>
      <c r="C5330" s="1">
        <v>20.630797999999999</v>
      </c>
    </row>
    <row r="5331" spans="1:3" x14ac:dyDescent="0.3">
      <c r="A5331" s="1" t="s">
        <v>515</v>
      </c>
      <c r="B5331" t="s">
        <v>323</v>
      </c>
      <c r="C5331" s="1">
        <v>20.543462999999999</v>
      </c>
    </row>
    <row r="5332" spans="1:3" x14ac:dyDescent="0.3">
      <c r="A5332" s="1" t="s">
        <v>515</v>
      </c>
      <c r="B5332" t="s">
        <v>324</v>
      </c>
      <c r="C5332" s="1">
        <v>21.465347000000001</v>
      </c>
    </row>
    <row r="5333" spans="1:3" x14ac:dyDescent="0.3">
      <c r="A5333" s="1" t="s">
        <v>515</v>
      </c>
      <c r="B5333" t="s">
        <v>325</v>
      </c>
      <c r="C5333" s="1">
        <v>21.834101</v>
      </c>
    </row>
    <row r="5334" spans="1:3" x14ac:dyDescent="0.3">
      <c r="A5334" s="1" t="s">
        <v>515</v>
      </c>
      <c r="B5334" t="s">
        <v>326</v>
      </c>
      <c r="C5334" s="1">
        <v>21.16452</v>
      </c>
    </row>
    <row r="5335" spans="1:3" x14ac:dyDescent="0.3">
      <c r="A5335" s="1" t="s">
        <v>515</v>
      </c>
      <c r="B5335" t="s">
        <v>327</v>
      </c>
      <c r="C5335" s="1">
        <v>20.815176000000001</v>
      </c>
    </row>
    <row r="5336" spans="1:3" x14ac:dyDescent="0.3">
      <c r="A5336" s="1" t="s">
        <v>515</v>
      </c>
      <c r="B5336" t="s">
        <v>328</v>
      </c>
      <c r="C5336" s="1">
        <v>21.028663999999999</v>
      </c>
    </row>
    <row r="5337" spans="1:3" x14ac:dyDescent="0.3">
      <c r="A5337" s="1" t="s">
        <v>515</v>
      </c>
      <c r="B5337" t="s">
        <v>329</v>
      </c>
      <c r="C5337" s="1">
        <v>21.775877000000001</v>
      </c>
    </row>
    <row r="5338" spans="1:3" x14ac:dyDescent="0.3">
      <c r="A5338" s="1" t="s">
        <v>515</v>
      </c>
      <c r="B5338" t="s">
        <v>330</v>
      </c>
      <c r="C5338" s="1">
        <v>21.562386</v>
      </c>
    </row>
    <row r="5339" spans="1:3" x14ac:dyDescent="0.3">
      <c r="A5339" s="1" t="s">
        <v>515</v>
      </c>
      <c r="B5339" t="s">
        <v>331</v>
      </c>
      <c r="C5339" s="1">
        <v>21.358602999999999</v>
      </c>
    </row>
    <row r="5340" spans="1:3" x14ac:dyDescent="0.3">
      <c r="A5340" s="1" t="s">
        <v>515</v>
      </c>
      <c r="B5340" t="s">
        <v>332</v>
      </c>
      <c r="C5340" s="1">
        <v>20.659911999999998</v>
      </c>
    </row>
    <row r="5341" spans="1:3" x14ac:dyDescent="0.3">
      <c r="A5341" s="1" t="s">
        <v>515</v>
      </c>
      <c r="B5341" t="s">
        <v>333</v>
      </c>
      <c r="C5341" s="1">
        <v>20.582277000000001</v>
      </c>
    </row>
    <row r="5342" spans="1:3" x14ac:dyDescent="0.3">
      <c r="A5342" s="1" t="s">
        <v>515</v>
      </c>
      <c r="B5342" t="s">
        <v>334</v>
      </c>
      <c r="C5342" s="1">
        <v>20.572575000000001</v>
      </c>
    </row>
    <row r="5343" spans="1:3" x14ac:dyDescent="0.3">
      <c r="A5343" s="1" t="s">
        <v>515</v>
      </c>
      <c r="B5343" t="s">
        <v>335</v>
      </c>
      <c r="C5343" s="1">
        <v>20.669615</v>
      </c>
    </row>
    <row r="5344" spans="1:3" x14ac:dyDescent="0.3">
      <c r="A5344" s="1" t="s">
        <v>515</v>
      </c>
      <c r="B5344" t="s">
        <v>336</v>
      </c>
      <c r="C5344" s="1">
        <v>20.844287999999999</v>
      </c>
    </row>
    <row r="5345" spans="1:3" x14ac:dyDescent="0.3">
      <c r="A5345" s="1" t="s">
        <v>515</v>
      </c>
      <c r="B5345" t="s">
        <v>337</v>
      </c>
      <c r="C5345" s="1">
        <v>20.960737000000002</v>
      </c>
    </row>
    <row r="5346" spans="1:3" x14ac:dyDescent="0.3">
      <c r="A5346" s="1" t="s">
        <v>515</v>
      </c>
      <c r="B5346" t="s">
        <v>338</v>
      </c>
      <c r="C5346" s="1">
        <v>20.815176000000001</v>
      </c>
    </row>
    <row r="5347" spans="1:3" x14ac:dyDescent="0.3">
      <c r="A5347" s="1" t="s">
        <v>515</v>
      </c>
      <c r="B5347" t="s">
        <v>339</v>
      </c>
      <c r="C5347" s="1">
        <v>20.582277000000001</v>
      </c>
    </row>
    <row r="5348" spans="1:3" x14ac:dyDescent="0.3">
      <c r="A5348" s="1" t="s">
        <v>515</v>
      </c>
      <c r="B5348" t="s">
        <v>340</v>
      </c>
      <c r="C5348" s="1">
        <v>21.13541</v>
      </c>
    </row>
    <row r="5349" spans="1:3" x14ac:dyDescent="0.3">
      <c r="A5349" s="1" t="s">
        <v>515</v>
      </c>
      <c r="B5349" t="s">
        <v>341</v>
      </c>
      <c r="C5349" s="1">
        <v>21.077185</v>
      </c>
    </row>
    <row r="5350" spans="1:3" x14ac:dyDescent="0.3">
      <c r="A5350" s="1" t="s">
        <v>515</v>
      </c>
      <c r="B5350" t="s">
        <v>342</v>
      </c>
      <c r="C5350" s="1">
        <v>21.018961000000001</v>
      </c>
    </row>
    <row r="5351" spans="1:3" x14ac:dyDescent="0.3">
      <c r="A5351" s="1" t="s">
        <v>515</v>
      </c>
      <c r="B5351" t="s">
        <v>343</v>
      </c>
      <c r="C5351" s="1">
        <v>20.951032999999999</v>
      </c>
    </row>
    <row r="5352" spans="1:3" x14ac:dyDescent="0.3">
      <c r="A5352" s="1" t="s">
        <v>515</v>
      </c>
      <c r="B5352" t="s">
        <v>344</v>
      </c>
      <c r="C5352" s="1">
        <v>20.892809</v>
      </c>
    </row>
    <row r="5353" spans="1:3" x14ac:dyDescent="0.3">
      <c r="A5353" s="1" t="s">
        <v>515</v>
      </c>
      <c r="B5353" t="s">
        <v>345</v>
      </c>
      <c r="C5353" s="1">
        <v>21.077185</v>
      </c>
    </row>
    <row r="5354" spans="1:3" x14ac:dyDescent="0.3">
      <c r="A5354" s="1" t="s">
        <v>515</v>
      </c>
      <c r="B5354" t="s">
        <v>346</v>
      </c>
      <c r="C5354" s="1">
        <v>21.523571</v>
      </c>
    </row>
    <row r="5355" spans="1:3" x14ac:dyDescent="0.3">
      <c r="A5355" s="1" t="s">
        <v>515</v>
      </c>
      <c r="B5355" t="s">
        <v>347</v>
      </c>
      <c r="C5355" s="1">
        <v>21.863212999999998</v>
      </c>
    </row>
    <row r="5356" spans="1:3" x14ac:dyDescent="0.3">
      <c r="A5356" s="1" t="s">
        <v>515</v>
      </c>
      <c r="B5356" t="s">
        <v>348</v>
      </c>
      <c r="C5356" s="1">
        <v>21.348897999999998</v>
      </c>
    </row>
    <row r="5357" spans="1:3" x14ac:dyDescent="0.3">
      <c r="A5357" s="1" t="s">
        <v>515</v>
      </c>
      <c r="B5357" t="s">
        <v>349</v>
      </c>
      <c r="C5357" s="1">
        <v>21.368307000000001</v>
      </c>
    </row>
    <row r="5358" spans="1:3" x14ac:dyDescent="0.3">
      <c r="A5358" s="1" t="s">
        <v>515</v>
      </c>
      <c r="B5358" t="s">
        <v>350</v>
      </c>
      <c r="C5358" s="1">
        <v>21.513866</v>
      </c>
    </row>
    <row r="5359" spans="1:3" x14ac:dyDescent="0.3">
      <c r="A5359" s="1" t="s">
        <v>515</v>
      </c>
      <c r="B5359" t="s">
        <v>351</v>
      </c>
      <c r="C5359" s="1">
        <v>22.212557</v>
      </c>
    </row>
    <row r="5360" spans="1:3" x14ac:dyDescent="0.3">
      <c r="A5360" s="1" t="s">
        <v>515</v>
      </c>
      <c r="B5360" t="s">
        <v>352</v>
      </c>
      <c r="C5360" s="1">
        <v>21.756468000000002</v>
      </c>
    </row>
    <row r="5361" spans="1:3" x14ac:dyDescent="0.3">
      <c r="A5361" s="1" t="s">
        <v>515</v>
      </c>
      <c r="B5361" t="s">
        <v>353</v>
      </c>
      <c r="C5361" s="1">
        <v>22.047588000000001</v>
      </c>
    </row>
    <row r="5362" spans="1:3" x14ac:dyDescent="0.3">
      <c r="A5362" s="1" t="s">
        <v>515</v>
      </c>
      <c r="B5362" t="s">
        <v>354</v>
      </c>
      <c r="C5362" s="1">
        <v>21.213041</v>
      </c>
    </row>
    <row r="5363" spans="1:3" x14ac:dyDescent="0.3">
      <c r="A5363" s="1" t="s">
        <v>515</v>
      </c>
      <c r="B5363" t="s">
        <v>355</v>
      </c>
      <c r="C5363" s="1">
        <v>21.872917000000001</v>
      </c>
    </row>
    <row r="5364" spans="1:3" x14ac:dyDescent="0.3">
      <c r="A5364" s="1" t="s">
        <v>515</v>
      </c>
      <c r="B5364" t="s">
        <v>356</v>
      </c>
      <c r="C5364" s="1">
        <v>21.902027</v>
      </c>
    </row>
    <row r="5365" spans="1:3" x14ac:dyDescent="0.3">
      <c r="A5365" s="1" t="s">
        <v>515</v>
      </c>
      <c r="B5365" t="s">
        <v>357</v>
      </c>
      <c r="C5365" s="1">
        <v>22.290189999999999</v>
      </c>
    </row>
    <row r="5366" spans="1:3" x14ac:dyDescent="0.3">
      <c r="A5366" s="1" t="s">
        <v>515</v>
      </c>
      <c r="B5366" t="s">
        <v>358</v>
      </c>
      <c r="C5366" s="1">
        <v>22.600721</v>
      </c>
    </row>
    <row r="5367" spans="1:3" x14ac:dyDescent="0.3">
      <c r="A5367" s="1" t="s">
        <v>515</v>
      </c>
      <c r="B5367" t="s">
        <v>359</v>
      </c>
      <c r="C5367" s="1">
        <v>22.668648000000001</v>
      </c>
    </row>
    <row r="5368" spans="1:3" x14ac:dyDescent="0.3">
      <c r="A5368" s="1" t="s">
        <v>515</v>
      </c>
      <c r="B5368" t="s">
        <v>360</v>
      </c>
      <c r="C5368" s="1">
        <v>22.979177</v>
      </c>
    </row>
    <row r="5369" spans="1:3" x14ac:dyDescent="0.3">
      <c r="A5369" s="1" t="s">
        <v>515</v>
      </c>
      <c r="B5369" t="s">
        <v>361</v>
      </c>
      <c r="C5369" s="1">
        <v>22.435751</v>
      </c>
    </row>
    <row r="5370" spans="1:3" x14ac:dyDescent="0.3">
      <c r="A5370" s="1" t="s">
        <v>515</v>
      </c>
      <c r="B5370" t="s">
        <v>362</v>
      </c>
      <c r="C5370" s="1">
        <v>22.755984999999999</v>
      </c>
    </row>
    <row r="5371" spans="1:3" x14ac:dyDescent="0.3">
      <c r="A5371" s="1" t="s">
        <v>515</v>
      </c>
      <c r="B5371" t="s">
        <v>363</v>
      </c>
      <c r="C5371" s="1">
        <v>23.163554999999999</v>
      </c>
    </row>
    <row r="5372" spans="1:3" x14ac:dyDescent="0.3">
      <c r="A5372" s="1" t="s">
        <v>515</v>
      </c>
      <c r="B5372" t="s">
        <v>364</v>
      </c>
      <c r="C5372" s="1">
        <v>22.930655999999999</v>
      </c>
    </row>
    <row r="5373" spans="1:3" x14ac:dyDescent="0.3">
      <c r="A5373" s="1" t="s">
        <v>515</v>
      </c>
      <c r="B5373" t="s">
        <v>365</v>
      </c>
      <c r="C5373" s="1">
        <v>23.464379999999998</v>
      </c>
    </row>
    <row r="5374" spans="1:3" x14ac:dyDescent="0.3">
      <c r="A5374" s="1" t="s">
        <v>515</v>
      </c>
      <c r="B5374" t="s">
        <v>366</v>
      </c>
      <c r="C5374" s="1">
        <v>23.415859000000001</v>
      </c>
    </row>
    <row r="5375" spans="1:3" x14ac:dyDescent="0.3">
      <c r="A5375" s="1" t="s">
        <v>515</v>
      </c>
      <c r="B5375" t="s">
        <v>367</v>
      </c>
      <c r="C5375" s="1">
        <v>24.066029</v>
      </c>
    </row>
    <row r="5376" spans="1:3" x14ac:dyDescent="0.3">
      <c r="A5376" s="1" t="s">
        <v>515</v>
      </c>
      <c r="B5376" t="s">
        <v>368</v>
      </c>
      <c r="C5376" s="1">
        <v>23.978693</v>
      </c>
    </row>
    <row r="5377" spans="1:3" x14ac:dyDescent="0.3">
      <c r="A5377" s="1" t="s">
        <v>515</v>
      </c>
      <c r="B5377" t="s">
        <v>369</v>
      </c>
      <c r="C5377" s="1">
        <v>24.463895999999998</v>
      </c>
    </row>
    <row r="5378" spans="1:3" x14ac:dyDescent="0.3">
      <c r="A5378" s="1" t="s">
        <v>515</v>
      </c>
      <c r="B5378" t="s">
        <v>370</v>
      </c>
      <c r="C5378" s="1">
        <v>25.075251000000002</v>
      </c>
    </row>
    <row r="5379" spans="1:3" x14ac:dyDescent="0.3">
      <c r="A5379" s="1" t="s">
        <v>515</v>
      </c>
      <c r="B5379" t="s">
        <v>371</v>
      </c>
      <c r="C5379" s="1">
        <v>25.541043999999999</v>
      </c>
    </row>
    <row r="5380" spans="1:3" x14ac:dyDescent="0.3">
      <c r="A5380" s="1" t="s">
        <v>515</v>
      </c>
      <c r="B5380" t="s">
        <v>372</v>
      </c>
      <c r="C5380" s="1">
        <v>25.764236</v>
      </c>
    </row>
    <row r="5381" spans="1:3" x14ac:dyDescent="0.3">
      <c r="A5381" s="1" t="s">
        <v>515</v>
      </c>
      <c r="B5381" t="s">
        <v>373</v>
      </c>
      <c r="C5381" s="1">
        <v>25.618677000000002</v>
      </c>
    </row>
    <row r="5382" spans="1:3" x14ac:dyDescent="0.3">
      <c r="A5382" s="1" t="s">
        <v>515</v>
      </c>
      <c r="B5382" t="s">
        <v>374</v>
      </c>
      <c r="C5382" s="1">
        <v>25.599267999999999</v>
      </c>
    </row>
    <row r="5383" spans="1:3" x14ac:dyDescent="0.3">
      <c r="A5383" s="1" t="s">
        <v>515</v>
      </c>
      <c r="B5383" t="s">
        <v>375</v>
      </c>
      <c r="C5383" s="1">
        <v>25.560452999999999</v>
      </c>
    </row>
    <row r="5384" spans="1:3" x14ac:dyDescent="0.3">
      <c r="A5384" s="1" t="s">
        <v>515</v>
      </c>
      <c r="B5384" t="s">
        <v>376</v>
      </c>
      <c r="C5384" s="1">
        <v>26.375592999999999</v>
      </c>
    </row>
    <row r="5385" spans="1:3" x14ac:dyDescent="0.3">
      <c r="A5385" s="1" t="s">
        <v>515</v>
      </c>
      <c r="B5385" t="s">
        <v>377</v>
      </c>
      <c r="C5385" s="1">
        <v>26.220329</v>
      </c>
    </row>
    <row r="5386" spans="1:3" x14ac:dyDescent="0.3">
      <c r="A5386" s="1" t="s">
        <v>515</v>
      </c>
      <c r="B5386" t="s">
        <v>378</v>
      </c>
      <c r="C5386" s="1">
        <v>25.667197999999999</v>
      </c>
    </row>
    <row r="5387" spans="1:3" x14ac:dyDescent="0.3">
      <c r="A5387" s="1" t="s">
        <v>515</v>
      </c>
      <c r="B5387" t="s">
        <v>379</v>
      </c>
      <c r="C5387" s="1">
        <v>25.647789</v>
      </c>
    </row>
    <row r="5388" spans="1:3" x14ac:dyDescent="0.3">
      <c r="A5388" s="1" t="s">
        <v>515</v>
      </c>
      <c r="B5388" t="s">
        <v>380</v>
      </c>
      <c r="C5388" s="1">
        <v>25.851573999999999</v>
      </c>
    </row>
    <row r="5389" spans="1:3" x14ac:dyDescent="0.3">
      <c r="A5389" s="1" t="s">
        <v>515</v>
      </c>
      <c r="B5389" t="s">
        <v>381</v>
      </c>
      <c r="C5389" s="1">
        <v>26.045656000000001</v>
      </c>
    </row>
    <row r="5390" spans="1:3" x14ac:dyDescent="0.3">
      <c r="A5390" s="1" t="s">
        <v>515</v>
      </c>
      <c r="B5390" t="s">
        <v>382</v>
      </c>
      <c r="C5390" s="1">
        <v>27.190733000000002</v>
      </c>
    </row>
    <row r="5391" spans="1:3" x14ac:dyDescent="0.3">
      <c r="A5391" s="1" t="s">
        <v>515</v>
      </c>
      <c r="B5391" t="s">
        <v>383</v>
      </c>
      <c r="C5391" s="1">
        <v>26.540562000000001</v>
      </c>
    </row>
    <row r="5392" spans="1:3" x14ac:dyDescent="0.3">
      <c r="A5392" s="1" t="s">
        <v>515</v>
      </c>
      <c r="B5392" t="s">
        <v>384</v>
      </c>
      <c r="C5392" s="1">
        <v>26.443521</v>
      </c>
    </row>
    <row r="5393" spans="1:3" x14ac:dyDescent="0.3">
      <c r="A5393" s="1" t="s">
        <v>515</v>
      </c>
      <c r="B5393" t="s">
        <v>385</v>
      </c>
      <c r="C5393" s="1">
        <v>26.045656000000001</v>
      </c>
    </row>
    <row r="5394" spans="1:3" x14ac:dyDescent="0.3">
      <c r="A5394" s="1" t="s">
        <v>515</v>
      </c>
      <c r="B5394" t="s">
        <v>386</v>
      </c>
      <c r="C5394" s="1">
        <v>26.249438999999999</v>
      </c>
    </row>
    <row r="5395" spans="1:3" x14ac:dyDescent="0.3">
      <c r="A5395" s="1" t="s">
        <v>515</v>
      </c>
      <c r="B5395" t="s">
        <v>387</v>
      </c>
      <c r="C5395" s="1">
        <v>26.889906</v>
      </c>
    </row>
    <row r="5396" spans="1:3" x14ac:dyDescent="0.3">
      <c r="A5396" s="1" t="s">
        <v>515</v>
      </c>
      <c r="B5396" t="s">
        <v>388</v>
      </c>
      <c r="C5396" s="1">
        <v>26.909314999999999</v>
      </c>
    </row>
    <row r="5397" spans="1:3" x14ac:dyDescent="0.3">
      <c r="A5397" s="1" t="s">
        <v>515</v>
      </c>
      <c r="B5397" t="s">
        <v>389</v>
      </c>
      <c r="C5397" s="1">
        <v>26.686122999999998</v>
      </c>
    </row>
    <row r="5398" spans="1:3" x14ac:dyDescent="0.3">
      <c r="A5398" s="1" t="s">
        <v>515</v>
      </c>
      <c r="B5398" t="s">
        <v>390</v>
      </c>
      <c r="C5398" s="1">
        <v>27.151917000000001</v>
      </c>
    </row>
    <row r="5399" spans="1:3" x14ac:dyDescent="0.3">
      <c r="A5399" s="1" t="s">
        <v>515</v>
      </c>
      <c r="B5399" t="s">
        <v>391</v>
      </c>
      <c r="C5399" s="1">
        <v>26.666713999999999</v>
      </c>
    </row>
    <row r="5400" spans="1:3" x14ac:dyDescent="0.3">
      <c r="A5400" s="1" t="s">
        <v>515</v>
      </c>
      <c r="B5400" t="s">
        <v>392</v>
      </c>
      <c r="C5400" s="1">
        <v>26.579377999999998</v>
      </c>
    </row>
    <row r="5401" spans="1:3" x14ac:dyDescent="0.3">
      <c r="A5401" s="1" t="s">
        <v>515</v>
      </c>
      <c r="B5401" t="s">
        <v>393</v>
      </c>
      <c r="C5401" s="1">
        <v>26.773458000000002</v>
      </c>
    </row>
    <row r="5402" spans="1:3" x14ac:dyDescent="0.3">
      <c r="A5402" s="1" t="s">
        <v>515</v>
      </c>
      <c r="B5402" t="s">
        <v>394</v>
      </c>
      <c r="C5402" s="1">
        <v>26.724938999999999</v>
      </c>
    </row>
    <row r="5403" spans="1:3" x14ac:dyDescent="0.3">
      <c r="A5403" s="1" t="s">
        <v>515</v>
      </c>
      <c r="B5403" t="s">
        <v>395</v>
      </c>
      <c r="C5403" s="1">
        <v>26.375592999999999</v>
      </c>
    </row>
    <row r="5404" spans="1:3" x14ac:dyDescent="0.3">
      <c r="A5404" s="1" t="s">
        <v>515</v>
      </c>
      <c r="B5404" t="s">
        <v>396</v>
      </c>
      <c r="C5404" s="1">
        <v>27.151917000000001</v>
      </c>
    </row>
    <row r="5405" spans="1:3" x14ac:dyDescent="0.3">
      <c r="A5405" s="1" t="s">
        <v>515</v>
      </c>
      <c r="B5405" t="s">
        <v>397</v>
      </c>
      <c r="C5405" s="1">
        <v>27.753567</v>
      </c>
    </row>
    <row r="5406" spans="1:3" x14ac:dyDescent="0.3">
      <c r="A5406" s="1" t="s">
        <v>515</v>
      </c>
      <c r="B5406" t="s">
        <v>398</v>
      </c>
      <c r="C5406" s="1">
        <v>26.996651</v>
      </c>
    </row>
    <row r="5407" spans="1:3" x14ac:dyDescent="0.3">
      <c r="A5407" s="1" t="s">
        <v>515</v>
      </c>
      <c r="B5407" t="s">
        <v>399</v>
      </c>
      <c r="C5407" s="1">
        <v>27.753567</v>
      </c>
    </row>
    <row r="5408" spans="1:3" x14ac:dyDescent="0.3">
      <c r="A5408" s="1" t="s">
        <v>515</v>
      </c>
      <c r="B5408" t="s">
        <v>400</v>
      </c>
      <c r="C5408" s="1">
        <v>27.821494999999999</v>
      </c>
    </row>
    <row r="5409" spans="1:3" x14ac:dyDescent="0.3">
      <c r="A5409" s="1" t="s">
        <v>515</v>
      </c>
      <c r="B5409" t="s">
        <v>401</v>
      </c>
      <c r="C5409" s="1">
        <v>28.335809999999999</v>
      </c>
    </row>
    <row r="5410" spans="1:3" x14ac:dyDescent="0.3">
      <c r="A5410" s="1" t="s">
        <v>515</v>
      </c>
      <c r="B5410" t="s">
        <v>402</v>
      </c>
      <c r="C5410" s="1">
        <v>27.200437999999998</v>
      </c>
    </row>
    <row r="5411" spans="1:3" x14ac:dyDescent="0.3">
      <c r="A5411" s="1" t="s">
        <v>515</v>
      </c>
      <c r="B5411" t="s">
        <v>403</v>
      </c>
      <c r="C5411" s="1">
        <v>27.045173999999999</v>
      </c>
    </row>
    <row r="5412" spans="1:3" x14ac:dyDescent="0.3">
      <c r="A5412" s="1" t="s">
        <v>515</v>
      </c>
      <c r="B5412" t="s">
        <v>404</v>
      </c>
      <c r="C5412" s="1">
        <v>27.753567</v>
      </c>
    </row>
    <row r="5413" spans="1:3" x14ac:dyDescent="0.3">
      <c r="A5413" s="1" t="s">
        <v>515</v>
      </c>
      <c r="B5413" t="s">
        <v>405</v>
      </c>
      <c r="C5413" s="1">
        <v>27.627414999999999</v>
      </c>
    </row>
    <row r="5414" spans="1:3" x14ac:dyDescent="0.3">
      <c r="A5414" s="1" t="s">
        <v>515</v>
      </c>
      <c r="B5414" t="s">
        <v>406</v>
      </c>
      <c r="C5414" s="1">
        <v>27.753567</v>
      </c>
    </row>
    <row r="5415" spans="1:3" x14ac:dyDescent="0.3">
      <c r="A5415" s="1" t="s">
        <v>515</v>
      </c>
      <c r="B5415" t="s">
        <v>407</v>
      </c>
      <c r="C5415" s="1">
        <v>29.180060999999998</v>
      </c>
    </row>
    <row r="5416" spans="1:3" x14ac:dyDescent="0.3">
      <c r="A5416" s="1" t="s">
        <v>515</v>
      </c>
      <c r="B5416" t="s">
        <v>408</v>
      </c>
      <c r="C5416" s="1">
        <v>29.189765999999999</v>
      </c>
    </row>
    <row r="5417" spans="1:3" x14ac:dyDescent="0.3">
      <c r="A5417" s="1" t="s">
        <v>515</v>
      </c>
      <c r="B5417" t="s">
        <v>409</v>
      </c>
      <c r="C5417" s="1">
        <v>29.306215000000002</v>
      </c>
    </row>
    <row r="5418" spans="1:3" x14ac:dyDescent="0.3">
      <c r="A5418" s="1" t="s">
        <v>515</v>
      </c>
      <c r="B5418" t="s">
        <v>410</v>
      </c>
      <c r="C5418" s="1">
        <v>29.509998</v>
      </c>
    </row>
    <row r="5419" spans="1:3" x14ac:dyDescent="0.3">
      <c r="A5419" s="1" t="s">
        <v>515</v>
      </c>
      <c r="B5419" t="s">
        <v>411</v>
      </c>
      <c r="C5419" s="1">
        <v>29.277101999999999</v>
      </c>
    </row>
    <row r="5420" spans="1:3" x14ac:dyDescent="0.3">
      <c r="A5420" s="1" t="s">
        <v>515</v>
      </c>
      <c r="B5420" t="s">
        <v>412</v>
      </c>
      <c r="C5420" s="1">
        <v>29.878754000000001</v>
      </c>
    </row>
    <row r="5421" spans="1:3" x14ac:dyDescent="0.3">
      <c r="A5421" s="1" t="s">
        <v>515</v>
      </c>
      <c r="B5421" t="s">
        <v>413</v>
      </c>
      <c r="C5421" s="1">
        <v>29.907865999999999</v>
      </c>
    </row>
    <row r="5422" spans="1:3" x14ac:dyDescent="0.3">
      <c r="A5422" s="1" t="s">
        <v>515</v>
      </c>
      <c r="B5422" t="s">
        <v>414</v>
      </c>
      <c r="C5422" s="1">
        <v>29.917567999999999</v>
      </c>
    </row>
    <row r="5423" spans="1:3" x14ac:dyDescent="0.3">
      <c r="A5423" s="1" t="s">
        <v>515</v>
      </c>
      <c r="B5423" t="s">
        <v>415</v>
      </c>
      <c r="C5423" s="1">
        <v>29.509998</v>
      </c>
    </row>
    <row r="5424" spans="1:3" x14ac:dyDescent="0.3">
      <c r="A5424" s="1" t="s">
        <v>515</v>
      </c>
      <c r="B5424" t="s">
        <v>416</v>
      </c>
      <c r="C5424" s="1">
        <v>29.450001</v>
      </c>
    </row>
    <row r="5425" spans="1:3" x14ac:dyDescent="0.3">
      <c r="A5425" s="1" t="s">
        <v>515</v>
      </c>
      <c r="B5425" t="s">
        <v>417</v>
      </c>
      <c r="C5425" s="1">
        <v>29.67</v>
      </c>
    </row>
    <row r="5426" spans="1:3" x14ac:dyDescent="0.3">
      <c r="A5426" s="1" t="s">
        <v>515</v>
      </c>
      <c r="B5426" t="s">
        <v>418</v>
      </c>
      <c r="C5426" s="1">
        <v>30.07</v>
      </c>
    </row>
    <row r="5427" spans="1:3" x14ac:dyDescent="0.3">
      <c r="A5427" s="1" t="s">
        <v>515</v>
      </c>
      <c r="B5427" t="s">
        <v>419</v>
      </c>
      <c r="C5427" s="1">
        <v>30.07</v>
      </c>
    </row>
    <row r="5428" spans="1:3" x14ac:dyDescent="0.3">
      <c r="A5428" s="1" t="s">
        <v>515</v>
      </c>
      <c r="B5428" t="s">
        <v>420</v>
      </c>
      <c r="C5428" s="1">
        <v>30.92</v>
      </c>
    </row>
    <row r="5429" spans="1:3" x14ac:dyDescent="0.3">
      <c r="A5429" s="1" t="s">
        <v>515</v>
      </c>
      <c r="B5429" t="s">
        <v>421</v>
      </c>
      <c r="C5429" s="1">
        <v>31.01</v>
      </c>
    </row>
    <row r="5430" spans="1:3" x14ac:dyDescent="0.3">
      <c r="A5430" s="1" t="s">
        <v>515</v>
      </c>
      <c r="B5430" t="s">
        <v>422</v>
      </c>
      <c r="C5430" s="1">
        <v>31.360001</v>
      </c>
    </row>
    <row r="5431" spans="1:3" x14ac:dyDescent="0.3">
      <c r="A5431" s="1" t="s">
        <v>515</v>
      </c>
      <c r="B5431" t="s">
        <v>423</v>
      </c>
      <c r="C5431" s="1">
        <v>31.68</v>
      </c>
    </row>
    <row r="5432" spans="1:3" x14ac:dyDescent="0.3">
      <c r="A5432" s="1" t="s">
        <v>515</v>
      </c>
      <c r="B5432" t="s">
        <v>424</v>
      </c>
      <c r="C5432" s="1">
        <v>31.559999000000001</v>
      </c>
    </row>
    <row r="5433" spans="1:3" x14ac:dyDescent="0.3">
      <c r="A5433" s="1" t="s">
        <v>515</v>
      </c>
      <c r="B5433" t="s">
        <v>425</v>
      </c>
      <c r="C5433" s="1">
        <v>32.279998999999997</v>
      </c>
    </row>
    <row r="5434" spans="1:3" x14ac:dyDescent="0.3">
      <c r="A5434" s="1" t="s">
        <v>515</v>
      </c>
      <c r="B5434" t="s">
        <v>426</v>
      </c>
      <c r="C5434" s="1">
        <v>32.5</v>
      </c>
    </row>
    <row r="5435" spans="1:3" x14ac:dyDescent="0.3">
      <c r="A5435" s="1" t="s">
        <v>515</v>
      </c>
      <c r="B5435" t="s">
        <v>427</v>
      </c>
      <c r="C5435" s="1">
        <v>32.130001</v>
      </c>
    </row>
    <row r="5436" spans="1:3" x14ac:dyDescent="0.3">
      <c r="A5436" s="1" t="s">
        <v>515</v>
      </c>
      <c r="B5436" t="s">
        <v>428</v>
      </c>
      <c r="C5436" s="1">
        <v>33.130001</v>
      </c>
    </row>
    <row r="5437" spans="1:3" x14ac:dyDescent="0.3">
      <c r="A5437" s="1" t="s">
        <v>515</v>
      </c>
      <c r="B5437" t="s">
        <v>429</v>
      </c>
      <c r="C5437" s="1">
        <v>32.459999000000003</v>
      </c>
    </row>
    <row r="5438" spans="1:3" x14ac:dyDescent="0.3">
      <c r="A5438" s="1" t="s">
        <v>515</v>
      </c>
      <c r="B5438" t="s">
        <v>430</v>
      </c>
      <c r="C5438" s="1">
        <v>32.869999</v>
      </c>
    </row>
    <row r="5439" spans="1:3" x14ac:dyDescent="0.3">
      <c r="A5439" s="1" t="s">
        <v>515</v>
      </c>
      <c r="B5439" t="s">
        <v>431</v>
      </c>
      <c r="C5439" s="1">
        <v>33.970001000000003</v>
      </c>
    </row>
    <row r="5440" spans="1:3" x14ac:dyDescent="0.3">
      <c r="A5440" s="1" t="s">
        <v>515</v>
      </c>
      <c r="B5440" t="s">
        <v>432</v>
      </c>
      <c r="C5440" s="1">
        <v>34.400002000000001</v>
      </c>
    </row>
    <row r="5441" spans="1:3" x14ac:dyDescent="0.3">
      <c r="A5441" s="1" t="s">
        <v>515</v>
      </c>
      <c r="B5441" t="s">
        <v>433</v>
      </c>
      <c r="C5441" s="1">
        <v>33.639999000000003</v>
      </c>
    </row>
    <row r="5442" spans="1:3" x14ac:dyDescent="0.3">
      <c r="A5442" s="1" t="s">
        <v>515</v>
      </c>
      <c r="B5442" t="s">
        <v>434</v>
      </c>
      <c r="C5442" s="1">
        <v>33.450001</v>
      </c>
    </row>
    <row r="5443" spans="1:3" x14ac:dyDescent="0.3">
      <c r="A5443" s="1" t="s">
        <v>515</v>
      </c>
      <c r="B5443" t="s">
        <v>435</v>
      </c>
      <c r="C5443" s="1">
        <v>34.450001</v>
      </c>
    </row>
    <row r="5444" spans="1:3" x14ac:dyDescent="0.3">
      <c r="A5444" s="1" t="s">
        <v>515</v>
      </c>
      <c r="B5444" t="s">
        <v>436</v>
      </c>
      <c r="C5444" s="1">
        <v>35.959999000000003</v>
      </c>
    </row>
    <row r="5445" spans="1:3" x14ac:dyDescent="0.3">
      <c r="A5445" s="1" t="s">
        <v>515</v>
      </c>
      <c r="B5445" t="s">
        <v>437</v>
      </c>
      <c r="C5445" s="1">
        <v>36.200001</v>
      </c>
    </row>
    <row r="5446" spans="1:3" x14ac:dyDescent="0.3">
      <c r="A5446" s="1" t="s">
        <v>515</v>
      </c>
      <c r="B5446" t="s">
        <v>438</v>
      </c>
      <c r="C5446" s="1">
        <v>36.759998000000003</v>
      </c>
    </row>
    <row r="5447" spans="1:3" x14ac:dyDescent="0.3">
      <c r="A5447" s="1" t="s">
        <v>515</v>
      </c>
      <c r="B5447" t="s">
        <v>439</v>
      </c>
      <c r="C5447" s="1">
        <v>35.630001</v>
      </c>
    </row>
    <row r="5448" spans="1:3" x14ac:dyDescent="0.3">
      <c r="A5448" s="1" t="s">
        <v>515</v>
      </c>
      <c r="B5448" t="s">
        <v>440</v>
      </c>
      <c r="C5448" s="1">
        <v>34.849997999999999</v>
      </c>
    </row>
    <row r="5449" spans="1:3" x14ac:dyDescent="0.3">
      <c r="A5449" s="1" t="s">
        <v>515</v>
      </c>
      <c r="B5449" t="s">
        <v>441</v>
      </c>
      <c r="C5449" s="1">
        <v>34.759998000000003</v>
      </c>
    </row>
    <row r="5450" spans="1:3" x14ac:dyDescent="0.3">
      <c r="A5450" s="1" t="s">
        <v>515</v>
      </c>
      <c r="B5450" t="s">
        <v>442</v>
      </c>
      <c r="C5450" s="1">
        <v>34.729999999999997</v>
      </c>
    </row>
    <row r="5451" spans="1:3" x14ac:dyDescent="0.3">
      <c r="A5451" s="1" t="s">
        <v>515</v>
      </c>
      <c r="B5451" t="s">
        <v>443</v>
      </c>
      <c r="C5451" s="1">
        <v>34.080002</v>
      </c>
    </row>
    <row r="5452" spans="1:3" x14ac:dyDescent="0.3">
      <c r="A5452" s="1" t="s">
        <v>515</v>
      </c>
      <c r="B5452" t="s">
        <v>444</v>
      </c>
      <c r="C5452" s="1">
        <v>35.029998999999997</v>
      </c>
    </row>
    <row r="5453" spans="1:3" x14ac:dyDescent="0.3">
      <c r="A5453" s="1" t="s">
        <v>515</v>
      </c>
      <c r="B5453" t="s">
        <v>445</v>
      </c>
      <c r="C5453" s="1">
        <v>34.419998</v>
      </c>
    </row>
    <row r="5454" spans="1:3" x14ac:dyDescent="0.3">
      <c r="A5454" s="1" t="s">
        <v>515</v>
      </c>
      <c r="B5454" t="s">
        <v>446</v>
      </c>
      <c r="C5454" s="1">
        <v>34.520000000000003</v>
      </c>
    </row>
    <row r="5455" spans="1:3" x14ac:dyDescent="0.3">
      <c r="A5455" s="1" t="s">
        <v>515</v>
      </c>
      <c r="B5455" t="s">
        <v>447</v>
      </c>
      <c r="C5455" s="1">
        <v>34.790000999999997</v>
      </c>
    </row>
    <row r="5456" spans="1:3" x14ac:dyDescent="0.3">
      <c r="A5456" s="1" t="s">
        <v>515</v>
      </c>
      <c r="B5456" t="s">
        <v>448</v>
      </c>
      <c r="C5456" s="1">
        <v>34.18</v>
      </c>
    </row>
    <row r="5457" spans="1:3" x14ac:dyDescent="0.3">
      <c r="A5457" s="1" t="s">
        <v>515</v>
      </c>
      <c r="B5457" t="s">
        <v>449</v>
      </c>
      <c r="C5457" s="1">
        <v>34.060001</v>
      </c>
    </row>
    <row r="5458" spans="1:3" x14ac:dyDescent="0.3">
      <c r="A5458" s="1" t="s">
        <v>515</v>
      </c>
      <c r="B5458" t="s">
        <v>450</v>
      </c>
      <c r="C5458" s="1">
        <v>34.5</v>
      </c>
    </row>
    <row r="5459" spans="1:3" x14ac:dyDescent="0.3">
      <c r="A5459" s="1" t="s">
        <v>515</v>
      </c>
      <c r="B5459" t="s">
        <v>451</v>
      </c>
      <c r="C5459" s="1">
        <v>34.810001</v>
      </c>
    </row>
    <row r="5460" spans="1:3" x14ac:dyDescent="0.3">
      <c r="A5460" s="1" t="s">
        <v>515</v>
      </c>
      <c r="B5460" t="s">
        <v>452</v>
      </c>
      <c r="C5460" s="1">
        <v>35.130001</v>
      </c>
    </row>
    <row r="5461" spans="1:3" x14ac:dyDescent="0.3">
      <c r="A5461" s="1" t="s">
        <v>515</v>
      </c>
      <c r="B5461" t="s">
        <v>453</v>
      </c>
      <c r="C5461" s="1">
        <v>34.689999</v>
      </c>
    </row>
    <row r="5462" spans="1:3" x14ac:dyDescent="0.3">
      <c r="A5462" s="1" t="s">
        <v>515</v>
      </c>
      <c r="B5462" t="s">
        <v>454</v>
      </c>
      <c r="C5462" s="1">
        <v>34.669998</v>
      </c>
    </row>
    <row r="5463" spans="1:3" x14ac:dyDescent="0.3">
      <c r="A5463" s="1" t="s">
        <v>515</v>
      </c>
      <c r="B5463" t="s">
        <v>455</v>
      </c>
      <c r="C5463" s="1">
        <v>34.990001999999997</v>
      </c>
    </row>
    <row r="5464" spans="1:3" x14ac:dyDescent="0.3">
      <c r="A5464" s="1" t="s">
        <v>515</v>
      </c>
      <c r="B5464" t="s">
        <v>456</v>
      </c>
      <c r="C5464" s="1">
        <v>34.849997999999999</v>
      </c>
    </row>
    <row r="5465" spans="1:3" x14ac:dyDescent="0.3">
      <c r="A5465" s="1" t="s">
        <v>515</v>
      </c>
      <c r="B5465" t="s">
        <v>457</v>
      </c>
      <c r="C5465" s="1">
        <v>35.07</v>
      </c>
    </row>
    <row r="5466" spans="1:3" x14ac:dyDescent="0.3">
      <c r="A5466" s="1" t="s">
        <v>515</v>
      </c>
      <c r="B5466" t="s">
        <v>458</v>
      </c>
      <c r="C5466" s="1">
        <v>34.82</v>
      </c>
    </row>
    <row r="5467" spans="1:3" x14ac:dyDescent="0.3">
      <c r="A5467" s="1" t="s">
        <v>515</v>
      </c>
      <c r="B5467" t="s">
        <v>459</v>
      </c>
      <c r="C5467" s="1">
        <v>35.330002</v>
      </c>
    </row>
    <row r="5468" spans="1:3" x14ac:dyDescent="0.3">
      <c r="A5468" s="1" t="s">
        <v>515</v>
      </c>
      <c r="B5468" t="s">
        <v>460</v>
      </c>
      <c r="C5468" s="1">
        <v>35.57</v>
      </c>
    </row>
    <row r="5469" spans="1:3" x14ac:dyDescent="0.3">
      <c r="A5469" s="1" t="s">
        <v>515</v>
      </c>
      <c r="B5469" t="s">
        <v>461</v>
      </c>
      <c r="C5469" s="1">
        <v>35.220001000000003</v>
      </c>
    </row>
    <row r="5470" spans="1:3" x14ac:dyDescent="0.3">
      <c r="A5470" s="1" t="s">
        <v>515</v>
      </c>
      <c r="B5470" t="s">
        <v>462</v>
      </c>
      <c r="C5470" s="1">
        <v>35.740001999999997</v>
      </c>
    </row>
    <row r="5471" spans="1:3" x14ac:dyDescent="0.3">
      <c r="A5471" s="1" t="s">
        <v>515</v>
      </c>
      <c r="B5471" t="s">
        <v>463</v>
      </c>
      <c r="C5471" s="1">
        <v>35.849997999999999</v>
      </c>
    </row>
    <row r="5472" spans="1:3" x14ac:dyDescent="0.3">
      <c r="A5472" s="1" t="s">
        <v>515</v>
      </c>
      <c r="B5472" t="s">
        <v>464</v>
      </c>
      <c r="C5472" s="1">
        <v>35.700001</v>
      </c>
    </row>
    <row r="5473" spans="1:3" x14ac:dyDescent="0.3">
      <c r="A5473" s="1" t="s">
        <v>515</v>
      </c>
      <c r="B5473" t="s">
        <v>465</v>
      </c>
      <c r="C5473" s="1">
        <v>35.68</v>
      </c>
    </row>
    <row r="5474" spans="1:3" x14ac:dyDescent="0.3">
      <c r="A5474" s="1" t="s">
        <v>515</v>
      </c>
      <c r="B5474" t="s">
        <v>466</v>
      </c>
      <c r="C5474" s="1">
        <v>35.169998</v>
      </c>
    </row>
    <row r="5475" spans="1:3" x14ac:dyDescent="0.3">
      <c r="A5475" s="1" t="s">
        <v>515</v>
      </c>
      <c r="B5475" t="s">
        <v>467</v>
      </c>
      <c r="C5475" s="1">
        <v>35.119999</v>
      </c>
    </row>
    <row r="5476" spans="1:3" x14ac:dyDescent="0.3">
      <c r="A5476" s="1" t="s">
        <v>515</v>
      </c>
      <c r="B5476" t="s">
        <v>468</v>
      </c>
      <c r="C5476" s="1">
        <v>35.279998999999997</v>
      </c>
    </row>
    <row r="5477" spans="1:3" x14ac:dyDescent="0.3">
      <c r="A5477" s="1" t="s">
        <v>515</v>
      </c>
      <c r="B5477" t="s">
        <v>469</v>
      </c>
      <c r="C5477" s="1">
        <v>34.450001</v>
      </c>
    </row>
    <row r="5478" spans="1:3" x14ac:dyDescent="0.3">
      <c r="A5478" s="1" t="s">
        <v>515</v>
      </c>
      <c r="B5478" t="s">
        <v>470</v>
      </c>
      <c r="C5478" s="1">
        <v>35</v>
      </c>
    </row>
    <row r="5479" spans="1:3" x14ac:dyDescent="0.3">
      <c r="A5479" s="1" t="s">
        <v>515</v>
      </c>
      <c r="B5479" t="s">
        <v>471</v>
      </c>
      <c r="C5479" s="1">
        <v>34.900002000000001</v>
      </c>
    </row>
    <row r="5480" spans="1:3" x14ac:dyDescent="0.3">
      <c r="A5480" s="1" t="s">
        <v>515</v>
      </c>
      <c r="B5480" t="s">
        <v>472</v>
      </c>
      <c r="C5480" s="1">
        <v>34.310001</v>
      </c>
    </row>
    <row r="5481" spans="1:3" x14ac:dyDescent="0.3">
      <c r="A5481" s="1" t="s">
        <v>515</v>
      </c>
      <c r="B5481" t="s">
        <v>473</v>
      </c>
      <c r="C5481" s="1">
        <v>34.909999999999997</v>
      </c>
    </row>
    <row r="5482" spans="1:3" x14ac:dyDescent="0.3">
      <c r="A5482" s="1" t="s">
        <v>515</v>
      </c>
      <c r="B5482" t="s">
        <v>474</v>
      </c>
      <c r="C5482" s="1">
        <v>34.419998</v>
      </c>
    </row>
    <row r="5483" spans="1:3" x14ac:dyDescent="0.3">
      <c r="A5483" s="1" t="s">
        <v>515</v>
      </c>
      <c r="B5483" t="s">
        <v>475</v>
      </c>
      <c r="C5483" s="1">
        <v>35.840000000000003</v>
      </c>
    </row>
    <row r="5484" spans="1:3" x14ac:dyDescent="0.3">
      <c r="A5484" s="1" t="s">
        <v>515</v>
      </c>
      <c r="B5484" t="s">
        <v>476</v>
      </c>
      <c r="C5484" s="1">
        <v>35.950001</v>
      </c>
    </row>
    <row r="5485" spans="1:3" x14ac:dyDescent="0.3">
      <c r="A5485" s="1" t="s">
        <v>515</v>
      </c>
      <c r="B5485" t="s">
        <v>477</v>
      </c>
      <c r="C5485" s="1">
        <v>36.700001</v>
      </c>
    </row>
    <row r="5486" spans="1:3" x14ac:dyDescent="0.3">
      <c r="A5486" s="1" t="s">
        <v>515</v>
      </c>
      <c r="B5486" t="s">
        <v>478</v>
      </c>
      <c r="C5486" s="1">
        <v>36.169998</v>
      </c>
    </row>
    <row r="5487" spans="1:3" x14ac:dyDescent="0.3">
      <c r="A5487" s="1" t="s">
        <v>515</v>
      </c>
      <c r="B5487" t="s">
        <v>479</v>
      </c>
      <c r="C5487" s="1">
        <v>36.549999</v>
      </c>
    </row>
    <row r="5488" spans="1:3" x14ac:dyDescent="0.3">
      <c r="A5488" s="1" t="s">
        <v>515</v>
      </c>
      <c r="B5488" t="s">
        <v>480</v>
      </c>
      <c r="C5488" s="1">
        <v>36.68</v>
      </c>
    </row>
    <row r="5489" spans="1:3" x14ac:dyDescent="0.3">
      <c r="A5489" s="1" t="s">
        <v>515</v>
      </c>
      <c r="B5489" t="s">
        <v>481</v>
      </c>
      <c r="C5489" s="1">
        <v>37.200001</v>
      </c>
    </row>
    <row r="5490" spans="1:3" x14ac:dyDescent="0.3">
      <c r="A5490" s="1" t="s">
        <v>515</v>
      </c>
      <c r="B5490" t="s">
        <v>482</v>
      </c>
      <c r="C5490" s="1">
        <v>36.779998999999997</v>
      </c>
    </row>
    <row r="5491" spans="1:3" x14ac:dyDescent="0.3">
      <c r="A5491" s="1" t="s">
        <v>515</v>
      </c>
      <c r="B5491" t="s">
        <v>483</v>
      </c>
      <c r="C5491" s="1">
        <v>37.290000999999997</v>
      </c>
    </row>
    <row r="5492" spans="1:3" x14ac:dyDescent="0.3">
      <c r="A5492" s="1" t="s">
        <v>515</v>
      </c>
      <c r="B5492" t="s">
        <v>484</v>
      </c>
      <c r="C5492" s="1">
        <v>35.020000000000003</v>
      </c>
    </row>
    <row r="5493" spans="1:3" x14ac:dyDescent="0.3">
      <c r="A5493" s="1" t="s">
        <v>515</v>
      </c>
      <c r="B5493" t="s">
        <v>485</v>
      </c>
      <c r="C5493" s="1">
        <v>36.279998999999997</v>
      </c>
    </row>
    <row r="5494" spans="1:3" x14ac:dyDescent="0.3">
      <c r="A5494" s="1" t="s">
        <v>515</v>
      </c>
      <c r="B5494" t="s">
        <v>486</v>
      </c>
      <c r="C5494" s="1">
        <v>36.299999</v>
      </c>
    </row>
    <row r="5495" spans="1:3" x14ac:dyDescent="0.3">
      <c r="A5495" s="1" t="s">
        <v>515</v>
      </c>
      <c r="B5495" t="s">
        <v>487</v>
      </c>
      <c r="C5495" s="1">
        <v>36.020000000000003</v>
      </c>
    </row>
    <row r="5496" spans="1:3" x14ac:dyDescent="0.3">
      <c r="A5496" s="1" t="s">
        <v>515</v>
      </c>
      <c r="B5496" t="s">
        <v>488</v>
      </c>
      <c r="C5496" s="1">
        <v>35.599997999999999</v>
      </c>
    </row>
    <row r="5497" spans="1:3" x14ac:dyDescent="0.3">
      <c r="A5497" s="1" t="s">
        <v>515</v>
      </c>
      <c r="B5497" t="s">
        <v>489</v>
      </c>
      <c r="C5497" s="1">
        <v>35.93</v>
      </c>
    </row>
    <row r="5498" spans="1:3" x14ac:dyDescent="0.3">
      <c r="A5498" s="1" t="s">
        <v>515</v>
      </c>
      <c r="B5498" t="s">
        <v>490</v>
      </c>
      <c r="C5498" s="1">
        <v>36.479999999999997</v>
      </c>
    </row>
    <row r="5499" spans="1:3" x14ac:dyDescent="0.3">
      <c r="A5499" s="1" t="s">
        <v>515</v>
      </c>
      <c r="B5499" t="s">
        <v>491</v>
      </c>
      <c r="C5499" s="1">
        <v>36.599997999999999</v>
      </c>
    </row>
    <row r="5500" spans="1:3" x14ac:dyDescent="0.3">
      <c r="A5500" s="1" t="s">
        <v>515</v>
      </c>
      <c r="B5500" t="s">
        <v>492</v>
      </c>
      <c r="C5500" s="1">
        <v>37.099997999999999</v>
      </c>
    </row>
    <row r="5501" spans="1:3" x14ac:dyDescent="0.3">
      <c r="A5501" s="1" t="s">
        <v>515</v>
      </c>
      <c r="B5501" t="s">
        <v>493</v>
      </c>
      <c r="C5501" s="1">
        <v>37.68</v>
      </c>
    </row>
    <row r="5502" spans="1:3" x14ac:dyDescent="0.3">
      <c r="A5502" s="1" t="s">
        <v>515</v>
      </c>
      <c r="B5502" t="s">
        <v>494</v>
      </c>
      <c r="C5502" s="1">
        <v>37.590000000000003</v>
      </c>
    </row>
    <row r="5503" spans="1:3" x14ac:dyDescent="0.3">
      <c r="A5503" s="1" t="s">
        <v>515</v>
      </c>
      <c r="B5503" t="s">
        <v>495</v>
      </c>
      <c r="C5503" s="1">
        <v>36.5</v>
      </c>
    </row>
    <row r="5504" spans="1:3" x14ac:dyDescent="0.3">
      <c r="A5504" s="1" t="s">
        <v>515</v>
      </c>
      <c r="B5504" t="s">
        <v>496</v>
      </c>
      <c r="C5504" s="1">
        <v>37.099997999999999</v>
      </c>
    </row>
    <row r="5505" spans="1:3" x14ac:dyDescent="0.3">
      <c r="A5505" s="1" t="s">
        <v>515</v>
      </c>
      <c r="B5505" t="s">
        <v>497</v>
      </c>
      <c r="C5505" s="1">
        <v>36.959999000000003</v>
      </c>
    </row>
    <row r="5506" spans="1:3" x14ac:dyDescent="0.3">
      <c r="A5506" s="1" t="s">
        <v>515</v>
      </c>
      <c r="B5506" t="s">
        <v>498</v>
      </c>
      <c r="C5506" s="1">
        <v>36.689999</v>
      </c>
    </row>
    <row r="5507" spans="1:3" x14ac:dyDescent="0.3">
      <c r="A5507" s="1" t="s">
        <v>515</v>
      </c>
      <c r="B5507" t="s">
        <v>499</v>
      </c>
      <c r="C5507" s="1">
        <v>36.68</v>
      </c>
    </row>
    <row r="5508" spans="1:3" x14ac:dyDescent="0.3">
      <c r="A5508" s="1" t="s">
        <v>515</v>
      </c>
      <c r="B5508" t="s">
        <v>500</v>
      </c>
      <c r="C5508" s="1">
        <v>36.060001</v>
      </c>
    </row>
    <row r="5509" spans="1:3" x14ac:dyDescent="0.3">
      <c r="A5509" s="1" t="s">
        <v>515</v>
      </c>
      <c r="B5509" t="s">
        <v>501</v>
      </c>
      <c r="C5509" s="1">
        <v>35.990001999999997</v>
      </c>
    </row>
    <row r="5510" spans="1:3" x14ac:dyDescent="0.3">
      <c r="A5510" s="1" t="s">
        <v>515</v>
      </c>
      <c r="B5510" t="s">
        <v>502</v>
      </c>
      <c r="C5510" s="1">
        <v>36.049999</v>
      </c>
    </row>
    <row r="5511" spans="1:3" x14ac:dyDescent="0.3">
      <c r="A5511" s="1" t="s">
        <v>515</v>
      </c>
      <c r="B5511" t="s">
        <v>503</v>
      </c>
      <c r="C5511" s="1">
        <v>35.720001000000003</v>
      </c>
    </row>
    <row r="5512" spans="1:3" x14ac:dyDescent="0.3">
      <c r="A5512" s="1" t="s">
        <v>515</v>
      </c>
      <c r="B5512" t="s">
        <v>504</v>
      </c>
      <c r="C5512" s="1">
        <v>35.130001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6C19601-39CD-4213-B542-3FC6F1D2C2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Laskentataulukot</vt:lpstr>
      </vt:variant>
      <vt:variant>
        <vt:i4>2</vt:i4>
      </vt:variant>
    </vt:vector>
  </HeadingPairs>
  <TitlesOfParts>
    <vt:vector size="2" baseType="lpstr">
      <vt:lpstr>Taul2</vt:lpstr>
      <vt:lpstr>2 Portfolio optimization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dc:creator>
  <cp:lastModifiedBy>Eve</cp:lastModifiedBy>
  <dcterms:created xsi:type="dcterms:W3CDTF">2021-08-01T07:31:00Z</dcterms:created>
  <dcterms:modified xsi:type="dcterms:W3CDTF">2021-08-01T12:27:40Z</dcterms:modified>
</cp:coreProperties>
</file>