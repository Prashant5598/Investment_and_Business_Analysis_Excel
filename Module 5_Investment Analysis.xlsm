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4D1C537B-E38A-612A-F078-A93A15B4B7F4}"/>
  <workbookPr codeName="ThisWorkbook"/>
  <mc:AlternateContent xmlns:mc="http://schemas.openxmlformats.org/markup-compatibility/2006">
    <mc:Choice Requires="x15">
      <x15ac:absPath xmlns:x15ac="http://schemas.microsoft.com/office/spreadsheetml/2010/11/ac" url="https://d.docs.live.net/eb7bc8df398b7d62/Desktop/Courses/Investment and Business analysis with Excel/Module 5 Investment analysis/Assignment/"/>
    </mc:Choice>
  </mc:AlternateContent>
  <xr:revisionPtr revIDLastSave="73651" documentId="8_{D38AE9F2-DC82-4D60-AE09-B106192D7D14}" xr6:coauthVersionLast="47" xr6:coauthVersionMax="47" xr10:uidLastSave="{E25D21AA-8802-4F20-8B88-E353EC19D80B}"/>
  <bookViews>
    <workbookView xWindow="-23148" yWindow="-108" windowWidth="23256" windowHeight="12576" xr2:uid="{00000000-000D-0000-FFFF-FFFF00000000}"/>
  </bookViews>
  <sheets>
    <sheet name="Calculations" sheetId="6" r:id="rId1"/>
    <sheet name="MC_SIM" sheetId="8" r:id="rId2"/>
    <sheet name="sensitivity" sheetId="5" r:id="rId3"/>
    <sheet name="Scenario Summary" sheetId="7" r:id="rId4"/>
    <sheet name="Report" sheetId="14" r:id="rId5"/>
    <sheet name="ANSWERS" sheetId="12" r:id="rId6"/>
    <sheet name="MC_DATA" sheetId="9" r:id="rId7"/>
    <sheet name="Simulation" sheetId="11" r:id="rId8"/>
    <sheet name="MC_HI" sheetId="10" r:id="rId9"/>
  </sheets>
  <definedNames>
    <definedName name="Cost_Price">Calculations!$D$5</definedName>
    <definedName name="Data">Simulation!$A:$A</definedName>
    <definedName name="Estimated_Sales">Calculations!$D$9</definedName>
    <definedName name="Inflation_Rate">Calculations!$D$11</definedName>
    <definedName name="Selling_Price">Calculations!$D$6</definedName>
    <definedName name="Tax_Rate">Calculations!$D$8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4" i="6" l="1"/>
  <c r="J49" i="6"/>
  <c r="G54" i="6"/>
  <c r="G49" i="6"/>
  <c r="D54" i="6"/>
  <c r="D49" i="6"/>
  <c r="B3" i="14"/>
  <c r="B4" i="14"/>
  <c r="B5" i="14"/>
  <c r="B6" i="14"/>
  <c r="B7" i="14"/>
  <c r="B8" i="14"/>
  <c r="C22" i="8"/>
  <c r="C7" i="14" s="1"/>
  <c r="C21" i="8"/>
  <c r="C6" i="14" s="1"/>
  <c r="C20" i="8"/>
  <c r="C5" i="14" s="1"/>
  <c r="C19" i="8"/>
  <c r="C4" i="14" s="1"/>
  <c r="C18" i="8"/>
  <c r="C3" i="14" s="1"/>
  <c r="B3" i="10"/>
  <c r="B2" i="10"/>
  <c r="M18" i="9"/>
  <c r="N18" i="9"/>
  <c r="O18" i="9"/>
  <c r="P18" i="9"/>
  <c r="L18" i="9"/>
  <c r="E18" i="9"/>
  <c r="F18" i="9"/>
  <c r="G18" i="9"/>
  <c r="H18" i="9"/>
  <c r="D18" i="9"/>
  <c r="E26" i="9"/>
  <c r="D26" i="9"/>
  <c r="D27" i="9" s="1"/>
  <c r="E5" i="8"/>
  <c r="D4" i="9" s="1"/>
  <c r="E6" i="8"/>
  <c r="D5" i="9" s="1"/>
  <c r="E7" i="8"/>
  <c r="D6" i="9" s="1"/>
  <c r="E8" i="8"/>
  <c r="D11" i="9" s="1"/>
  <c r="E4" i="8"/>
  <c r="D3" i="9" s="1"/>
  <c r="E3" i="6"/>
  <c r="E7" i="6" s="1"/>
  <c r="F20" i="6" s="1"/>
  <c r="E18" i="6"/>
  <c r="F18" i="6"/>
  <c r="G18" i="6"/>
  <c r="H18" i="6"/>
  <c r="L18" i="6"/>
  <c r="M18" i="6"/>
  <c r="N18" i="6"/>
  <c r="O18" i="6"/>
  <c r="P18" i="6"/>
  <c r="D18" i="6"/>
  <c r="E4" i="6"/>
  <c r="E12" i="6" s="1"/>
  <c r="E9" i="6"/>
  <c r="E6" i="6"/>
  <c r="J23" i="6" s="1"/>
  <c r="E5" i="6"/>
  <c r="L24" i="6" s="1"/>
  <c r="B4" i="10" l="1"/>
  <c r="B5" i="10" s="1"/>
  <c r="B6" i="10" s="1"/>
  <c r="B8" i="10" s="1"/>
  <c r="Q19" i="6"/>
  <c r="J23" i="9"/>
  <c r="O23" i="9"/>
  <c r="Q23" i="9"/>
  <c r="K23" i="9"/>
  <c r="G23" i="9"/>
  <c r="M23" i="9"/>
  <c r="F23" i="9"/>
  <c r="D12" i="9"/>
  <c r="H23" i="9"/>
  <c r="P23" i="9"/>
  <c r="L23" i="9"/>
  <c r="I23" i="9"/>
  <c r="N23" i="9"/>
  <c r="K24" i="9"/>
  <c r="O24" i="9"/>
  <c r="G24" i="9"/>
  <c r="L24" i="9"/>
  <c r="P24" i="9"/>
  <c r="H24" i="9"/>
  <c r="M24" i="9"/>
  <c r="Q24" i="9"/>
  <c r="F24" i="9"/>
  <c r="J24" i="9"/>
  <c r="N24" i="9"/>
  <c r="I24" i="9"/>
  <c r="E17" i="9"/>
  <c r="D17" i="9"/>
  <c r="D32" i="9" s="1"/>
  <c r="D7" i="9"/>
  <c r="D28" i="9"/>
  <c r="D30" i="9" s="1"/>
  <c r="K24" i="6"/>
  <c r="O24" i="6"/>
  <c r="I24" i="6"/>
  <c r="N24" i="6"/>
  <c r="J24" i="6"/>
  <c r="G24" i="6"/>
  <c r="F24" i="6"/>
  <c r="Q24" i="6"/>
  <c r="M24" i="6"/>
  <c r="H24" i="6"/>
  <c r="P24" i="6"/>
  <c r="P23" i="6"/>
  <c r="F23" i="6"/>
  <c r="Q23" i="6"/>
  <c r="M23" i="6"/>
  <c r="H23" i="6"/>
  <c r="L23" i="6"/>
  <c r="G23" i="6"/>
  <c r="O23" i="6"/>
  <c r="K23" i="6"/>
  <c r="I23" i="6"/>
  <c r="N23" i="6"/>
  <c r="E20" i="6"/>
  <c r="M20" i="6"/>
  <c r="I20" i="6"/>
  <c r="P20" i="6"/>
  <c r="L20" i="6"/>
  <c r="H20" i="6"/>
  <c r="O20" i="6"/>
  <c r="K20" i="6"/>
  <c r="G20" i="6"/>
  <c r="N20" i="6"/>
  <c r="J20" i="6"/>
  <c r="D17" i="6"/>
  <c r="E17" i="6"/>
  <c r="E26" i="6"/>
  <c r="D26" i="6"/>
  <c r="D27" i="6" s="1"/>
  <c r="D28" i="6" s="1"/>
  <c r="D12" i="6"/>
  <c r="D7" i="6"/>
  <c r="B7" i="10" l="1"/>
  <c r="F2" i="10" s="1"/>
  <c r="O26" i="9"/>
  <c r="K26" i="9"/>
  <c r="N26" i="9"/>
  <c r="G26" i="9"/>
  <c r="D33" i="9"/>
  <c r="F26" i="9"/>
  <c r="L26" i="9"/>
  <c r="H20" i="9"/>
  <c r="L20" i="9"/>
  <c r="P20" i="9"/>
  <c r="Q19" i="9" a="1"/>
  <c r="Q19" i="9" s="1"/>
  <c r="I20" i="9"/>
  <c r="M20" i="9"/>
  <c r="E20" i="9"/>
  <c r="E27" i="9" s="1"/>
  <c r="K20" i="9"/>
  <c r="F20" i="9"/>
  <c r="J20" i="9"/>
  <c r="N20" i="9"/>
  <c r="G20" i="9"/>
  <c r="O20" i="9"/>
  <c r="Q26" i="9"/>
  <c r="Q27" i="9" s="1"/>
  <c r="H26" i="9"/>
  <c r="I26" i="9"/>
  <c r="P26" i="9"/>
  <c r="J26" i="9"/>
  <c r="M26" i="9"/>
  <c r="E27" i="6"/>
  <c r="F26" i="6"/>
  <c r="I26" i="6"/>
  <c r="M26" i="6"/>
  <c r="M27" i="6" s="1"/>
  <c r="M28" i="6" s="1"/>
  <c r="Q26" i="6"/>
  <c r="Q27" i="6" s="1"/>
  <c r="H26" i="6"/>
  <c r="L26" i="6"/>
  <c r="P26" i="6"/>
  <c r="J26" i="6"/>
  <c r="N26" i="6"/>
  <c r="N27" i="6" s="1"/>
  <c r="G26" i="6"/>
  <c r="K26" i="6"/>
  <c r="O26" i="6"/>
  <c r="D30" i="6"/>
  <c r="D32" i="6" s="1"/>
  <c r="D33" i="6" s="1"/>
  <c r="J27" i="9" l="1"/>
  <c r="J28" i="9" s="1"/>
  <c r="B9" i="10"/>
  <c r="F3" i="10" s="1"/>
  <c r="G2" i="10" s="1"/>
  <c r="H2" i="10" s="1"/>
  <c r="O27" i="9"/>
  <c r="O28" i="9" s="1"/>
  <c r="O30" i="9" s="1"/>
  <c r="O32" i="9" s="1"/>
  <c r="O33" i="9" s="1"/>
  <c r="K27" i="9"/>
  <c r="K28" i="9" s="1"/>
  <c r="K30" i="9" s="1"/>
  <c r="K32" i="9" s="1"/>
  <c r="K33" i="9" s="1"/>
  <c r="N27" i="9"/>
  <c r="N28" i="9" s="1"/>
  <c r="N30" i="9" s="1"/>
  <c r="N32" i="9" s="1"/>
  <c r="N33" i="9" s="1"/>
  <c r="F27" i="9"/>
  <c r="F28" i="9" s="1"/>
  <c r="M27" i="9"/>
  <c r="M28" i="9" s="1"/>
  <c r="E28" i="6"/>
  <c r="E30" i="6" s="1"/>
  <c r="E32" i="6" s="1"/>
  <c r="E33" i="6" s="1"/>
  <c r="G27" i="9"/>
  <c r="G28" i="9" s="1"/>
  <c r="H27" i="9"/>
  <c r="H28" i="9" s="1"/>
  <c r="H30" i="9" s="1"/>
  <c r="H32" i="9" s="1"/>
  <c r="H33" i="9" s="1"/>
  <c r="L27" i="9"/>
  <c r="L28" i="9" s="1"/>
  <c r="Q28" i="9"/>
  <c r="Q30" i="9" s="1"/>
  <c r="Q32" i="9" s="1"/>
  <c r="Q33" i="9" s="1"/>
  <c r="P27" i="9"/>
  <c r="P28" i="9" s="1"/>
  <c r="E28" i="9"/>
  <c r="E30" i="9" s="1"/>
  <c r="E32" i="9" s="1"/>
  <c r="E33" i="9" s="1"/>
  <c r="I27" i="9"/>
  <c r="D34" i="9"/>
  <c r="Q28" i="6"/>
  <c r="Q30" i="6" s="1"/>
  <c r="Q32" i="6" s="1"/>
  <c r="Q33" i="6" s="1"/>
  <c r="N28" i="6"/>
  <c r="N30" i="6" s="1"/>
  <c r="N32" i="6" s="1"/>
  <c r="N33" i="6" s="1"/>
  <c r="F27" i="6"/>
  <c r="I27" i="6"/>
  <c r="I28" i="6" s="1"/>
  <c r="L27" i="6"/>
  <c r="H27" i="6"/>
  <c r="O27" i="6"/>
  <c r="P27" i="6"/>
  <c r="J27" i="6"/>
  <c r="J28" i="6" s="1"/>
  <c r="K27" i="6"/>
  <c r="G27" i="6"/>
  <c r="M30" i="6"/>
  <c r="M32" i="6" s="1"/>
  <c r="M33" i="6" s="1"/>
  <c r="J30" i="9" l="1"/>
  <c r="J32" i="9" s="1"/>
  <c r="J33" i="9" s="1"/>
  <c r="F4" i="10"/>
  <c r="G3" i="10" s="1"/>
  <c r="H3" i="10" s="1"/>
  <c r="F30" i="9"/>
  <c r="F32" i="9" s="1"/>
  <c r="F33" i="9" s="1"/>
  <c r="F34" i="9" s="1"/>
  <c r="M30" i="9"/>
  <c r="M32" i="9" s="1"/>
  <c r="M33" i="9" s="1"/>
  <c r="P30" i="9"/>
  <c r="P32" i="9" s="1"/>
  <c r="P33" i="9" s="1"/>
  <c r="G30" i="9"/>
  <c r="G32" i="9" s="1"/>
  <c r="G33" i="9" s="1"/>
  <c r="E34" i="6"/>
  <c r="L30" i="9"/>
  <c r="L32" i="9" s="1"/>
  <c r="L33" i="9" s="1"/>
  <c r="I28" i="9"/>
  <c r="I30" i="9" s="1"/>
  <c r="I32" i="9" s="1"/>
  <c r="I33" i="9" s="1"/>
  <c r="E34" i="9"/>
  <c r="I30" i="6"/>
  <c r="I32" i="6" s="1"/>
  <c r="I33" i="6" s="1"/>
  <c r="F28" i="6"/>
  <c r="F30" i="6" s="1"/>
  <c r="F32" i="6" s="1"/>
  <c r="F33" i="6" s="1"/>
  <c r="F34" i="6" s="1"/>
  <c r="K28" i="6"/>
  <c r="K30" i="6" s="1"/>
  <c r="K32" i="6" s="1"/>
  <c r="K33" i="6" s="1"/>
  <c r="H28" i="6"/>
  <c r="H30" i="6" s="1"/>
  <c r="H32" i="6" s="1"/>
  <c r="H33" i="6" s="1"/>
  <c r="P28" i="6"/>
  <c r="P30" i="6" s="1"/>
  <c r="P32" i="6" s="1"/>
  <c r="P33" i="6" s="1"/>
  <c r="G28" i="6"/>
  <c r="G30" i="6" s="1"/>
  <c r="G32" i="6" s="1"/>
  <c r="G33" i="6" s="1"/>
  <c r="O28" i="6"/>
  <c r="O30" i="6" s="1"/>
  <c r="O32" i="6" s="1"/>
  <c r="O33" i="6" s="1"/>
  <c r="L28" i="6"/>
  <c r="L30" i="6" s="1"/>
  <c r="L32" i="6" s="1"/>
  <c r="L33" i="6" s="1"/>
  <c r="J30" i="6"/>
  <c r="J32" i="6" s="1"/>
  <c r="J33" i="6" s="1"/>
  <c r="D34" i="6"/>
  <c r="F5" i="10" l="1"/>
  <c r="G4" i="10" s="1"/>
  <c r="H4" i="10" s="1"/>
  <c r="O34" i="6"/>
  <c r="M34" i="9"/>
  <c r="Q34" i="6"/>
  <c r="J34" i="6"/>
  <c r="H34" i="6"/>
  <c r="P34" i="6"/>
  <c r="G34" i="6"/>
  <c r="I34" i="6"/>
  <c r="N34" i="6"/>
  <c r="K34" i="6"/>
  <c r="M34" i="6"/>
  <c r="L34" i="6"/>
  <c r="D36" i="9"/>
  <c r="D38" i="9" s="1"/>
  <c r="D37" i="9"/>
  <c r="L34" i="9"/>
  <c r="Q34" i="9"/>
  <c r="P34" i="9"/>
  <c r="G34" i="9"/>
  <c r="H34" i="9"/>
  <c r="O34" i="9"/>
  <c r="I34" i="9"/>
  <c r="K34" i="9"/>
  <c r="N34" i="9"/>
  <c r="J34" i="9"/>
  <c r="D36" i="6"/>
  <c r="D38" i="6" s="1"/>
  <c r="D37" i="6"/>
  <c r="F6" i="10" l="1"/>
  <c r="G5" i="10" s="1"/>
  <c r="H5" i="10" s="1"/>
  <c r="D39" i="9" a="1"/>
  <c r="D39" i="9" s="1"/>
  <c r="T5" i="5"/>
  <c r="T6" i="5"/>
  <c r="T7" i="5"/>
  <c r="T4" i="5"/>
  <c r="T3" i="5"/>
  <c r="H6" i="5"/>
  <c r="H7" i="5"/>
  <c r="H4" i="5"/>
  <c r="H3" i="5"/>
  <c r="H5" i="5"/>
  <c r="D39" i="6" a="1"/>
  <c r="D39" i="6" s="1"/>
  <c r="F7" i="10" l="1"/>
  <c r="F8" i="10" s="1"/>
  <c r="G7" i="10" s="1"/>
  <c r="H7" i="10" s="1"/>
  <c r="G6" i="10"/>
  <c r="H6" i="10" s="1"/>
  <c r="F9" i="10" l="1"/>
  <c r="G8" i="10" s="1"/>
  <c r="H8" i="10" s="1"/>
  <c r="F10" i="10" l="1"/>
  <c r="G9" i="10" s="1"/>
  <c r="H9" i="10" s="1"/>
  <c r="F11" i="10" l="1"/>
  <c r="G10" i="10" s="1"/>
  <c r="H10" i="10" s="1"/>
  <c r="F12" i="10" l="1"/>
  <c r="G11" i="10" s="1"/>
  <c r="H11" i="10" s="1"/>
  <c r="F13" i="10" l="1"/>
  <c r="G12" i="10" s="1"/>
  <c r="H12" i="10" s="1"/>
  <c r="F14" i="10" l="1"/>
  <c r="G13" i="10" s="1"/>
  <c r="H13" i="10" s="1"/>
  <c r="F15" i="10" l="1"/>
  <c r="G14" i="10" s="1"/>
  <c r="H14" i="10" s="1"/>
  <c r="F16" i="10" l="1"/>
  <c r="G15" i="10" s="1"/>
  <c r="H15" i="10" s="1"/>
  <c r="F17" i="10" l="1"/>
  <c r="G16" i="10" s="1"/>
  <c r="H16" i="10" s="1"/>
  <c r="F18" i="10" l="1"/>
  <c r="G17" i="10" s="1"/>
  <c r="H17" i="10" s="1"/>
  <c r="F19" i="10" l="1"/>
  <c r="G18" i="10" s="1"/>
  <c r="H18" i="10" s="1"/>
  <c r="F20" i="10" l="1"/>
  <c r="G19" i="10" s="1"/>
  <c r="H19" i="10" s="1"/>
  <c r="F21" i="10" l="1"/>
  <c r="G20" i="10" s="1"/>
  <c r="H20" i="10" s="1"/>
  <c r="F22" i="10" l="1"/>
  <c r="G21" i="10" s="1"/>
  <c r="H21" i="10" s="1"/>
  <c r="F23" i="10" l="1"/>
  <c r="G22" i="10" s="1"/>
  <c r="H22" i="10" s="1"/>
  <c r="F24" i="10" l="1"/>
  <c r="G23" i="10" s="1"/>
  <c r="H23" i="10" s="1"/>
  <c r="F25" i="10" l="1"/>
  <c r="G24" i="10" s="1"/>
  <c r="H24" i="10" s="1"/>
  <c r="F26" i="10" l="1"/>
  <c r="G25" i="10" s="1"/>
  <c r="H25" i="10" s="1"/>
  <c r="F27" i="10" l="1"/>
  <c r="G26" i="10" s="1"/>
  <c r="H26" i="10" s="1"/>
  <c r="F28" i="10" l="1"/>
  <c r="G27" i="10" s="1"/>
  <c r="H27" i="10" s="1"/>
  <c r="F29" i="10" l="1"/>
  <c r="G28" i="10" s="1"/>
  <c r="H28" i="10" s="1"/>
  <c r="F30" i="10" l="1"/>
  <c r="G29" i="10" s="1"/>
  <c r="H29" i="10" s="1"/>
  <c r="F31" i="10" l="1"/>
  <c r="G30" i="10" s="1"/>
  <c r="H30" i="10" s="1"/>
  <c r="F32" i="10" l="1"/>
  <c r="G31" i="10" s="1"/>
  <c r="H31" i="10" s="1"/>
  <c r="F33" i="10" l="1"/>
  <c r="G32" i="10" s="1"/>
  <c r="H32" i="10" s="1"/>
  <c r="F34" i="10" l="1"/>
  <c r="G33" i="10" s="1"/>
  <c r="H33" i="10" s="1"/>
  <c r="F35" i="10" l="1"/>
  <c r="G34" i="10" s="1"/>
  <c r="H34" i="10" s="1"/>
  <c r="F36" i="10" l="1"/>
  <c r="G35" i="10" s="1"/>
  <c r="H35" i="10" s="1"/>
  <c r="F37" i="10" l="1"/>
  <c r="G36" i="10" s="1"/>
  <c r="H36" i="10" s="1"/>
  <c r="F38" i="10" l="1"/>
  <c r="G37" i="10" s="1"/>
  <c r="H37" i="10" s="1"/>
  <c r="F39" i="10" l="1"/>
  <c r="G38" i="10" s="1"/>
  <c r="H38" i="10" s="1"/>
  <c r="F40" i="10" l="1"/>
  <c r="G39" i="10" s="1"/>
  <c r="H39" i="10" s="1"/>
  <c r="F41" i="10" l="1"/>
  <c r="G40" i="10" s="1"/>
  <c r="H40" i="10" s="1"/>
  <c r="F42" i="10" l="1"/>
  <c r="F43" i="10" l="1"/>
  <c r="G42" i="10" s="1"/>
  <c r="H42" i="10" s="1"/>
  <c r="G41" i="10"/>
  <c r="H41" i="10" s="1"/>
  <c r="F44" i="10" l="1"/>
  <c r="G43" i="10" s="1"/>
  <c r="H43" i="10" s="1"/>
  <c r="F45" i="10" l="1"/>
  <c r="G44" i="10" s="1"/>
  <c r="H44" i="10" s="1"/>
  <c r="F46" i="10" l="1"/>
  <c r="G45" i="10" s="1"/>
  <c r="H45" i="10" s="1"/>
  <c r="F47" i="10" l="1"/>
  <c r="G46" i="10" s="1"/>
  <c r="H46" i="10" s="1"/>
  <c r="F48" i="10" l="1"/>
  <c r="G47" i="10" s="1"/>
  <c r="H47" i="10" s="1"/>
  <c r="F49" i="10" l="1"/>
  <c r="G48" i="10" s="1"/>
  <c r="H48" i="10" s="1"/>
  <c r="F50" i="10" l="1"/>
  <c r="G49" i="10" s="1"/>
  <c r="H49" i="10" s="1"/>
  <c r="F51" i="10" l="1"/>
  <c r="G50" i="10" s="1"/>
  <c r="H50" i="10" s="1"/>
  <c r="F52" i="10" l="1"/>
  <c r="G52" i="10" l="1"/>
  <c r="H52" i="10" s="1"/>
  <c r="G51" i="10"/>
  <c r="H51" i="10" s="1"/>
  <c r="C23" i="8" l="1"/>
  <c r="C8"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<sst xmlns="http://schemas.openxmlformats.org/spreadsheetml/2006/main" count="181" uniqueCount="88">
  <si>
    <t>Project life</t>
  </si>
  <si>
    <t>Construction Cost</t>
  </si>
  <si>
    <t>Nominal Discount rate</t>
  </si>
  <si>
    <t>Production cost per bottle</t>
  </si>
  <si>
    <t>Selling price per bottle</t>
  </si>
  <si>
    <t>Depreciation</t>
  </si>
  <si>
    <t>Corporate tax</t>
  </si>
  <si>
    <t>Estimated Sales for 3 years</t>
  </si>
  <si>
    <t>Estimated Sales after 3 years</t>
  </si>
  <si>
    <t xml:space="preserve">Inflation rate </t>
  </si>
  <si>
    <t>Real Discount rate</t>
  </si>
  <si>
    <t>Working Capital</t>
  </si>
  <si>
    <t>Years</t>
  </si>
  <si>
    <t xml:space="preserve">Investment </t>
  </si>
  <si>
    <t>Scrap</t>
  </si>
  <si>
    <t xml:space="preserve">Profit and Loss </t>
  </si>
  <si>
    <t xml:space="preserve">Sales </t>
  </si>
  <si>
    <t>Cost of production</t>
  </si>
  <si>
    <t>EBITDA</t>
  </si>
  <si>
    <t>EBIT</t>
  </si>
  <si>
    <t xml:space="preserve">Taxes </t>
  </si>
  <si>
    <t>Net Income After tax</t>
  </si>
  <si>
    <t>Total Cashflow</t>
  </si>
  <si>
    <t>Discounted CashFlow</t>
  </si>
  <si>
    <t>Cumulative Discounted Cashflow</t>
  </si>
  <si>
    <t>Net Present Value</t>
  </si>
  <si>
    <t>Internal Rate of Return</t>
  </si>
  <si>
    <t>Profitability Index</t>
  </si>
  <si>
    <t>Discounted Pay back period</t>
  </si>
  <si>
    <t>Output 1</t>
  </si>
  <si>
    <t>Output 2</t>
  </si>
  <si>
    <t>Factors</t>
  </si>
  <si>
    <t>Break Even Analysis</t>
  </si>
  <si>
    <t xml:space="preserve">Nominal Discount rate </t>
  </si>
  <si>
    <t>Selling Price</t>
  </si>
  <si>
    <t>Cost Price</t>
  </si>
  <si>
    <t>Estimated Sales  first 3 years</t>
  </si>
  <si>
    <t>Cost_Price</t>
  </si>
  <si>
    <t>Selling_Price</t>
  </si>
  <si>
    <t>Tax_Rate</t>
  </si>
  <si>
    <t>Estimated_Sales</t>
  </si>
  <si>
    <t>Inflation_Rate</t>
  </si>
  <si>
    <t>$D$39</t>
  </si>
  <si>
    <t>Optimistic</t>
  </si>
  <si>
    <t>Created by Prashant Shrestha on 15/08/2021
Modified by Prashant Shrestha on 15/08/2021</t>
  </si>
  <si>
    <t>Pessimistic</t>
  </si>
  <si>
    <t>Created by Prashant Shrestha on 15/08/2021</t>
  </si>
  <si>
    <t>Realistic</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</si>
  <si>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</si>
  <si>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</si>
  <si>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</si>
  <si>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</si>
  <si>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</si>
  <si>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</si>
  <si>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</si>
  <si>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Uncertaincy Variables</t>
  </si>
  <si>
    <t>Nominal Discount Price</t>
  </si>
  <si>
    <t xml:space="preserve">Production cost </t>
  </si>
  <si>
    <t>Inflation Rate</t>
  </si>
  <si>
    <t>Min</t>
  </si>
  <si>
    <t>Max</t>
  </si>
  <si>
    <t>RAND</t>
  </si>
  <si>
    <t>Simulation Runs</t>
  </si>
  <si>
    <t xml:space="preserve">Min </t>
  </si>
  <si>
    <t xml:space="preserve">Max </t>
  </si>
  <si>
    <t>Range</t>
  </si>
  <si>
    <t>Rounding</t>
  </si>
  <si>
    <t>Min_new</t>
  </si>
  <si>
    <t>Max_new</t>
  </si>
  <si>
    <t>range_new</t>
  </si>
  <si>
    <t>Bin</t>
  </si>
  <si>
    <t>Count</t>
  </si>
  <si>
    <t>Probability</t>
  </si>
  <si>
    <t>Standard Deviation</t>
  </si>
  <si>
    <t>Minimum NPV</t>
  </si>
  <si>
    <t>Maximum NPV</t>
  </si>
  <si>
    <t>Share of Negetive NPVs</t>
  </si>
  <si>
    <t xml:space="preserve">Share of Positive NPVs </t>
  </si>
  <si>
    <t>Expected NPVs</t>
  </si>
  <si>
    <t>Is the investment profitable with these base-case assumptions? What does each profitability indicator tell?</t>
  </si>
  <si>
    <t>The investment seem to  good option considering the current assumption considering the NPV is positive and profitability index is greater than one. Although, the investment takes 8 .8 years to return the investment considering the discounting factor..</t>
  </si>
  <si>
    <t>What does the breakeven analysis tell about investment profitability?</t>
  </si>
  <si>
    <t>The breakeven analysis clearyfies that the project can be in breakpoint even if the project cost or nominal rate increases. The project can be at break point even if the selling price is decrease to 1.4 Dollar per bottle.</t>
  </si>
  <si>
    <t>What are the most crucial factors for project profitability? Which factors can potentially boost profitability and which deteriorate? Are they the same?</t>
  </si>
  <si>
    <t>Selling price, cost price and Investment are the most crucial factor in project profitability. Selling price has the most potential to boost and deteriorate the profitabilty.</t>
  </si>
  <si>
    <t xml:space="preserve"> Why your scenario tool is useful in this particular investment case? What insight does it bring?</t>
  </si>
  <si>
    <t>It helps to compare any profitabilty index between various factor and helps to find the most important and least important factors affecting the profitability.</t>
  </si>
  <si>
    <t xml:space="preserve">Report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</si>
</sst>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11"/>
      <color theme="1"/>
      <name val="Calibri"/>
      <family val="2"/>
      <charset val="204"/>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sz val="16"/>
      <color theme="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0"/>
        <bgColor indexed="64"/>
      </patternFill>
    </fill>
    <fill>
      <patternFill patternType="solid">
        <fgColor theme="4" tint="-0.249977111117893"/>
        <bgColor indexed="64"/>
      </patternFill>
    </fill>
    <fill>
      <patternFill patternType="solid">
        <fgColor theme="0"/>
        <bgColor indexed="24"/>
      </patternFill>
    </fill>
    <fill>
      <patternFill patternType="solid">
        <fgColor theme="0"/>
        <bgColor indexed="7"/>
      </patternFill>
    </fill>
  </fills>
  <borders count="1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89">
    <xf numFmtId="0" fontId="0" fillId="0" borderId="0" xfId="0"/>
    <xf numFmtId="0" fontId="2" fillId="0" borderId="1" xfId="0" applyFont="1" applyBorder="1"/>
    <xf numFmtId="0" fontId="0" fillId="0" borderId="2" xfId="0" applyBorder="1"/>
    <xf numFmtId="0" fontId="2" fillId="0" borderId="3" xfId="0" applyFont="1" applyBorder="1"/>
    <xf numFmtId="0" fontId="0" fillId="0" borderId="4" xfId="0" applyBorder="1"/>
    <xf numFmtId="9" fontId="0" fillId="0" borderId="4" xfId="0" applyNumberFormat="1" applyBorder="1"/>
    <xf numFmtId="0" fontId="2" fillId="0" borderId="5" xfId="0" applyFont="1" applyBorder="1"/>
    <xf numFmtId="0" fontId="0" fillId="0" borderId="6" xfId="0" applyBorder="1"/>
    <xf numFmtId="0" fontId="0" fillId="0" borderId="7" xfId="0" applyBorder="1"/>
    <xf numFmtId="164" fontId="0" fillId="0" borderId="8" xfId="0" applyNumberFormat="1" applyBorder="1"/>
    <xf numFmtId="164" fontId="0" fillId="0" borderId="9" xfId="0" applyNumberFormat="1" applyBorder="1"/>
    <xf numFmtId="0" fontId="2" fillId="0" borderId="10" xfId="0" applyFont="1" applyBorder="1"/>
    <xf numFmtId="164" fontId="0" fillId="0" borderId="11" xfId="0" applyNumberFormat="1" applyBorder="1"/>
    <xf numFmtId="164" fontId="0" fillId="0" borderId="2" xfId="0" applyNumberFormat="1" applyBorder="1"/>
    <xf numFmtId="0" fontId="0" fillId="0" borderId="12" xfId="0" applyBorder="1"/>
    <xf numFmtId="164" fontId="0" fillId="0" borderId="0" xfId="0" applyNumberFormat="1"/>
    <xf numFmtId="164" fontId="0" fillId="0" borderId="4" xfId="0" applyNumberFormat="1" applyBorder="1"/>
    <xf numFmtId="0" fontId="0" fillId="0" borderId="13" xfId="0" applyBorder="1"/>
    <xf numFmtId="164" fontId="0" fillId="0" borderId="14" xfId="0" applyNumberFormat="1" applyBorder="1"/>
    <xf numFmtId="164" fontId="0" fillId="0" borderId="6" xfId="0" applyNumberFormat="1" applyBorder="1"/>
    <xf numFmtId="164" fontId="2" fillId="0" borderId="8" xfId="0" applyNumberFormat="1" applyFont="1" applyBorder="1"/>
    <xf numFmtId="0" fontId="0" fillId="0" borderId="10" xfId="0" applyBorder="1"/>
    <xf numFmtId="0" fontId="2" fillId="0" borderId="12" xfId="0" applyFont="1" applyBorder="1"/>
    <xf numFmtId="164" fontId="2" fillId="0" borderId="0" xfId="0" applyNumberFormat="1" applyFont="1"/>
    <xf numFmtId="164" fontId="2" fillId="0" borderId="4" xfId="0" applyNumberFormat="1" applyFont="1" applyBorder="1"/>
    <xf numFmtId="9" fontId="0" fillId="0" borderId="0" xfId="1" applyFont="1" applyBorder="1"/>
    <xf numFmtId="164" fontId="0" fillId="0" borderId="0" xfId="1" applyNumberFormat="1" applyFont="1" applyBorder="1"/>
    <xf numFmtId="0" fontId="4" fillId="2" borderId="0" xfId="0" applyFont="1" applyFill="1" applyAlignment="1">
      <alignment horizontal="centerContinuous"/>
    </xf>
    <xf numFmtId="0" fontId="0" fillId="2" borderId="0" xfId="0" applyFill="1" applyAlignment="1">
      <alignment horizontal="centerContinuous"/>
    </xf>
    <xf numFmtId="0" fontId="4" fillId="0" borderId="0" xfId="0" applyFont="1"/>
    <xf numFmtId="9" fontId="0" fillId="3" borderId="0" xfId="0" applyNumberFormat="1" applyFill="1"/>
    <xf numFmtId="0" fontId="0" fillId="4" borderId="0" xfId="0" applyFill="1"/>
    <xf numFmtId="0" fontId="0" fillId="5" borderId="0" xfId="0" applyFill="1"/>
    <xf numFmtId="2" fontId="0" fillId="0" borderId="0" xfId="0" applyNumberFormat="1"/>
    <xf numFmtId="165" fontId="0" fillId="0" borderId="0" xfId="1" applyNumberFormat="1" applyFont="1"/>
    <xf numFmtId="165" fontId="0" fillId="6" borderId="0" xfId="1" applyNumberFormat="1" applyFont="1" applyFill="1"/>
    <xf numFmtId="165" fontId="0" fillId="0" borderId="0" xfId="1" applyNumberFormat="1" applyFont="1" applyFill="1"/>
    <xf numFmtId="1" fontId="0" fillId="0" borderId="0" xfId="0" applyNumberFormat="1"/>
    <xf numFmtId="1" fontId="0" fillId="6" borderId="0" xfId="0" applyNumberFormat="1" applyFill="1"/>
    <xf numFmtId="0" fontId="0" fillId="0" borderId="0" xfId="0" applyAlignment="1">
      <alignment wrapText="1"/>
    </xf>
    <xf numFmtId="0" fontId="0" fillId="0" borderId="0" xfId="0" applyFill="1" applyBorder="1" applyAlignment="1"/>
    <xf numFmtId="9" fontId="0" fillId="0" borderId="0" xfId="0" applyNumberFormat="1" applyFill="1" applyBorder="1" applyAlignment="1"/>
    <xf numFmtId="164" fontId="0" fillId="0" borderId="14" xfId="0" applyNumberFormat="1" applyFill="1" applyBorder="1" applyAlignment="1"/>
    <xf numFmtId="0" fontId="5" fillId="7" borderId="15" xfId="0" applyFont="1" applyFill="1" applyBorder="1" applyAlignment="1">
      <alignment horizontal="left"/>
    </xf>
    <xf numFmtId="0" fontId="5" fillId="7" borderId="11" xfId="0" applyFont="1" applyFill="1" applyBorder="1" applyAlignment="1">
      <alignment horizontal="left"/>
    </xf>
    <xf numFmtId="0" fontId="0" fillId="0" borderId="16" xfId="0" applyFill="1" applyBorder="1" applyAlignment="1"/>
    <xf numFmtId="0" fontId="6" fillId="8" borderId="0" xfId="0" applyFont="1" applyFill="1" applyBorder="1" applyAlignment="1">
      <alignment horizontal="left"/>
    </xf>
    <xf numFmtId="0" fontId="7" fillId="8" borderId="16" xfId="0" applyFont="1" applyFill="1" applyBorder="1" applyAlignment="1">
      <alignment horizontal="left"/>
    </xf>
    <xf numFmtId="0" fontId="6" fillId="8" borderId="14" xfId="0" applyFont="1" applyFill="1" applyBorder="1" applyAlignment="1">
      <alignment horizontal="left"/>
    </xf>
    <xf numFmtId="0" fontId="8" fillId="7" borderId="11" xfId="0" applyFont="1" applyFill="1" applyBorder="1" applyAlignment="1">
      <alignment horizontal="right"/>
    </xf>
    <xf numFmtId="0" fontId="8" fillId="7" borderId="15" xfId="0" applyFont="1" applyFill="1" applyBorder="1" applyAlignment="1">
      <alignment horizontal="right"/>
    </xf>
    <xf numFmtId="0" fontId="0" fillId="9" borderId="0" xfId="0" applyFill="1" applyBorder="1" applyAlignment="1"/>
    <xf numFmtId="9" fontId="0" fillId="9" borderId="0" xfId="0" applyNumberFormat="1" applyFill="1" applyBorder="1" applyAlignment="1"/>
    <xf numFmtId="0" fontId="9" fillId="0" borderId="0" xfId="0" applyFont="1" applyFill="1" applyBorder="1" applyAlignment="1">
      <alignment vertical="top" wrapText="1"/>
    </xf>
    <xf numFmtId="0" fontId="2" fillId="0" borderId="0" xfId="0" applyFont="1"/>
    <xf numFmtId="0" fontId="0" fillId="0" borderId="0" xfId="0" applyBorder="1"/>
    <xf numFmtId="9" fontId="0" fillId="0" borderId="0" xfId="1" applyFont="1"/>
    <xf numFmtId="0" fontId="0" fillId="11" borderId="0" xfId="0" applyFill="1" applyBorder="1"/>
    <xf numFmtId="9" fontId="0" fillId="11" borderId="0" xfId="0" applyNumberFormat="1" applyFill="1" applyBorder="1"/>
    <xf numFmtId="0" fontId="0" fillId="0" borderId="14" xfId="0" applyBorder="1"/>
    <xf numFmtId="0" fontId="2" fillId="0" borderId="11" xfId="0" applyFont="1" applyBorder="1"/>
    <xf numFmtId="0" fontId="2" fillId="0" borderId="2" xfId="0" applyFont="1" applyBorder="1"/>
    <xf numFmtId="0" fontId="2" fillId="0" borderId="14" xfId="0" applyFont="1" applyBorder="1"/>
    <xf numFmtId="0" fontId="2" fillId="0" borderId="6" xfId="0" applyFont="1" applyBorder="1"/>
    <xf numFmtId="0" fontId="2" fillId="0" borderId="13" xfId="0" applyFont="1" applyBorder="1"/>
    <xf numFmtId="0" fontId="0" fillId="11" borderId="11" xfId="0" applyFill="1" applyBorder="1"/>
    <xf numFmtId="9" fontId="0" fillId="0" borderId="4" xfId="1" applyFont="1" applyBorder="1"/>
    <xf numFmtId="0" fontId="0" fillId="10" borderId="0" xfId="0" applyFill="1"/>
    <xf numFmtId="0" fontId="10" fillId="10" borderId="0" xfId="0" applyFont="1" applyFill="1" applyAlignment="1">
      <alignment horizontal="center"/>
    </xf>
    <xf numFmtId="0" fontId="2" fillId="10" borderId="1" xfId="0" applyFont="1" applyFill="1" applyBorder="1"/>
    <xf numFmtId="0" fontId="0" fillId="10" borderId="2" xfId="0" applyFill="1" applyBorder="1"/>
    <xf numFmtId="0" fontId="2" fillId="10" borderId="3" xfId="0" applyFont="1" applyFill="1" applyBorder="1"/>
    <xf numFmtId="0" fontId="0" fillId="10" borderId="4" xfId="0" applyFill="1" applyBorder="1"/>
    <xf numFmtId="0" fontId="2" fillId="10" borderId="5" xfId="0" applyFont="1" applyFill="1" applyBorder="1"/>
    <xf numFmtId="0" fontId="0" fillId="10" borderId="6" xfId="0" applyFill="1" applyBorder="1"/>
    <xf numFmtId="0" fontId="5" fillId="12" borderId="11" xfId="0" applyFont="1" applyFill="1" applyBorder="1" applyAlignment="1">
      <alignment horizontal="left"/>
    </xf>
    <xf numFmtId="0" fontId="8" fillId="12" borderId="11" xfId="0" applyFont="1" applyFill="1" applyBorder="1" applyAlignment="1">
      <alignment horizontal="right"/>
    </xf>
    <xf numFmtId="0" fontId="5" fillId="12" borderId="15" xfId="0" applyFont="1" applyFill="1" applyBorder="1" applyAlignment="1">
      <alignment horizontal="left"/>
    </xf>
    <xf numFmtId="0" fontId="8" fillId="12" borderId="15" xfId="0" applyFont="1" applyFill="1" applyBorder="1" applyAlignment="1">
      <alignment horizontal="right"/>
    </xf>
    <xf numFmtId="0" fontId="6" fillId="12" borderId="0" xfId="0" applyFont="1" applyFill="1" applyBorder="1" applyAlignment="1">
      <alignment horizontal="left"/>
    </xf>
    <xf numFmtId="0" fontId="0" fillId="10" borderId="0" xfId="0" applyFill="1" applyBorder="1" applyAlignment="1"/>
    <xf numFmtId="0" fontId="9" fillId="10" borderId="0" xfId="0" applyFont="1" applyFill="1" applyBorder="1" applyAlignment="1">
      <alignment vertical="top" wrapText="1"/>
    </xf>
    <xf numFmtId="0" fontId="7" fillId="12" borderId="16" xfId="0" applyFont="1" applyFill="1" applyBorder="1" applyAlignment="1">
      <alignment horizontal="left"/>
    </xf>
    <xf numFmtId="0" fontId="0" fillId="10" borderId="16" xfId="0" applyFill="1" applyBorder="1" applyAlignment="1"/>
    <xf numFmtId="0" fontId="0" fillId="13" borderId="0" xfId="0" applyFill="1" applyBorder="1" applyAlignment="1"/>
    <xf numFmtId="9" fontId="0" fillId="10" borderId="0" xfId="0" applyNumberFormat="1" applyFill="1" applyBorder="1" applyAlignment="1"/>
    <xf numFmtId="9" fontId="0" fillId="13" borderId="0" xfId="0" applyNumberFormat="1" applyFill="1" applyBorder="1" applyAlignment="1"/>
    <xf numFmtId="0" fontId="6" fillId="12" borderId="14" xfId="0" applyFont="1" applyFill="1" applyBorder="1" applyAlignment="1">
      <alignment horizontal="left"/>
    </xf>
    <xf numFmtId="164" fontId="0" fillId="10" borderId="14" xfId="0" applyNumberFormat="1" applyFill="1" applyBorder="1" applyAlignme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511146754803796E-2"/>
          <c:y val="3.5087719298245612E-2"/>
          <c:w val="0.92065903027553653"/>
          <c:h val="0.81268206306747537"/>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cat>
            <c:numRef>
              <c:f>MC_HI!$F$2:$F$52</c:f>
              <c:numCache>
                <c:formatCode>General</c:formatCode>
                <c:ptCount val="51"/>
                <c:pt idx="0">
                  <c:v>-10000000</c:v>
                </c:pt>
                <c:pt idx="1">
                  <c:v>-9200000</c:v>
                </c:pt>
                <c:pt idx="2">
                  <c:v>-8400000</c:v>
                </c:pt>
                <c:pt idx="3">
                  <c:v>-7600000</c:v>
                </c:pt>
                <c:pt idx="4">
                  <c:v>-6800000</c:v>
                </c:pt>
                <c:pt idx="5">
                  <c:v>-6000000</c:v>
                </c:pt>
                <c:pt idx="6">
                  <c:v>-5200000</c:v>
                </c:pt>
                <c:pt idx="7">
                  <c:v>-4400000</c:v>
                </c:pt>
                <c:pt idx="8">
                  <c:v>-3600000</c:v>
                </c:pt>
                <c:pt idx="9">
                  <c:v>-2800000</c:v>
                </c:pt>
                <c:pt idx="10">
                  <c:v>-2000000</c:v>
                </c:pt>
                <c:pt idx="11">
                  <c:v>-1200000</c:v>
                </c:pt>
                <c:pt idx="12">
                  <c:v>-400000</c:v>
                </c:pt>
                <c:pt idx="13">
                  <c:v>400000</c:v>
                </c:pt>
                <c:pt idx="14">
                  <c:v>1200000</c:v>
                </c:pt>
                <c:pt idx="15">
                  <c:v>2000000</c:v>
                </c:pt>
                <c:pt idx="16">
                  <c:v>2800000</c:v>
                </c:pt>
                <c:pt idx="17">
                  <c:v>3600000</c:v>
                </c:pt>
                <c:pt idx="18">
                  <c:v>4400000</c:v>
                </c:pt>
                <c:pt idx="19">
                  <c:v>5200000</c:v>
                </c:pt>
                <c:pt idx="20">
                  <c:v>6000000</c:v>
                </c:pt>
                <c:pt idx="21">
                  <c:v>6800000</c:v>
                </c:pt>
                <c:pt idx="22">
                  <c:v>7600000</c:v>
                </c:pt>
                <c:pt idx="23">
                  <c:v>8400000</c:v>
                </c:pt>
                <c:pt idx="24">
                  <c:v>9200000</c:v>
                </c:pt>
                <c:pt idx="25">
                  <c:v>10000000</c:v>
                </c:pt>
                <c:pt idx="26">
                  <c:v>10800000</c:v>
                </c:pt>
                <c:pt idx="27">
                  <c:v>11600000</c:v>
                </c:pt>
                <c:pt idx="28">
                  <c:v>12400000</c:v>
                </c:pt>
                <c:pt idx="29">
                  <c:v>13200000</c:v>
                </c:pt>
                <c:pt idx="30">
                  <c:v>14000000</c:v>
                </c:pt>
                <c:pt idx="31">
                  <c:v>14800000</c:v>
                </c:pt>
                <c:pt idx="32">
                  <c:v>15600000</c:v>
                </c:pt>
                <c:pt idx="33">
                  <c:v>16400000</c:v>
                </c:pt>
                <c:pt idx="34">
                  <c:v>17200000</c:v>
                </c:pt>
                <c:pt idx="35">
                  <c:v>18000000</c:v>
                </c:pt>
                <c:pt idx="36">
                  <c:v>18800000</c:v>
                </c:pt>
                <c:pt idx="37">
                  <c:v>19600000</c:v>
                </c:pt>
                <c:pt idx="38">
                  <c:v>20400000</c:v>
                </c:pt>
                <c:pt idx="39">
                  <c:v>21200000</c:v>
                </c:pt>
                <c:pt idx="40">
                  <c:v>22000000</c:v>
                </c:pt>
                <c:pt idx="41">
                  <c:v>22800000</c:v>
                </c:pt>
                <c:pt idx="42">
                  <c:v>23600000</c:v>
                </c:pt>
                <c:pt idx="43">
                  <c:v>24400000</c:v>
                </c:pt>
                <c:pt idx="44">
                  <c:v>25200000</c:v>
                </c:pt>
                <c:pt idx="45">
                  <c:v>26000000</c:v>
                </c:pt>
                <c:pt idx="46">
                  <c:v>26800000</c:v>
                </c:pt>
                <c:pt idx="47">
                  <c:v>27600000</c:v>
                </c:pt>
                <c:pt idx="48">
                  <c:v>28400000</c:v>
                </c:pt>
                <c:pt idx="49">
                  <c:v>29200000</c:v>
                </c:pt>
                <c:pt idx="50">
                  <c:v>30000000</c:v>
                </c:pt>
              </c:numCache>
            </c:numRef>
          </c:cat>
          <c:val>
            <c:numRef>
              <c:f>MC_HI!$H$2:$H$52</c:f>
              <c:numCache>
                <c:formatCode>0%</c:formatCode>
                <c:ptCount val="51"/>
                <c:pt idx="0">
                  <c:v>0</c:v>
                </c:pt>
                <c:pt idx="1">
                  <c:v>0</c:v>
                </c:pt>
                <c:pt idx="2">
                  <c:v>0</c:v>
                </c:pt>
                <c:pt idx="3">
                  <c:v>0</c:v>
                </c:pt>
                <c:pt idx="4">
                  <c:v>0</c:v>
                </c:pt>
                <c:pt idx="5">
                  <c:v>0</c:v>
                </c:pt>
                <c:pt idx="6">
                  <c:v>0</c:v>
                </c:pt>
                <c:pt idx="7">
                  <c:v>0</c:v>
                </c:pt>
                <c:pt idx="8">
                  <c:v>0</c:v>
                </c:pt>
                <c:pt idx="9">
                  <c:v>0</c:v>
                </c:pt>
                <c:pt idx="10">
                  <c:v>0</c:v>
                </c:pt>
                <c:pt idx="11">
                  <c:v>8.9999999999999993E-3</c:v>
                </c:pt>
                <c:pt idx="12">
                  <c:v>2.5000000000000001E-2</c:v>
                </c:pt>
                <c:pt idx="13">
                  <c:v>4.2000000000000003E-2</c:v>
                </c:pt>
                <c:pt idx="14">
                  <c:v>6.4000000000000001E-2</c:v>
                </c:pt>
                <c:pt idx="15">
                  <c:v>6.3E-2</c:v>
                </c:pt>
                <c:pt idx="16">
                  <c:v>8.2000000000000003E-2</c:v>
                </c:pt>
                <c:pt idx="17">
                  <c:v>6.4000000000000001E-2</c:v>
                </c:pt>
                <c:pt idx="18">
                  <c:v>8.5000000000000006E-2</c:v>
                </c:pt>
                <c:pt idx="19">
                  <c:v>6.5000000000000002E-2</c:v>
                </c:pt>
                <c:pt idx="20">
                  <c:v>7.6999999999999999E-2</c:v>
                </c:pt>
                <c:pt idx="21">
                  <c:v>6.4000000000000001E-2</c:v>
                </c:pt>
                <c:pt idx="22">
                  <c:v>7.0999999999999994E-2</c:v>
                </c:pt>
                <c:pt idx="23">
                  <c:v>5.0999999999999997E-2</c:v>
                </c:pt>
                <c:pt idx="24">
                  <c:v>3.6999999999999998E-2</c:v>
                </c:pt>
                <c:pt idx="25">
                  <c:v>2.7E-2</c:v>
                </c:pt>
                <c:pt idx="26">
                  <c:v>2.9000000000000001E-2</c:v>
                </c:pt>
                <c:pt idx="27">
                  <c:v>2.7E-2</c:v>
                </c:pt>
                <c:pt idx="28">
                  <c:v>3.3000000000000002E-2</c:v>
                </c:pt>
                <c:pt idx="29">
                  <c:v>2.1000000000000001E-2</c:v>
                </c:pt>
                <c:pt idx="30">
                  <c:v>1.4999999999999999E-2</c:v>
                </c:pt>
                <c:pt idx="31">
                  <c:v>1.4E-2</c:v>
                </c:pt>
                <c:pt idx="32">
                  <c:v>6.0000000000000001E-3</c:v>
                </c:pt>
                <c:pt idx="33">
                  <c:v>7.0000000000000001E-3</c:v>
                </c:pt>
                <c:pt idx="34">
                  <c:v>7.0000000000000001E-3</c:v>
                </c:pt>
                <c:pt idx="35">
                  <c:v>4.0000000000000001E-3</c:v>
                </c:pt>
                <c:pt idx="36">
                  <c:v>3.0000000000000001E-3</c:v>
                </c:pt>
                <c:pt idx="37">
                  <c:v>4.0000000000000001E-3</c:v>
                </c:pt>
                <c:pt idx="38">
                  <c:v>2E-3</c:v>
                </c:pt>
                <c:pt idx="39">
                  <c:v>1E-3</c:v>
                </c:pt>
                <c:pt idx="40">
                  <c:v>0</c:v>
                </c:pt>
                <c:pt idx="41">
                  <c:v>1E-3</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5459-476F-81FA-4DC7FE8CC8E8}"/>
            </c:ext>
          </c:extLst>
        </c:ser>
        <c:dLbls>
          <c:showLegendKey val="0"/>
          <c:showVal val="0"/>
          <c:showCatName val="0"/>
          <c:showSerName val="0"/>
          <c:showPercent val="0"/>
          <c:showBubbleSize val="0"/>
        </c:dLbls>
        <c:gapWidth val="100"/>
        <c:overlap val="-24"/>
        <c:axId val="743808984"/>
        <c:axId val="743806032"/>
      </c:barChart>
      <c:catAx>
        <c:axId val="743808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43806032"/>
        <c:crosses val="autoZero"/>
        <c:auto val="1"/>
        <c:lblAlgn val="ctr"/>
        <c:lblOffset val="100"/>
        <c:noMultiLvlLbl val="0"/>
      </c:catAx>
      <c:valAx>
        <c:axId val="7438060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43808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Output 1</c:v>
            </c:pt>
          </c:strCache>
        </c:strRef>
      </c:tx>
      <c:layout>
        <c:manualLayout>
          <c:xMode val="edge"/>
          <c:yMode val="edge"/>
          <c:x val="0.39719517848864161"/>
          <c:y val="2.77330705051139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sensitivity!$A$3</c:f>
              <c:strCache>
                <c:ptCount val="1"/>
                <c:pt idx="0">
                  <c:v>Investment </c:v>
                </c:pt>
              </c:strCache>
            </c:strRef>
          </c:tx>
          <c:spPr>
            <a:ln w="22225" cap="rnd">
              <a:solidFill>
                <a:schemeClr val="accent2"/>
              </a:solidFill>
            </a:ln>
            <a:effectLst>
              <a:glow rad="139700">
                <a:schemeClr val="accent2">
                  <a:satMod val="175000"/>
                  <a:alpha val="14000"/>
                </a:schemeClr>
              </a:glow>
            </a:effectLst>
          </c:spPr>
          <c:marker>
            <c:symbol val="none"/>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c:formatCode>
                <c:ptCount val="11"/>
                <c:pt idx="0">
                  <c:v>8848858.1834290773</c:v>
                </c:pt>
                <c:pt idx="1">
                  <c:v>8106647.9236820433</c:v>
                </c:pt>
                <c:pt idx="2">
                  <c:v>7364437.6639350057</c:v>
                </c:pt>
                <c:pt idx="3">
                  <c:v>6622227.4041879699</c:v>
                </c:pt>
                <c:pt idx="4">
                  <c:v>5880017.1444409359</c:v>
                </c:pt>
                <c:pt idx="5">
                  <c:v>5137806.8846938945</c:v>
                </c:pt>
                <c:pt idx="6">
                  <c:v>4395596.6249468606</c:v>
                </c:pt>
                <c:pt idx="7">
                  <c:v>3653386.3651998257</c:v>
                </c:pt>
                <c:pt idx="8">
                  <c:v>2911176.1054527881</c:v>
                </c:pt>
                <c:pt idx="9">
                  <c:v>2168965.8457057513</c:v>
                </c:pt>
                <c:pt idx="10">
                  <c:v>1426755.5859587118</c:v>
                </c:pt>
              </c:numCache>
            </c:numRef>
          </c:val>
          <c:smooth val="0"/>
          <c:extLst>
            <c:ext xmlns:c16="http://schemas.microsoft.com/office/drawing/2014/chart" uri="{C3380CC4-5D6E-409C-BE32-E72D297353CC}">
              <c16:uniqueId val="{00000000-4A18-4A49-B5B2-A60208A7E0DE}"/>
            </c:ext>
          </c:extLst>
        </c:ser>
        <c:ser>
          <c:idx val="3"/>
          <c:order val="1"/>
          <c:tx>
            <c:strRef>
              <c:f>sensitivity!$A$4</c:f>
              <c:strCache>
                <c:ptCount val="1"/>
                <c:pt idx="0">
                  <c:v>Nominal Discount rate </c:v>
                </c:pt>
              </c:strCache>
            </c:strRef>
          </c:tx>
          <c:spPr>
            <a:ln w="22225" cap="rnd">
              <a:solidFill>
                <a:schemeClr val="accent4"/>
              </a:solidFill>
            </a:ln>
            <a:effectLst>
              <a:glow rad="139700">
                <a:schemeClr val="accent4">
                  <a:satMod val="175000"/>
                  <a:alpha val="14000"/>
                </a:schemeClr>
              </a:glow>
            </a:effectLst>
          </c:spPr>
          <c:marker>
            <c:symbol val="none"/>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c:formatCode>
                <c:ptCount val="11"/>
                <c:pt idx="0">
                  <c:v>5137806.8846938945</c:v>
                </c:pt>
                <c:pt idx="1">
                  <c:v>5137806.8846938945</c:v>
                </c:pt>
                <c:pt idx="2">
                  <c:v>5137806.8846938945</c:v>
                </c:pt>
                <c:pt idx="3">
                  <c:v>5137806.8846938945</c:v>
                </c:pt>
                <c:pt idx="4">
                  <c:v>5137806.8846938945</c:v>
                </c:pt>
                <c:pt idx="5">
                  <c:v>5137806.8846938945</c:v>
                </c:pt>
                <c:pt idx="6">
                  <c:v>5137806.8846938945</c:v>
                </c:pt>
                <c:pt idx="7">
                  <c:v>5137806.8846938945</c:v>
                </c:pt>
                <c:pt idx="8">
                  <c:v>5137806.8846938945</c:v>
                </c:pt>
                <c:pt idx="9">
                  <c:v>5137806.8846938945</c:v>
                </c:pt>
                <c:pt idx="10">
                  <c:v>5137806.8846938945</c:v>
                </c:pt>
              </c:numCache>
            </c:numRef>
          </c:val>
          <c:smooth val="0"/>
          <c:extLst>
            <c:ext xmlns:c16="http://schemas.microsoft.com/office/drawing/2014/chart" uri="{C3380CC4-5D6E-409C-BE32-E72D297353CC}">
              <c16:uniqueId val="{00000001-4A18-4A49-B5B2-A60208A7E0DE}"/>
            </c:ext>
          </c:extLst>
        </c:ser>
        <c:ser>
          <c:idx val="4"/>
          <c:order val="2"/>
          <c:tx>
            <c:strRef>
              <c:f>sensitivity!$A$5</c:f>
              <c:strCache>
                <c:ptCount val="1"/>
                <c:pt idx="0">
                  <c:v>Selling Price</c:v>
                </c:pt>
              </c:strCache>
            </c:strRef>
          </c:tx>
          <c:spPr>
            <a:ln w="22225" cap="rnd">
              <a:solidFill>
                <a:schemeClr val="accent5"/>
              </a:solidFill>
            </a:ln>
            <a:effectLst>
              <a:glow rad="139700">
                <a:schemeClr val="accent5">
                  <a:satMod val="175000"/>
                  <a:alpha val="14000"/>
                </a:schemeClr>
              </a:glow>
            </a:effectLst>
          </c:spPr>
          <c:marker>
            <c:symbol val="none"/>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c:formatCode>
                <c:ptCount val="11"/>
                <c:pt idx="0">
                  <c:v>-3480331.8159402967</c:v>
                </c:pt>
                <c:pt idx="1">
                  <c:v>-1756704.0758134588</c:v>
                </c:pt>
                <c:pt idx="2">
                  <c:v>-33076.335686622187</c:v>
                </c:pt>
                <c:pt idx="3">
                  <c:v>1690551.4044402158</c:v>
                </c:pt>
                <c:pt idx="4">
                  <c:v>3414179.1445670519</c:v>
                </c:pt>
                <c:pt idx="5">
                  <c:v>5137806.8846938945</c:v>
                </c:pt>
                <c:pt idx="6">
                  <c:v>6861434.6248207279</c:v>
                </c:pt>
                <c:pt idx="7">
                  <c:v>8585062.3649475649</c:v>
                </c:pt>
                <c:pt idx="8">
                  <c:v>10308690.105074404</c:v>
                </c:pt>
                <c:pt idx="9">
                  <c:v>12032317.845201246</c:v>
                </c:pt>
                <c:pt idx="10">
                  <c:v>13755945.585328083</c:v>
                </c:pt>
              </c:numCache>
            </c:numRef>
          </c:val>
          <c:smooth val="0"/>
          <c:extLst>
            <c:ext xmlns:c16="http://schemas.microsoft.com/office/drawing/2014/chart" uri="{C3380CC4-5D6E-409C-BE32-E72D297353CC}">
              <c16:uniqueId val="{00000002-4A18-4A49-B5B2-A60208A7E0DE}"/>
            </c:ext>
          </c:extLst>
        </c:ser>
        <c:ser>
          <c:idx val="5"/>
          <c:order val="3"/>
          <c:tx>
            <c:strRef>
              <c:f>sensitivity!$A$6</c:f>
              <c:strCache>
                <c:ptCount val="1"/>
                <c:pt idx="0">
                  <c:v>Cost Price</c:v>
                </c:pt>
              </c:strCache>
            </c:strRef>
          </c:tx>
          <c:spPr>
            <a:ln w="22225" cap="rnd">
              <a:solidFill>
                <a:schemeClr val="accent6"/>
              </a:solidFill>
            </a:ln>
            <a:effectLst>
              <a:glow rad="139700">
                <a:schemeClr val="accent6">
                  <a:satMod val="175000"/>
                  <a:alpha val="14000"/>
                </a:schemeClr>
              </a:glow>
            </a:effectLst>
          </c:spPr>
          <c:marker>
            <c:symbol val="none"/>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c:formatCode>
                <c:ptCount val="11"/>
                <c:pt idx="0">
                  <c:v>7292341.5598524418</c:v>
                </c:pt>
                <c:pt idx="1">
                  <c:v>6861434.6248207334</c:v>
                </c:pt>
                <c:pt idx="2">
                  <c:v>6430527.6897890251</c:v>
                </c:pt>
                <c:pt idx="3">
                  <c:v>5999620.7547573131</c:v>
                </c:pt>
                <c:pt idx="4">
                  <c:v>5568713.8197256029</c:v>
                </c:pt>
                <c:pt idx="5">
                  <c:v>5137806.8846938945</c:v>
                </c:pt>
                <c:pt idx="6">
                  <c:v>4706899.9496621862</c:v>
                </c:pt>
                <c:pt idx="7">
                  <c:v>4275993.014630476</c:v>
                </c:pt>
                <c:pt idx="8">
                  <c:v>3845086.0795987677</c:v>
                </c:pt>
                <c:pt idx="9">
                  <c:v>3414179.1445670594</c:v>
                </c:pt>
                <c:pt idx="10">
                  <c:v>2983272.2095353492</c:v>
                </c:pt>
              </c:numCache>
            </c:numRef>
          </c:val>
          <c:smooth val="0"/>
          <c:extLst>
            <c:ext xmlns:c16="http://schemas.microsoft.com/office/drawing/2014/chart" uri="{C3380CC4-5D6E-409C-BE32-E72D297353CC}">
              <c16:uniqueId val="{00000003-4A18-4A49-B5B2-A60208A7E0DE}"/>
            </c:ext>
          </c:extLst>
        </c:ser>
        <c:ser>
          <c:idx val="6"/>
          <c:order val="4"/>
          <c:tx>
            <c:strRef>
              <c:f>sensitivity!$A$7</c:f>
              <c:strCache>
                <c:ptCount val="1"/>
                <c:pt idx="0">
                  <c:v>Estimated Sales  first 3 years</c:v>
                </c:pt>
              </c:strCache>
            </c:strRef>
          </c:tx>
          <c:spPr>
            <a:ln w="22225" cap="rnd">
              <a:solidFill>
                <a:schemeClr val="accent1">
                  <a:lumMod val="60000"/>
                </a:schemeClr>
              </a:solidFill>
            </a:ln>
            <a:effectLst>
              <a:glow rad="139700">
                <a:schemeClr val="accent1">
                  <a:lumMod val="60000"/>
                  <a:satMod val="175000"/>
                  <a:alpha val="14000"/>
                </a:schemeClr>
              </a:glow>
            </a:effectLst>
          </c:spPr>
          <c:marker>
            <c:symbol val="none"/>
          </c:marker>
          <c:dPt>
            <c:idx val="5"/>
            <c:marker>
              <c:symbol val="none"/>
            </c:marker>
            <c:bubble3D val="0"/>
            <c:extLst>
              <c:ext xmlns:c16="http://schemas.microsoft.com/office/drawing/2014/chart" uri="{C3380CC4-5D6E-409C-BE32-E72D297353CC}">
                <c16:uniqueId val="{00000004-4A18-4A49-B5B2-A60208A7E0DE}"/>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18-4A49-B5B2-A60208A7E0DE}"/>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c:formatCode>
                <c:ptCount val="11"/>
                <c:pt idx="0">
                  <c:v>3614982.6404482815</c:v>
                </c:pt>
                <c:pt idx="1">
                  <c:v>3919547.489297403</c:v>
                </c:pt>
                <c:pt idx="2">
                  <c:v>4224112.3381465264</c:v>
                </c:pt>
                <c:pt idx="3">
                  <c:v>4528677.1869956478</c:v>
                </c:pt>
                <c:pt idx="4">
                  <c:v>4833242.0358447712</c:v>
                </c:pt>
                <c:pt idx="5">
                  <c:v>5137806.8846938945</c:v>
                </c:pt>
                <c:pt idx="6">
                  <c:v>5442371.7335430142</c:v>
                </c:pt>
                <c:pt idx="7">
                  <c:v>5746936.5823921375</c:v>
                </c:pt>
                <c:pt idx="8">
                  <c:v>6051501.4312412608</c:v>
                </c:pt>
                <c:pt idx="9">
                  <c:v>6356066.2800903842</c:v>
                </c:pt>
                <c:pt idx="10">
                  <c:v>6660631.1289395057</c:v>
                </c:pt>
              </c:numCache>
            </c:numRef>
          </c:val>
          <c:smooth val="0"/>
          <c:extLst>
            <c:ext xmlns:c16="http://schemas.microsoft.com/office/drawing/2014/chart" uri="{C3380CC4-5D6E-409C-BE32-E72D297353CC}">
              <c16:uniqueId val="{00000005-4A18-4A49-B5B2-A60208A7E0DE}"/>
            </c:ext>
          </c:extLst>
        </c:ser>
        <c:dLbls>
          <c:showLegendKey val="0"/>
          <c:showVal val="0"/>
          <c:showCatName val="0"/>
          <c:showSerName val="0"/>
          <c:showPercent val="0"/>
          <c:showBubbleSize val="0"/>
        </c:dLbls>
        <c:smooth val="0"/>
        <c:axId val="267769344"/>
        <c:axId val="267770520"/>
      </c:lineChart>
      <c:catAx>
        <c:axId val="267769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770520"/>
        <c:crossesAt val="-100000000"/>
        <c:auto val="1"/>
        <c:lblAlgn val="ctr"/>
        <c:lblOffset val="100"/>
        <c:noMultiLvlLbl val="0"/>
      </c:catAx>
      <c:valAx>
        <c:axId val="2677705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769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Output 2</c:v>
            </c:pt>
          </c:strCache>
        </c:strRef>
      </c:tx>
      <c:layout>
        <c:manualLayout>
          <c:xMode val="edge"/>
          <c:yMode val="edge"/>
          <c:x val="0.41489911987705291"/>
          <c:y val="2.777777777777777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sensitivity!$A$3</c:f>
              <c:strCache>
                <c:ptCount val="1"/>
                <c:pt idx="0">
                  <c:v>Investment </c:v>
                </c:pt>
              </c:strCache>
            </c:strRef>
          </c:tx>
          <c:spPr>
            <a:ln w="22225" cap="rnd">
              <a:solidFill>
                <a:schemeClr val="accent2"/>
              </a:solidFill>
            </a:ln>
            <a:effectLst>
              <a:glow rad="139700">
                <a:schemeClr val="accent2">
                  <a:satMod val="175000"/>
                  <a:alpha val="14000"/>
                </a:schemeClr>
              </a:glow>
            </a:effectLst>
          </c:spPr>
          <c:marker>
            <c:symbol val="none"/>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c:formatCode>
                <c:ptCount val="11"/>
                <c:pt idx="0">
                  <c:v>0.25424407912726577</c:v>
                </c:pt>
                <c:pt idx="1">
                  <c:v>0.21589919324791018</c:v>
                </c:pt>
                <c:pt idx="2">
                  <c:v>0.18631750306077666</c:v>
                </c:pt>
                <c:pt idx="3">
                  <c:v>0.16262078613772823</c:v>
                </c:pt>
                <c:pt idx="4">
                  <c:v>0.14310208076577058</c:v>
                </c:pt>
                <c:pt idx="5">
                  <c:v>0.12667651994041962</c:v>
                </c:pt>
                <c:pt idx="6">
                  <c:v>0.11261707356691475</c:v>
                </c:pt>
                <c:pt idx="7">
                  <c:v>0.10041566483959241</c:v>
                </c:pt>
                <c:pt idx="8">
                  <c:v>8.9704967167789862E-2</c:v>
                </c:pt>
                <c:pt idx="9">
                  <c:v>8.0211856407359061E-2</c:v>
                </c:pt>
                <c:pt idx="10">
                  <c:v>7.172841022865506E-2</c:v>
                </c:pt>
              </c:numCache>
            </c:numRef>
          </c:val>
          <c:smooth val="0"/>
          <c:extLst>
            <c:ext xmlns:c16="http://schemas.microsoft.com/office/drawing/2014/chart" uri="{C3380CC4-5D6E-409C-BE32-E72D297353CC}">
              <c16:uniqueId val="{00000000-1A09-4C6A-B258-E52CE331DF20}"/>
            </c:ext>
          </c:extLst>
        </c:ser>
        <c:ser>
          <c:idx val="3"/>
          <c:order val="1"/>
          <c:tx>
            <c:strRef>
              <c:f>sensitivity!$A$4</c:f>
              <c:strCache>
                <c:ptCount val="1"/>
                <c:pt idx="0">
                  <c:v>Nominal Discount rate </c:v>
                </c:pt>
              </c:strCache>
            </c:strRef>
          </c:tx>
          <c:spPr>
            <a:ln w="22225" cap="rnd">
              <a:solidFill>
                <a:schemeClr val="accent4"/>
              </a:solidFill>
            </a:ln>
            <a:effectLst>
              <a:glow rad="139700">
                <a:schemeClr val="accent4">
                  <a:satMod val="175000"/>
                  <a:alpha val="14000"/>
                </a:schemeClr>
              </a:glow>
            </a:effectLst>
          </c:spPr>
          <c:marker>
            <c:symbol val="none"/>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c:formatCode>
                <c:ptCount val="11"/>
                <c:pt idx="0">
                  <c:v>0.12667651994041962</c:v>
                </c:pt>
                <c:pt idx="1">
                  <c:v>0.12667651994041962</c:v>
                </c:pt>
                <c:pt idx="2">
                  <c:v>0.12667651994041962</c:v>
                </c:pt>
                <c:pt idx="3">
                  <c:v>0.12667651994041962</c:v>
                </c:pt>
                <c:pt idx="4">
                  <c:v>0.12667651994041962</c:v>
                </c:pt>
                <c:pt idx="5">
                  <c:v>0.12667651994041962</c:v>
                </c:pt>
                <c:pt idx="6">
                  <c:v>0.12667651994041962</c:v>
                </c:pt>
                <c:pt idx="7">
                  <c:v>0.12667651994041962</c:v>
                </c:pt>
                <c:pt idx="8">
                  <c:v>0.12667651994041962</c:v>
                </c:pt>
                <c:pt idx="9">
                  <c:v>0.12667651994041962</c:v>
                </c:pt>
                <c:pt idx="10">
                  <c:v>0.12667651994041962</c:v>
                </c:pt>
              </c:numCache>
            </c:numRef>
          </c:val>
          <c:smooth val="0"/>
          <c:extLst>
            <c:ext xmlns:c16="http://schemas.microsoft.com/office/drawing/2014/chart" uri="{C3380CC4-5D6E-409C-BE32-E72D297353CC}">
              <c16:uniqueId val="{00000001-1A09-4C6A-B258-E52CE331DF20}"/>
            </c:ext>
          </c:extLst>
        </c:ser>
        <c:ser>
          <c:idx val="4"/>
          <c:order val="2"/>
          <c:tx>
            <c:strRef>
              <c:f>sensitivity!$A$5</c:f>
              <c:strCache>
                <c:ptCount val="1"/>
                <c:pt idx="0">
                  <c:v>Selling Price</c:v>
                </c:pt>
              </c:strCache>
            </c:strRef>
          </c:tx>
          <c:spPr>
            <a:ln w="22225" cap="rnd">
              <a:solidFill>
                <a:schemeClr val="accent5"/>
              </a:solidFill>
            </a:ln>
            <a:effectLst>
              <a:glow rad="139700">
                <a:schemeClr val="accent5">
                  <a:satMod val="175000"/>
                  <a:alpha val="14000"/>
                </a:schemeClr>
              </a:glow>
            </a:effectLst>
          </c:spPr>
          <c:marker>
            <c:symbol val="none"/>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c:formatCode>
                <c:ptCount val="11"/>
                <c:pt idx="0">
                  <c:v>-6.6246198389341426E-4</c:v>
                </c:pt>
                <c:pt idx="1">
                  <c:v>2.9875464778845728E-2</c:v>
                </c:pt>
                <c:pt idx="2">
                  <c:v>5.719368490569976E-2</c:v>
                </c:pt>
                <c:pt idx="3">
                  <c:v>8.2102887478306963E-2</c:v>
                </c:pt>
                <c:pt idx="4">
                  <c:v>0.10513943130205083</c:v>
                </c:pt>
                <c:pt idx="5">
                  <c:v>0.12667651994041962</c:v>
                </c:pt>
                <c:pt idx="6">
                  <c:v>0.14698430912776761</c:v>
                </c:pt>
                <c:pt idx="7">
                  <c:v>0.16626468446073628</c:v>
                </c:pt>
                <c:pt idx="8">
                  <c:v>0.18467250992243467</c:v>
                </c:pt>
                <c:pt idx="9">
                  <c:v>0.20232920352795691</c:v>
                </c:pt>
                <c:pt idx="10">
                  <c:v>0.21933174035883263</c:v>
                </c:pt>
              </c:numCache>
            </c:numRef>
          </c:val>
          <c:smooth val="0"/>
          <c:extLst>
            <c:ext xmlns:c16="http://schemas.microsoft.com/office/drawing/2014/chart" uri="{C3380CC4-5D6E-409C-BE32-E72D297353CC}">
              <c16:uniqueId val="{00000002-1A09-4C6A-B258-E52CE331DF20}"/>
            </c:ext>
          </c:extLst>
        </c:ser>
        <c:ser>
          <c:idx val="5"/>
          <c:order val="3"/>
          <c:tx>
            <c:strRef>
              <c:f>sensitivity!$A$6</c:f>
              <c:strCache>
                <c:ptCount val="1"/>
                <c:pt idx="0">
                  <c:v>Cost Price</c:v>
                </c:pt>
              </c:strCache>
            </c:strRef>
          </c:tx>
          <c:spPr>
            <a:ln w="22225" cap="rnd">
              <a:solidFill>
                <a:schemeClr val="accent6"/>
              </a:solidFill>
            </a:ln>
            <a:effectLst>
              <a:glow rad="139700">
                <a:schemeClr val="accent6">
                  <a:satMod val="175000"/>
                  <a:alpha val="14000"/>
                </a:schemeClr>
              </a:glow>
            </a:effectLst>
          </c:spPr>
          <c:marker>
            <c:symbol val="none"/>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c:formatCode>
                <c:ptCount val="11"/>
                <c:pt idx="0">
                  <c:v>0.15189399498966982</c:v>
                </c:pt>
                <c:pt idx="1">
                  <c:v>0.14698430912776783</c:v>
                </c:pt>
                <c:pt idx="2">
                  <c:v>0.14201063483477494</c:v>
                </c:pt>
                <c:pt idx="3">
                  <c:v>0.13697015578581917</c:v>
                </c:pt>
                <c:pt idx="4">
                  <c:v>0.13185985974731529</c:v>
                </c:pt>
                <c:pt idx="5">
                  <c:v>0.12667651994041962</c:v>
                </c:pt>
                <c:pt idx="6">
                  <c:v>0.12141667413490032</c:v>
                </c:pt>
                <c:pt idx="7">
                  <c:v>0.11607660113406926</c:v>
                </c:pt>
                <c:pt idx="8">
                  <c:v>0.11065229425085854</c:v>
                </c:pt>
                <c:pt idx="9">
                  <c:v>0.10513943130205106</c:v>
                </c:pt>
                <c:pt idx="10">
                  <c:v>9.9533340558789263E-2</c:v>
                </c:pt>
              </c:numCache>
            </c:numRef>
          </c:val>
          <c:smooth val="0"/>
          <c:extLst>
            <c:ext xmlns:c16="http://schemas.microsoft.com/office/drawing/2014/chart" uri="{C3380CC4-5D6E-409C-BE32-E72D297353CC}">
              <c16:uniqueId val="{00000003-1A09-4C6A-B258-E52CE331DF20}"/>
            </c:ext>
          </c:extLst>
        </c:ser>
        <c:ser>
          <c:idx val="6"/>
          <c:order val="4"/>
          <c:tx>
            <c:strRef>
              <c:f>sensitivity!$A$7</c:f>
              <c:strCache>
                <c:ptCount val="1"/>
                <c:pt idx="0">
                  <c:v>Estimated Sales  first 3 years</c:v>
                </c:pt>
              </c:strCache>
            </c:strRef>
          </c:tx>
          <c:spPr>
            <a:ln w="22225" cap="rnd">
              <a:solidFill>
                <a:schemeClr val="accent1">
                  <a:lumMod val="60000"/>
                </a:schemeClr>
              </a:solidFill>
            </a:ln>
            <a:effectLst>
              <a:glow rad="139700">
                <a:schemeClr val="accent1">
                  <a:lumMod val="60000"/>
                  <a:satMod val="175000"/>
                  <a:alpha val="14000"/>
                </a:schemeClr>
              </a:glow>
            </a:effectLst>
          </c:spPr>
          <c:marker>
            <c:symbol val="none"/>
          </c:marker>
          <c:dPt>
            <c:idx val="5"/>
            <c:marker>
              <c:symbol val="none"/>
            </c:marker>
            <c:bubble3D val="0"/>
            <c:extLst>
              <c:ext xmlns:c16="http://schemas.microsoft.com/office/drawing/2014/chart" uri="{C3380CC4-5D6E-409C-BE32-E72D297353CC}">
                <c16:uniqueId val="{00000004-1A09-4C6A-B258-E52CE331DF20}"/>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A09-4C6A-B258-E52CE331DF2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c:formatCode>
                <c:ptCount val="11"/>
                <c:pt idx="0">
                  <c:v>0.10394791916208912</c:v>
                </c:pt>
                <c:pt idx="1">
                  <c:v>0.10832972865322676</c:v>
                </c:pt>
                <c:pt idx="2">
                  <c:v>0.11279249329944885</c:v>
                </c:pt>
                <c:pt idx="3">
                  <c:v>0.11733724950078872</c:v>
                </c:pt>
                <c:pt idx="4">
                  <c:v>0.12196496276773572</c:v>
                </c:pt>
                <c:pt idx="5">
                  <c:v>0.12667651994041962</c:v>
                </c:pt>
                <c:pt idx="6">
                  <c:v>0.13147272129286702</c:v>
                </c:pt>
                <c:pt idx="7">
                  <c:v>0.13635427259263677</c:v>
                </c:pt>
                <c:pt idx="8">
                  <c:v>0.14132177719480232</c:v>
                </c:pt>
                <c:pt idx="9">
                  <c:v>0.14637572825734058</c:v>
                </c:pt>
                <c:pt idx="10">
                  <c:v>0.15151650117225035</c:v>
                </c:pt>
              </c:numCache>
            </c:numRef>
          </c:val>
          <c:smooth val="0"/>
          <c:extLst>
            <c:ext xmlns:c16="http://schemas.microsoft.com/office/drawing/2014/chart" uri="{C3380CC4-5D6E-409C-BE32-E72D297353CC}">
              <c16:uniqueId val="{00000005-1A09-4C6A-B258-E52CE331DF20}"/>
            </c:ext>
          </c:extLst>
        </c:ser>
        <c:dLbls>
          <c:showLegendKey val="0"/>
          <c:showVal val="0"/>
          <c:showCatName val="0"/>
          <c:showSerName val="0"/>
          <c:showPercent val="0"/>
          <c:showBubbleSize val="0"/>
        </c:dLbls>
        <c:smooth val="0"/>
        <c:axId val="267771304"/>
        <c:axId val="267771696"/>
      </c:lineChart>
      <c:catAx>
        <c:axId val="26777130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771696"/>
        <c:crossesAt val="-100000000"/>
        <c:auto val="1"/>
        <c:lblAlgn val="ctr"/>
        <c:lblOffset val="100"/>
        <c:noMultiLvlLbl val="0"/>
      </c:catAx>
      <c:valAx>
        <c:axId val="26777169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7713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1402080</xdr:colOff>
          <xdr:row>40</xdr:row>
          <xdr:rowOff>15240</xdr:rowOff>
        </xdr:from>
        <xdr:to>
          <xdr:col>4</xdr:col>
          <xdr:colOff>68580</xdr:colOff>
          <xdr:row>42</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Break Even Analysis Refresh For NPV = 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601980</xdr:colOff>
      <xdr:row>0</xdr:row>
      <xdr:rowOff>179070</xdr:rowOff>
    </xdr:from>
    <xdr:to>
      <xdr:col>18</xdr:col>
      <xdr:colOff>83820</xdr:colOff>
      <xdr:row>22</xdr:row>
      <xdr:rowOff>99060</xdr:rowOff>
    </xdr:to>
    <xdr:graphicFrame macro="">
      <xdr:nvGraphicFramePr>
        <xdr:cNvPr id="10" name="Chart 1">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xdr:col>
      <xdr:colOff>914400</xdr:colOff>
      <xdr:row>16</xdr:row>
      <xdr:rowOff>0</xdr:rowOff>
    </xdr:to>
    <xdr:pic macro="[0]!simulation">
      <xdr:nvPicPr>
        <xdr:cNvPr id="14" name="Graphic 13" descr="Badge Tick1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09600" y="204216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xdr:colOff>
      <xdr:row>10</xdr:row>
      <xdr:rowOff>110490</xdr:rowOff>
    </xdr:from>
    <xdr:to>
      <xdr:col>13</xdr:col>
      <xdr:colOff>7620</xdr:colOff>
      <xdr:row>25</xdr:row>
      <xdr:rowOff>137160</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10</xdr:row>
          <xdr:rowOff>99060</xdr:rowOff>
        </xdr:from>
        <xdr:to>
          <xdr:col>0</xdr:col>
          <xdr:colOff>1379220</xdr:colOff>
          <xdr:row>12</xdr:row>
          <xdr:rowOff>144780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Renew</a:t>
              </a:r>
            </a:p>
          </xdr:txBody>
        </xdr:sp>
        <xdr:clientData fPrintsWithSheet="0"/>
      </xdr:twoCellAnchor>
    </mc:Choice>
    <mc:Fallback/>
  </mc:AlternateContent>
  <xdr:twoCellAnchor>
    <xdr:from>
      <xdr:col>13</xdr:col>
      <xdr:colOff>586740</xdr:colOff>
      <xdr:row>10</xdr:row>
      <xdr:rowOff>114300</xdr:rowOff>
    </xdr:from>
    <xdr:to>
      <xdr:col>25</xdr:col>
      <xdr:colOff>472440</xdr:colOff>
      <xdr:row>25</xdr:row>
      <xdr:rowOff>114300</xdr:rowOff>
    </xdr:to>
    <xdr:graphicFrame macro="">
      <xdr:nvGraphicFramePr>
        <xdr:cNvPr id="4" name="Диаграмма 5">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152400</xdr:colOff>
      <xdr:row>10</xdr:row>
      <xdr:rowOff>1</xdr:rowOff>
    </xdr:from>
    <xdr:to>
      <xdr:col>6</xdr:col>
      <xdr:colOff>510540</xdr:colOff>
      <xdr:row>28</xdr:row>
      <xdr:rowOff>15241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52400" y="1844041"/>
          <a:ext cx="5189220" cy="3307080"/>
        </a:xfrm>
        <a:prstGeom prst="rect">
          <a:avLst/>
        </a:prstGeom>
      </xdr:spPr>
    </xdr:pic>
    <xdr:clientData/>
  </xdr:twoCellAnchor>
  <xdr:twoCellAnchor editAs="oneCell">
    <xdr:from>
      <xdr:col>7</xdr:col>
      <xdr:colOff>76200</xdr:colOff>
      <xdr:row>0</xdr:row>
      <xdr:rowOff>0</xdr:rowOff>
    </xdr:from>
    <xdr:to>
      <xdr:col>15</xdr:col>
      <xdr:colOff>518160</xdr:colOff>
      <xdr:row>17</xdr:row>
      <xdr:rowOff>83820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5516880" y="0"/>
          <a:ext cx="5318760" cy="3291840"/>
        </a:xfrm>
        <a:prstGeom prst="rect">
          <a:avLst/>
        </a:prstGeom>
      </xdr:spPr>
    </xdr:pic>
    <xdr:clientData/>
  </xdr:twoCellAnchor>
  <xdr:twoCellAnchor editAs="oneCell">
    <xdr:from>
      <xdr:col>7</xdr:col>
      <xdr:colOff>152400</xdr:colOff>
      <xdr:row>19</xdr:row>
      <xdr:rowOff>22860</xdr:rowOff>
    </xdr:from>
    <xdr:to>
      <xdr:col>15</xdr:col>
      <xdr:colOff>510540</xdr:colOff>
      <xdr:row>34</xdr:row>
      <xdr:rowOff>180071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5593080" y="3512820"/>
          <a:ext cx="5234940" cy="275563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586740</xdr:colOff>
          <xdr:row>3</xdr:row>
          <xdr:rowOff>22860</xdr:rowOff>
        </xdr:from>
        <xdr:to>
          <xdr:col>6</xdr:col>
          <xdr:colOff>60960</xdr:colOff>
          <xdr:row>5</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Print PDF</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8EEC-D6F3-417F-A904-71981522FBC8}">
  <sheetPr codeName="Sheet4"/>
  <dimension ref="C1:AD55"/>
  <sheetViews>
    <sheetView tabSelected="1" zoomScaleNormal="100" workbookViewId="0">
      <selection activeCell="D43" sqref="D43"/>
    </sheetView>
  </sheetViews>
  <sheetFormatPr defaultRowHeight="14.4" x14ac:dyDescent="0.3"/>
  <cols>
    <col min="3" max="3" width="28.77734375" customWidth="1"/>
    <col min="4" max="4" width="15.33203125" customWidth="1"/>
    <col min="5" max="5" width="13.5546875" bestFit="1" customWidth="1"/>
    <col min="6" max="6" width="24.6640625" customWidth="1"/>
    <col min="7" max="7" width="13.5546875" customWidth="1"/>
    <col min="8" max="8" width="13.5546875" bestFit="1" customWidth="1"/>
    <col min="9" max="9" width="26.21875" customWidth="1"/>
    <col min="10" max="10" width="12.77734375" customWidth="1"/>
    <col min="11" max="13" width="12.77734375" bestFit="1" customWidth="1"/>
    <col min="14" max="16" width="13.88671875" bestFit="1" customWidth="1"/>
    <col min="17" max="17" width="12.109375" customWidth="1"/>
  </cols>
  <sheetData>
    <row r="1" spans="3:17" ht="15" thickBot="1" x14ac:dyDescent="0.35"/>
    <row r="2" spans="3:17" x14ac:dyDescent="0.3">
      <c r="C2" s="1" t="s">
        <v>0</v>
      </c>
      <c r="D2" s="2">
        <v>13</v>
      </c>
      <c r="E2" s="2">
        <v>13</v>
      </c>
    </row>
    <row r="3" spans="3:17" x14ac:dyDescent="0.3">
      <c r="C3" s="3" t="s">
        <v>1</v>
      </c>
      <c r="D3" s="4">
        <v>10000000</v>
      </c>
      <c r="E3" s="4">
        <f>$D$3*sensitivity!$B$3</f>
        <v>10000000</v>
      </c>
    </row>
    <row r="4" spans="3:17" x14ac:dyDescent="0.3">
      <c r="C4" s="3" t="s">
        <v>2</v>
      </c>
      <c r="D4" s="5">
        <v>0.1</v>
      </c>
      <c r="E4" s="5">
        <f>D4*sensitivity!$B$4</f>
        <v>0.1</v>
      </c>
    </row>
    <row r="5" spans="3:17" x14ac:dyDescent="0.3">
      <c r="C5" s="3" t="s">
        <v>3</v>
      </c>
      <c r="D5" s="4">
        <v>0.5</v>
      </c>
      <c r="E5" s="4">
        <f>D5*sensitivity!$B$6</f>
        <v>0.5</v>
      </c>
    </row>
    <row r="6" spans="3:17" x14ac:dyDescent="0.3">
      <c r="C6" s="3" t="s">
        <v>4</v>
      </c>
      <c r="D6" s="4">
        <v>2</v>
      </c>
      <c r="E6" s="4">
        <f>D6*sensitivity!$B$5</f>
        <v>2</v>
      </c>
    </row>
    <row r="7" spans="3:17" x14ac:dyDescent="0.3">
      <c r="C7" s="3" t="s">
        <v>5</v>
      </c>
      <c r="D7" s="4">
        <f>D3/D2</f>
        <v>769230.76923076925</v>
      </c>
      <c r="E7" s="4">
        <f>E3/E2</f>
        <v>769230.76923076925</v>
      </c>
    </row>
    <row r="8" spans="3:17" x14ac:dyDescent="0.3">
      <c r="C8" s="3" t="s">
        <v>6</v>
      </c>
      <c r="D8" s="5">
        <v>0.2</v>
      </c>
      <c r="E8" s="5">
        <v>0.2</v>
      </c>
    </row>
    <row r="9" spans="3:17" x14ac:dyDescent="0.3">
      <c r="C9" s="3" t="s">
        <v>7</v>
      </c>
      <c r="D9" s="4">
        <v>1000000</v>
      </c>
      <c r="E9" s="4">
        <f>D9*sensitivity!$B$7</f>
        <v>1000000</v>
      </c>
    </row>
    <row r="10" spans="3:17" x14ac:dyDescent="0.3">
      <c r="C10" s="3" t="s">
        <v>8</v>
      </c>
      <c r="D10" s="4">
        <v>1500000</v>
      </c>
      <c r="E10" s="4">
        <v>1500000</v>
      </c>
    </row>
    <row r="11" spans="3:17" x14ac:dyDescent="0.3">
      <c r="C11" s="3" t="s">
        <v>9</v>
      </c>
      <c r="D11" s="5">
        <v>0.04</v>
      </c>
      <c r="E11" s="5">
        <v>0.04</v>
      </c>
    </row>
    <row r="12" spans="3:17" x14ac:dyDescent="0.3">
      <c r="C12" s="3" t="s">
        <v>10</v>
      </c>
      <c r="D12" s="5">
        <f>(1+D4)/(1+D11)-1</f>
        <v>5.7692307692307709E-2</v>
      </c>
      <c r="E12" s="5">
        <f>(1+E4)/(1+E11)-1</f>
        <v>5.7692307692307709E-2</v>
      </c>
    </row>
    <row r="13" spans="3:17" ht="15" thickBot="1" x14ac:dyDescent="0.35">
      <c r="C13" s="6" t="s">
        <v>11</v>
      </c>
      <c r="D13" s="7">
        <v>50000</v>
      </c>
      <c r="E13" s="7">
        <v>50000</v>
      </c>
    </row>
    <row r="14" spans="3:17" ht="15" thickBot="1" x14ac:dyDescent="0.35"/>
    <row r="15" spans="3:17" ht="15" thickBot="1" x14ac:dyDescent="0.35">
      <c r="C15" s="8" t="s">
        <v>12</v>
      </c>
      <c r="D15" s="9">
        <v>0</v>
      </c>
      <c r="E15" s="9">
        <v>1</v>
      </c>
      <c r="F15" s="9">
        <v>2</v>
      </c>
      <c r="G15" s="9">
        <v>3</v>
      </c>
      <c r="H15" s="9">
        <v>4</v>
      </c>
      <c r="I15" s="9">
        <v>5</v>
      </c>
      <c r="J15" s="9">
        <v>6</v>
      </c>
      <c r="K15" s="9">
        <v>7</v>
      </c>
      <c r="L15" s="9">
        <v>8</v>
      </c>
      <c r="M15" s="9">
        <v>9</v>
      </c>
      <c r="N15" s="9">
        <v>10</v>
      </c>
      <c r="O15" s="9">
        <v>11</v>
      </c>
      <c r="P15" s="9">
        <v>12</v>
      </c>
      <c r="Q15" s="10">
        <v>13</v>
      </c>
    </row>
    <row r="16" spans="3:17" x14ac:dyDescent="0.3">
      <c r="C16" s="11" t="s">
        <v>13</v>
      </c>
      <c r="D16" s="12"/>
      <c r="E16" s="12"/>
      <c r="F16" s="12"/>
      <c r="G16" s="12"/>
      <c r="H16" s="12"/>
      <c r="I16" s="12"/>
      <c r="J16" s="12"/>
      <c r="K16" s="12"/>
      <c r="L16" s="12"/>
      <c r="M16" s="12"/>
      <c r="N16" s="12"/>
      <c r="O16" s="12"/>
      <c r="P16" s="12"/>
      <c r="Q16" s="13"/>
    </row>
    <row r="17" spans="3:30" x14ac:dyDescent="0.3">
      <c r="C17" s="14" t="s">
        <v>1</v>
      </c>
      <c r="D17" s="15">
        <f>-$E$3/2</f>
        <v>-5000000</v>
      </c>
      <c r="E17" s="15">
        <f>-$E$3/2</f>
        <v>-5000000</v>
      </c>
      <c r="F17" s="15">
        <v>0</v>
      </c>
      <c r="G17" s="15">
        <v>0</v>
      </c>
      <c r="H17" s="15">
        <v>0</v>
      </c>
      <c r="I17" s="15">
        <v>0</v>
      </c>
      <c r="J17" s="15">
        <v>0</v>
      </c>
      <c r="K17" s="15">
        <v>0</v>
      </c>
      <c r="L17" s="15">
        <v>0</v>
      </c>
      <c r="M17" s="15">
        <v>0</v>
      </c>
      <c r="N17" s="15">
        <v>0</v>
      </c>
      <c r="O17" s="15">
        <v>0</v>
      </c>
      <c r="P17" s="15">
        <v>0</v>
      </c>
      <c r="Q17" s="16">
        <v>0</v>
      </c>
    </row>
    <row r="18" spans="3:30" x14ac:dyDescent="0.3">
      <c r="C18" s="14" t="s">
        <v>11</v>
      </c>
      <c r="D18" s="15">
        <f>-$E$13</f>
        <v>-50000</v>
      </c>
      <c r="E18" s="15">
        <f t="shared" ref="E18:P18" si="0">-$E$13</f>
        <v>-50000</v>
      </c>
      <c r="F18" s="15">
        <f t="shared" si="0"/>
        <v>-50000</v>
      </c>
      <c r="G18" s="15">
        <f t="shared" si="0"/>
        <v>-50000</v>
      </c>
      <c r="H18" s="15">
        <f t="shared" si="0"/>
        <v>-50000</v>
      </c>
      <c r="I18" s="15">
        <v>0</v>
      </c>
      <c r="J18" s="15">
        <v>0</v>
      </c>
      <c r="K18" s="15">
        <v>0</v>
      </c>
      <c r="L18" s="15">
        <f t="shared" si="0"/>
        <v>-50000</v>
      </c>
      <c r="M18" s="15">
        <f t="shared" si="0"/>
        <v>-50000</v>
      </c>
      <c r="N18" s="15">
        <f t="shared" si="0"/>
        <v>-50000</v>
      </c>
      <c r="O18" s="15">
        <f t="shared" si="0"/>
        <v>-50000</v>
      </c>
      <c r="P18" s="15">
        <f t="shared" si="0"/>
        <v>-50000</v>
      </c>
      <c r="Q18" s="15">
        <v>0</v>
      </c>
    </row>
    <row r="19" spans="3:30" x14ac:dyDescent="0.3">
      <c r="C19" s="14" t="s">
        <v>14</v>
      </c>
      <c r="D19" s="15">
        <v>0</v>
      </c>
      <c r="E19" s="15">
        <v>0</v>
      </c>
      <c r="F19" s="15">
        <v>0</v>
      </c>
      <c r="G19" s="15">
        <v>0</v>
      </c>
      <c r="H19" s="15">
        <v>0</v>
      </c>
      <c r="I19" s="15">
        <v>0</v>
      </c>
      <c r="J19" s="15">
        <v>0</v>
      </c>
      <c r="K19" s="15">
        <v>0</v>
      </c>
      <c r="L19" s="15">
        <v>0</v>
      </c>
      <c r="M19" s="15">
        <v>0</v>
      </c>
      <c r="N19" s="15">
        <v>0</v>
      </c>
      <c r="O19" s="15">
        <v>0</v>
      </c>
      <c r="P19" s="15">
        <v>0</v>
      </c>
      <c r="Q19" s="16">
        <f>E7</f>
        <v>769230.76923076925</v>
      </c>
    </row>
    <row r="20" spans="3:30" ht="15" thickBot="1" x14ac:dyDescent="0.35">
      <c r="C20" s="17" t="s">
        <v>5</v>
      </c>
      <c r="D20" s="18">
        <v>0</v>
      </c>
      <c r="E20" s="18">
        <f>-$E$7</f>
        <v>-769230.76923076925</v>
      </c>
      <c r="F20" s="18">
        <f t="shared" ref="F20:P20" si="1">-$E$7</f>
        <v>-769230.76923076925</v>
      </c>
      <c r="G20" s="18">
        <f t="shared" si="1"/>
        <v>-769230.76923076925</v>
      </c>
      <c r="H20" s="18">
        <f t="shared" si="1"/>
        <v>-769230.76923076925</v>
      </c>
      <c r="I20" s="18">
        <f t="shared" si="1"/>
        <v>-769230.76923076925</v>
      </c>
      <c r="J20" s="18">
        <f t="shared" si="1"/>
        <v>-769230.76923076925</v>
      </c>
      <c r="K20" s="18">
        <f t="shared" si="1"/>
        <v>-769230.76923076925</v>
      </c>
      <c r="L20" s="18">
        <f t="shared" si="1"/>
        <v>-769230.76923076925</v>
      </c>
      <c r="M20" s="18">
        <f t="shared" si="1"/>
        <v>-769230.76923076925</v>
      </c>
      <c r="N20" s="18">
        <f t="shared" si="1"/>
        <v>-769230.76923076925</v>
      </c>
      <c r="O20" s="18">
        <f t="shared" si="1"/>
        <v>-769230.76923076925</v>
      </c>
      <c r="P20" s="18">
        <f t="shared" si="1"/>
        <v>-769230.76923076925</v>
      </c>
      <c r="Q20" s="19">
        <v>0</v>
      </c>
    </row>
    <row r="21" spans="3:30" ht="15" thickBot="1" x14ac:dyDescent="0.35">
      <c r="C21" s="14"/>
      <c r="D21" s="15"/>
      <c r="E21" s="15"/>
      <c r="F21" s="15"/>
      <c r="G21" s="15"/>
      <c r="H21" s="15"/>
      <c r="I21" s="15"/>
      <c r="J21" s="15"/>
      <c r="K21" s="15"/>
      <c r="L21" s="15"/>
      <c r="M21" s="15"/>
      <c r="N21" s="15"/>
      <c r="O21" s="15"/>
      <c r="P21" s="15"/>
      <c r="Q21" s="16"/>
    </row>
    <row r="22" spans="3:30" x14ac:dyDescent="0.3">
      <c r="C22" s="11" t="s">
        <v>15</v>
      </c>
      <c r="D22" s="12"/>
      <c r="E22" s="12"/>
      <c r="F22" s="12"/>
      <c r="G22" s="12"/>
      <c r="H22" s="12"/>
      <c r="I22" s="12"/>
      <c r="J22" s="12"/>
      <c r="K22" s="12"/>
      <c r="L22" s="12"/>
      <c r="M22" s="12"/>
      <c r="N22" s="12"/>
      <c r="O22" s="12"/>
      <c r="P22" s="12"/>
      <c r="Q22" s="13"/>
    </row>
    <row r="23" spans="3:30" x14ac:dyDescent="0.3">
      <c r="C23" s="14" t="s">
        <v>16</v>
      </c>
      <c r="D23" s="15">
        <v>0</v>
      </c>
      <c r="E23" s="15">
        <v>0</v>
      </c>
      <c r="F23" s="15">
        <f>$E$9*$E$6</f>
        <v>2000000</v>
      </c>
      <c r="G23" s="15">
        <f t="shared" ref="G23:H23" si="2">$E$9*$E$6</f>
        <v>2000000</v>
      </c>
      <c r="H23" s="15">
        <f t="shared" si="2"/>
        <v>2000000</v>
      </c>
      <c r="I23" s="15">
        <f>$E$10*$E$6</f>
        <v>3000000</v>
      </c>
      <c r="J23" s="15">
        <f t="shared" ref="J23:Q23" si="3">$E$10*$E$6</f>
        <v>3000000</v>
      </c>
      <c r="K23" s="15">
        <f t="shared" si="3"/>
        <v>3000000</v>
      </c>
      <c r="L23" s="15">
        <f t="shared" si="3"/>
        <v>3000000</v>
      </c>
      <c r="M23" s="15">
        <f t="shared" si="3"/>
        <v>3000000</v>
      </c>
      <c r="N23" s="15">
        <f t="shared" si="3"/>
        <v>3000000</v>
      </c>
      <c r="O23" s="15">
        <f t="shared" si="3"/>
        <v>3000000</v>
      </c>
      <c r="P23" s="15">
        <f t="shared" si="3"/>
        <v>3000000</v>
      </c>
      <c r="Q23" s="15">
        <f t="shared" si="3"/>
        <v>3000000</v>
      </c>
    </row>
    <row r="24" spans="3:30" ht="15" thickBot="1" x14ac:dyDescent="0.35">
      <c r="C24" s="17" t="s">
        <v>17</v>
      </c>
      <c r="D24" s="18">
        <v>0</v>
      </c>
      <c r="E24" s="18">
        <v>0</v>
      </c>
      <c r="F24" s="18">
        <f>-$E$9*$E$5</f>
        <v>-500000</v>
      </c>
      <c r="G24" s="18">
        <f t="shared" ref="G24:H24" si="4">-$E$9*$E$5</f>
        <v>-500000</v>
      </c>
      <c r="H24" s="18">
        <f t="shared" si="4"/>
        <v>-500000</v>
      </c>
      <c r="I24" s="18">
        <f>-$E$10*$E$5</f>
        <v>-750000</v>
      </c>
      <c r="J24" s="18">
        <f t="shared" ref="J24:Q24" si="5">-$E$10*$E$5</f>
        <v>-750000</v>
      </c>
      <c r="K24" s="18">
        <f t="shared" si="5"/>
        <v>-750000</v>
      </c>
      <c r="L24" s="18">
        <f t="shared" si="5"/>
        <v>-750000</v>
      </c>
      <c r="M24" s="18">
        <f t="shared" si="5"/>
        <v>-750000</v>
      </c>
      <c r="N24" s="18">
        <f t="shared" si="5"/>
        <v>-750000</v>
      </c>
      <c r="O24" s="18">
        <f t="shared" si="5"/>
        <v>-750000</v>
      </c>
      <c r="P24" s="18">
        <f t="shared" si="5"/>
        <v>-750000</v>
      </c>
      <c r="Q24" s="18">
        <f t="shared" si="5"/>
        <v>-750000</v>
      </c>
    </row>
    <row r="25" spans="3:30" ht="15" thickBot="1" x14ac:dyDescent="0.35">
      <c r="C25" s="8"/>
      <c r="D25" s="9"/>
      <c r="E25" s="9"/>
      <c r="F25" s="9"/>
      <c r="G25" s="9"/>
      <c r="H25" s="9"/>
      <c r="I25" s="9"/>
      <c r="J25" s="9"/>
      <c r="K25" s="9"/>
      <c r="L25" s="9"/>
      <c r="M25" s="9"/>
      <c r="N25" s="9"/>
      <c r="O25" s="9"/>
      <c r="P25" s="20"/>
      <c r="Q25" s="10"/>
      <c r="AD25" s="4"/>
    </row>
    <row r="26" spans="3:30" x14ac:dyDescent="0.3">
      <c r="C26" s="21" t="s">
        <v>18</v>
      </c>
      <c r="D26" s="12">
        <f t="shared" ref="D26:Q26" si="6">SUM(D23:D24)</f>
        <v>0</v>
      </c>
      <c r="E26" s="12">
        <f t="shared" si="6"/>
        <v>0</v>
      </c>
      <c r="F26" s="12">
        <f t="shared" si="6"/>
        <v>1500000</v>
      </c>
      <c r="G26" s="12">
        <f t="shared" si="6"/>
        <v>1500000</v>
      </c>
      <c r="H26" s="12">
        <f t="shared" si="6"/>
        <v>1500000</v>
      </c>
      <c r="I26" s="12">
        <f t="shared" si="6"/>
        <v>2250000</v>
      </c>
      <c r="J26" s="12">
        <f t="shared" si="6"/>
        <v>2250000</v>
      </c>
      <c r="K26" s="12">
        <f t="shared" si="6"/>
        <v>2250000</v>
      </c>
      <c r="L26" s="12">
        <f t="shared" si="6"/>
        <v>2250000</v>
      </c>
      <c r="M26" s="12">
        <f t="shared" si="6"/>
        <v>2250000</v>
      </c>
      <c r="N26" s="12">
        <f t="shared" si="6"/>
        <v>2250000</v>
      </c>
      <c r="O26" s="12">
        <f t="shared" si="6"/>
        <v>2250000</v>
      </c>
      <c r="P26" s="12">
        <f t="shared" si="6"/>
        <v>2250000</v>
      </c>
      <c r="Q26" s="13">
        <f t="shared" si="6"/>
        <v>2250000</v>
      </c>
      <c r="AD26" s="4"/>
    </row>
    <row r="27" spans="3:30" x14ac:dyDescent="0.3">
      <c r="C27" s="14" t="s">
        <v>19</v>
      </c>
      <c r="D27" s="15">
        <f>D26+D20</f>
        <v>0</v>
      </c>
      <c r="E27" s="15">
        <f>E26+E20</f>
        <v>-769230.76923076925</v>
      </c>
      <c r="F27" s="15">
        <f>F26+F20</f>
        <v>730769.23076923075</v>
      </c>
      <c r="G27" s="15">
        <f>G26+G20</f>
        <v>730769.23076923075</v>
      </c>
      <c r="H27" s="15">
        <f t="shared" ref="H27:O27" si="7">H26+H20</f>
        <v>730769.23076923075</v>
      </c>
      <c r="I27" s="15">
        <f t="shared" si="7"/>
        <v>1480769.2307692308</v>
      </c>
      <c r="J27" s="15">
        <f t="shared" si="7"/>
        <v>1480769.2307692308</v>
      </c>
      <c r="K27" s="15">
        <f t="shared" si="7"/>
        <v>1480769.2307692308</v>
      </c>
      <c r="L27" s="15">
        <f t="shared" si="7"/>
        <v>1480769.2307692308</v>
      </c>
      <c r="M27" s="15">
        <f t="shared" si="7"/>
        <v>1480769.2307692308</v>
      </c>
      <c r="N27" s="15">
        <f t="shared" si="7"/>
        <v>1480769.2307692308</v>
      </c>
      <c r="O27" s="15">
        <f t="shared" si="7"/>
        <v>1480769.2307692308</v>
      </c>
      <c r="P27" s="15">
        <f t="shared" ref="P27:Q27" si="8">IF(P26&lt;0,P26+P20,P26-P20)</f>
        <v>3019230.769230769</v>
      </c>
      <c r="Q27" s="15">
        <f t="shared" si="8"/>
        <v>2250000</v>
      </c>
      <c r="AD27" s="4"/>
    </row>
    <row r="28" spans="3:30" ht="15" thickBot="1" x14ac:dyDescent="0.35">
      <c r="C28" s="17" t="s">
        <v>20</v>
      </c>
      <c r="D28" s="18">
        <f>D27*$D$8</f>
        <v>0</v>
      </c>
      <c r="E28" s="18">
        <f>E27*$E$8</f>
        <v>-153846.15384615384</v>
      </c>
      <c r="F28" s="18">
        <f t="shared" ref="F28:Q28" si="9">F27*$E$8</f>
        <v>146153.84615384616</v>
      </c>
      <c r="G28" s="18">
        <f t="shared" si="9"/>
        <v>146153.84615384616</v>
      </c>
      <c r="H28" s="18">
        <f t="shared" si="9"/>
        <v>146153.84615384616</v>
      </c>
      <c r="I28" s="18">
        <f>I27*$E$8</f>
        <v>296153.84615384619</v>
      </c>
      <c r="J28" s="18">
        <f t="shared" si="9"/>
        <v>296153.84615384619</v>
      </c>
      <c r="K28" s="18">
        <f t="shared" si="9"/>
        <v>296153.84615384619</v>
      </c>
      <c r="L28" s="18">
        <f t="shared" si="9"/>
        <v>296153.84615384619</v>
      </c>
      <c r="M28" s="18">
        <f t="shared" si="9"/>
        <v>296153.84615384619</v>
      </c>
      <c r="N28" s="18">
        <f t="shared" si="9"/>
        <v>296153.84615384619</v>
      </c>
      <c r="O28" s="18">
        <f t="shared" si="9"/>
        <v>296153.84615384619</v>
      </c>
      <c r="P28" s="18">
        <f t="shared" si="9"/>
        <v>603846.15384615387</v>
      </c>
      <c r="Q28" s="18">
        <f t="shared" si="9"/>
        <v>450000</v>
      </c>
      <c r="AD28" s="4"/>
    </row>
    <row r="29" spans="3:30" x14ac:dyDescent="0.3">
      <c r="C29" s="21"/>
      <c r="D29" s="12"/>
      <c r="E29" s="12"/>
      <c r="F29" s="12"/>
      <c r="G29" s="12"/>
      <c r="H29" s="12"/>
      <c r="I29" s="12"/>
      <c r="J29" s="12"/>
      <c r="K29" s="12"/>
      <c r="L29" s="12"/>
      <c r="M29" s="12"/>
      <c r="N29" s="12"/>
      <c r="O29" s="12"/>
      <c r="P29" s="12"/>
      <c r="Q29" s="13"/>
    </row>
    <row r="30" spans="3:30" ht="15" thickBot="1" x14ac:dyDescent="0.35">
      <c r="C30" s="17" t="s">
        <v>21</v>
      </c>
      <c r="D30" s="18">
        <f>D27-D28</f>
        <v>0</v>
      </c>
      <c r="E30" s="18">
        <f>E27-E28</f>
        <v>-615384.61538461538</v>
      </c>
      <c r="F30" s="18">
        <f t="shared" ref="F30:Q30" si="10">F27-F28</f>
        <v>584615.38461538462</v>
      </c>
      <c r="G30" s="18">
        <f t="shared" si="10"/>
        <v>584615.38461538462</v>
      </c>
      <c r="H30" s="18">
        <f t="shared" si="10"/>
        <v>584615.38461538462</v>
      </c>
      <c r="I30" s="18">
        <f t="shared" si="10"/>
        <v>1184615.3846153845</v>
      </c>
      <c r="J30" s="18">
        <f t="shared" si="10"/>
        <v>1184615.3846153845</v>
      </c>
      <c r="K30" s="18">
        <f t="shared" si="10"/>
        <v>1184615.3846153845</v>
      </c>
      <c r="L30" s="18">
        <f t="shared" si="10"/>
        <v>1184615.3846153845</v>
      </c>
      <c r="M30" s="18">
        <f t="shared" si="10"/>
        <v>1184615.3846153845</v>
      </c>
      <c r="N30" s="18">
        <f t="shared" si="10"/>
        <v>1184615.3846153845</v>
      </c>
      <c r="O30" s="18">
        <f t="shared" si="10"/>
        <v>1184615.3846153845</v>
      </c>
      <c r="P30" s="18">
        <f t="shared" si="10"/>
        <v>2415384.615384615</v>
      </c>
      <c r="Q30" s="19">
        <f t="shared" si="10"/>
        <v>1800000</v>
      </c>
    </row>
    <row r="31" spans="3:30" x14ac:dyDescent="0.3">
      <c r="C31" s="21"/>
      <c r="D31" s="12"/>
      <c r="E31" s="12"/>
      <c r="F31" s="12"/>
      <c r="G31" s="12"/>
      <c r="H31" s="12"/>
      <c r="I31" s="12"/>
      <c r="J31" s="12"/>
      <c r="K31" s="12"/>
      <c r="L31" s="12"/>
      <c r="M31" s="12"/>
      <c r="N31" s="12"/>
      <c r="O31" s="12"/>
      <c r="P31" s="12"/>
      <c r="Q31" s="13"/>
    </row>
    <row r="32" spans="3:30" x14ac:dyDescent="0.3">
      <c r="C32" s="22" t="s">
        <v>22</v>
      </c>
      <c r="D32" s="23">
        <f>D17+D30-D20+D18+D19</f>
        <v>-5050000</v>
      </c>
      <c r="E32" s="23">
        <f t="shared" ref="E32:Q32" si="11">E17+E30-E20+E18+E19</f>
        <v>-4896153.846153846</v>
      </c>
      <c r="F32" s="23">
        <f t="shared" si="11"/>
        <v>1303846.153846154</v>
      </c>
      <c r="G32" s="23">
        <f t="shared" si="11"/>
        <v>1303846.153846154</v>
      </c>
      <c r="H32" s="23">
        <f t="shared" si="11"/>
        <v>1303846.153846154</v>
      </c>
      <c r="I32" s="23">
        <f t="shared" si="11"/>
        <v>1953846.1538461538</v>
      </c>
      <c r="J32" s="23">
        <f t="shared" si="11"/>
        <v>1953846.1538461538</v>
      </c>
      <c r="K32" s="23">
        <f t="shared" si="11"/>
        <v>1953846.1538461538</v>
      </c>
      <c r="L32" s="23">
        <f t="shared" si="11"/>
        <v>1903846.1538461538</v>
      </c>
      <c r="M32" s="23">
        <f t="shared" si="11"/>
        <v>1903846.1538461538</v>
      </c>
      <c r="N32" s="23">
        <f t="shared" si="11"/>
        <v>1903846.1538461538</v>
      </c>
      <c r="O32" s="23">
        <f t="shared" si="11"/>
        <v>1903846.1538461538</v>
      </c>
      <c r="P32" s="23">
        <f t="shared" si="11"/>
        <v>3134615.384615384</v>
      </c>
      <c r="Q32" s="24">
        <f t="shared" si="11"/>
        <v>2569230.769230769</v>
      </c>
    </row>
    <row r="33" spans="3:18" x14ac:dyDescent="0.3">
      <c r="C33" s="14" t="s">
        <v>23</v>
      </c>
      <c r="D33" s="15">
        <f>D32/(1+$E$12)^D15</f>
        <v>-5050000</v>
      </c>
      <c r="E33" s="15">
        <f t="shared" ref="E33:Q33" si="12">E32/(1+$E$12)^E15</f>
        <v>-4629090.9090909092</v>
      </c>
      <c r="F33" s="15">
        <f t="shared" si="12"/>
        <v>1165487.6033057852</v>
      </c>
      <c r="G33" s="15">
        <f t="shared" si="12"/>
        <v>1101915.5522163787</v>
      </c>
      <c r="H33" s="15">
        <f t="shared" si="12"/>
        <v>1041811.0675500309</v>
      </c>
      <c r="I33" s="15">
        <f t="shared" si="12"/>
        <v>1476024.7337303092</v>
      </c>
      <c r="J33" s="15">
        <f t="shared" si="12"/>
        <v>1395514.293708656</v>
      </c>
      <c r="K33" s="15">
        <f t="shared" si="12"/>
        <v>1319395.3322336383</v>
      </c>
      <c r="L33" s="15">
        <f t="shared" si="12"/>
        <v>1215505.9359947692</v>
      </c>
      <c r="M33" s="15">
        <f t="shared" si="12"/>
        <v>1149205.6122132363</v>
      </c>
      <c r="N33" s="15">
        <f t="shared" si="12"/>
        <v>1086521.669728878</v>
      </c>
      <c r="O33" s="15">
        <f t="shared" si="12"/>
        <v>1027256.85138003</v>
      </c>
      <c r="P33" s="15">
        <f t="shared" si="12"/>
        <v>1599087.0656193083</v>
      </c>
      <c r="Q33" s="15">
        <f t="shared" si="12"/>
        <v>1239172.0761037881</v>
      </c>
      <c r="R33" s="15"/>
    </row>
    <row r="34" spans="3:18" ht="15" thickBot="1" x14ac:dyDescent="0.35">
      <c r="C34" s="17" t="s">
        <v>24</v>
      </c>
      <c r="D34" s="18">
        <f>SUM($D$33:D33)</f>
        <v>-5050000</v>
      </c>
      <c r="E34" s="18">
        <f>SUM($D$33:E33)</f>
        <v>-9679090.9090909101</v>
      </c>
      <c r="F34" s="18">
        <f>SUM($D$33:F33)</f>
        <v>-8513603.3057851251</v>
      </c>
      <c r="G34" s="18">
        <f>SUM($D$33:G33)</f>
        <v>-7411687.7535687461</v>
      </c>
      <c r="H34" s="18">
        <f>SUM($D$33:H33)</f>
        <v>-6369876.6860187156</v>
      </c>
      <c r="I34" s="18">
        <f>SUM($D$33:I33)</f>
        <v>-4893851.952288406</v>
      </c>
      <c r="J34" s="18">
        <f>SUM($D$33:J33)</f>
        <v>-3498337.65857975</v>
      </c>
      <c r="K34" s="18">
        <f>SUM($D$33:K33)</f>
        <v>-2178942.3263461115</v>
      </c>
      <c r="L34" s="18">
        <f>SUM($D$33:L33)</f>
        <v>-963436.39035134227</v>
      </c>
      <c r="M34" s="18">
        <f>SUM($D$33:M33)</f>
        <v>185769.22186189401</v>
      </c>
      <c r="N34" s="18">
        <f>SUM($D$33:N33)</f>
        <v>1272290.891590772</v>
      </c>
      <c r="O34" s="18">
        <f>SUM($D$33:O33)</f>
        <v>2299547.7429708019</v>
      </c>
      <c r="P34" s="18">
        <f>SUM($D$33:P33)</f>
        <v>3898634.8085901104</v>
      </c>
      <c r="Q34" s="18">
        <f>SUM($D$33:Q33)</f>
        <v>5137806.8846938983</v>
      </c>
    </row>
    <row r="35" spans="3:18" x14ac:dyDescent="0.3">
      <c r="C35" s="21"/>
      <c r="D35" s="12"/>
      <c r="E35" s="12"/>
      <c r="F35" s="12"/>
      <c r="G35" s="12"/>
      <c r="H35" s="12"/>
      <c r="I35" s="12"/>
      <c r="J35" s="12"/>
      <c r="K35" s="12"/>
      <c r="L35" s="12"/>
      <c r="M35" s="12"/>
      <c r="N35" s="12"/>
      <c r="O35" s="12"/>
      <c r="P35" s="12"/>
      <c r="Q35" s="13"/>
    </row>
    <row r="36" spans="3:18" x14ac:dyDescent="0.3">
      <c r="C36" s="14" t="s">
        <v>25</v>
      </c>
      <c r="D36" s="15">
        <f>NPV(D12,E32:Q32)+D32</f>
        <v>5137806.8846938945</v>
      </c>
      <c r="E36" s="15"/>
      <c r="F36" s="15"/>
      <c r="G36" s="15"/>
      <c r="H36" s="15"/>
      <c r="I36" s="15"/>
      <c r="J36" s="15"/>
      <c r="K36" s="15"/>
      <c r="L36" s="15"/>
      <c r="M36" s="15"/>
      <c r="N36" s="15"/>
      <c r="O36" s="15"/>
      <c r="P36" s="15"/>
      <c r="Q36" s="16"/>
    </row>
    <row r="37" spans="3:18" x14ac:dyDescent="0.3">
      <c r="C37" s="14" t="s">
        <v>26</v>
      </c>
      <c r="D37" s="25">
        <f>IRR(D32:Q32)</f>
        <v>0.12667651994041962</v>
      </c>
      <c r="E37" s="26"/>
      <c r="F37" s="15"/>
      <c r="G37" s="15"/>
      <c r="H37" s="15"/>
      <c r="I37" s="15"/>
      <c r="J37" s="15"/>
      <c r="K37" s="15"/>
      <c r="L37" s="15"/>
      <c r="M37" s="15"/>
      <c r="N37" s="15"/>
      <c r="O37" s="15"/>
      <c r="P37" s="15"/>
      <c r="Q37" s="16"/>
    </row>
    <row r="38" spans="3:18" x14ac:dyDescent="0.3">
      <c r="C38" s="14" t="s">
        <v>27</v>
      </c>
      <c r="D38" s="26">
        <f>1+D36/E3</f>
        <v>1.5137806884693894</v>
      </c>
      <c r="E38" s="15"/>
      <c r="F38" s="15"/>
      <c r="G38" s="15"/>
      <c r="H38" s="15"/>
      <c r="I38" s="15"/>
      <c r="J38" s="15"/>
      <c r="K38" s="15"/>
      <c r="L38" s="15"/>
      <c r="M38" s="15"/>
      <c r="N38" s="15"/>
      <c r="O38" s="15"/>
      <c r="P38" s="15"/>
      <c r="Q38" s="16"/>
    </row>
    <row r="39" spans="3:18" x14ac:dyDescent="0.3">
      <c r="C39" s="14" t="s">
        <v>28</v>
      </c>
      <c r="D39" s="15" cm="1">
        <f t="array" ref="D39">LOOKUP(0,D34:Q34,(D15:Q15)-(D34:Q34/D33:Q33))</f>
        <v>8.7926217074068553</v>
      </c>
      <c r="E39" s="15"/>
      <c r="F39" s="15"/>
      <c r="G39" s="15"/>
      <c r="H39" s="15"/>
      <c r="I39" s="15"/>
      <c r="J39" s="15"/>
      <c r="K39" s="15"/>
      <c r="L39" s="15"/>
      <c r="M39" s="15"/>
      <c r="N39" s="15"/>
      <c r="O39" s="15"/>
      <c r="P39" s="15"/>
      <c r="Q39" s="16"/>
    </row>
    <row r="40" spans="3:18" ht="15" thickBot="1" x14ac:dyDescent="0.35">
      <c r="C40" s="17"/>
      <c r="D40" s="18"/>
      <c r="E40" s="18"/>
      <c r="F40" s="18"/>
      <c r="G40" s="18"/>
      <c r="H40" s="18"/>
      <c r="I40" s="18"/>
      <c r="J40" s="18"/>
      <c r="K40" s="18"/>
      <c r="L40" s="18"/>
      <c r="M40" s="18"/>
      <c r="N40" s="18"/>
      <c r="O40" s="18"/>
      <c r="P40" s="18"/>
      <c r="Q40" s="19"/>
    </row>
    <row r="42" spans="3:18" x14ac:dyDescent="0.3">
      <c r="C42" s="54" t="s">
        <v>32</v>
      </c>
    </row>
    <row r="43" spans="3:18" ht="15" thickBot="1" x14ac:dyDescent="0.35"/>
    <row r="44" spans="3:18" x14ac:dyDescent="0.3">
      <c r="C44" s="1" t="s">
        <v>0</v>
      </c>
      <c r="D44" s="2">
        <v>13</v>
      </c>
      <c r="F44" s="1" t="s">
        <v>0</v>
      </c>
      <c r="G44" s="2">
        <v>13</v>
      </c>
      <c r="I44" s="1" t="s">
        <v>0</v>
      </c>
      <c r="J44" s="2">
        <v>13</v>
      </c>
    </row>
    <row r="45" spans="3:18" x14ac:dyDescent="0.3">
      <c r="C45" s="3" t="s">
        <v>1</v>
      </c>
      <c r="D45" s="4">
        <v>16922306.472083785</v>
      </c>
      <c r="F45" s="3" t="s">
        <v>1</v>
      </c>
      <c r="G45" s="4">
        <v>10000000</v>
      </c>
      <c r="I45" s="3" t="s">
        <v>1</v>
      </c>
      <c r="J45" s="4">
        <v>10000000</v>
      </c>
    </row>
    <row r="46" spans="3:18" x14ac:dyDescent="0.3">
      <c r="C46" s="3" t="s">
        <v>2</v>
      </c>
      <c r="D46" s="5">
        <v>0.1</v>
      </c>
      <c r="F46" s="3" t="s">
        <v>2</v>
      </c>
      <c r="G46" s="5">
        <v>0.1</v>
      </c>
      <c r="I46" s="3" t="s">
        <v>2</v>
      </c>
      <c r="J46" s="5">
        <v>0.17174358073803633</v>
      </c>
    </row>
    <row r="47" spans="3:18" x14ac:dyDescent="0.3">
      <c r="C47" s="3" t="s">
        <v>3</v>
      </c>
      <c r="D47" s="4">
        <v>0.5</v>
      </c>
      <c r="F47" s="3" t="s">
        <v>3</v>
      </c>
      <c r="G47" s="4">
        <v>0.5</v>
      </c>
      <c r="I47" s="3" t="s">
        <v>3</v>
      </c>
      <c r="J47" s="4">
        <v>0.5</v>
      </c>
    </row>
    <row r="48" spans="3:18" x14ac:dyDescent="0.3">
      <c r="C48" s="3" t="s">
        <v>4</v>
      </c>
      <c r="D48" s="4">
        <v>2</v>
      </c>
      <c r="F48" s="3" t="s">
        <v>4</v>
      </c>
      <c r="G48" s="4">
        <v>1.4038379906422476</v>
      </c>
      <c r="I48" s="3" t="s">
        <v>4</v>
      </c>
      <c r="J48" s="4">
        <v>2</v>
      </c>
    </row>
    <row r="49" spans="3:10" x14ac:dyDescent="0.3">
      <c r="C49" s="3" t="s">
        <v>5</v>
      </c>
      <c r="D49" s="4">
        <f>D45/D44</f>
        <v>1301715.8824679835</v>
      </c>
      <c r="F49" s="3" t="s">
        <v>5</v>
      </c>
      <c r="G49" s="4">
        <f>G45/G44</f>
        <v>769230.76923076925</v>
      </c>
      <c r="I49" s="3" t="s">
        <v>5</v>
      </c>
      <c r="J49" s="4">
        <f>J45/J44</f>
        <v>769230.76923076925</v>
      </c>
    </row>
    <row r="50" spans="3:10" x14ac:dyDescent="0.3">
      <c r="C50" s="3" t="s">
        <v>6</v>
      </c>
      <c r="D50" s="5">
        <v>0.2</v>
      </c>
      <c r="F50" s="3" t="s">
        <v>6</v>
      </c>
      <c r="G50" s="5">
        <v>0.2</v>
      </c>
      <c r="I50" s="3" t="s">
        <v>6</v>
      </c>
      <c r="J50" s="5">
        <v>0.2</v>
      </c>
    </row>
    <row r="51" spans="3:10" x14ac:dyDescent="0.3">
      <c r="C51" s="3" t="s">
        <v>7</v>
      </c>
      <c r="D51" s="4">
        <v>1000000</v>
      </c>
      <c r="F51" s="3" t="s">
        <v>7</v>
      </c>
      <c r="G51" s="4">
        <v>1000000</v>
      </c>
      <c r="I51" s="3" t="s">
        <v>7</v>
      </c>
      <c r="J51" s="4">
        <v>1000000</v>
      </c>
    </row>
    <row r="52" spans="3:10" x14ac:dyDescent="0.3">
      <c r="C52" s="3" t="s">
        <v>8</v>
      </c>
      <c r="D52" s="4">
        <v>1500000</v>
      </c>
      <c r="F52" s="3" t="s">
        <v>8</v>
      </c>
      <c r="G52" s="4">
        <v>1500000</v>
      </c>
      <c r="I52" s="3" t="s">
        <v>8</v>
      </c>
      <c r="J52" s="4">
        <v>1500000</v>
      </c>
    </row>
    <row r="53" spans="3:10" x14ac:dyDescent="0.3">
      <c r="C53" s="3" t="s">
        <v>9</v>
      </c>
      <c r="D53" s="5">
        <v>0.04</v>
      </c>
      <c r="F53" s="3" t="s">
        <v>9</v>
      </c>
      <c r="G53" s="5">
        <v>0.04</v>
      </c>
      <c r="I53" s="3" t="s">
        <v>9</v>
      </c>
      <c r="J53" s="5">
        <v>0.04</v>
      </c>
    </row>
    <row r="54" spans="3:10" x14ac:dyDescent="0.3">
      <c r="C54" s="3" t="s">
        <v>10</v>
      </c>
      <c r="D54" s="5">
        <f>(1+D46)/(1+D53)-1</f>
        <v>5.7692307692307709E-2</v>
      </c>
      <c r="F54" s="3" t="s">
        <v>10</v>
      </c>
      <c r="G54" s="5">
        <f>(1+G46)/(1+G53)-1</f>
        <v>5.7692307692307709E-2</v>
      </c>
      <c r="I54" s="3" t="s">
        <v>10</v>
      </c>
      <c r="J54" s="5">
        <f>(1+J46)/(1+J53)-1</f>
        <v>0.1266765199404194</v>
      </c>
    </row>
    <row r="55" spans="3:10" ht="15" thickBot="1" x14ac:dyDescent="0.35">
      <c r="C55" s="6" t="s">
        <v>11</v>
      </c>
      <c r="D55" s="7">
        <v>50000</v>
      </c>
      <c r="F55" s="6" t="s">
        <v>11</v>
      </c>
      <c r="G55" s="7">
        <v>50000</v>
      </c>
      <c r="I55" s="6" t="s">
        <v>11</v>
      </c>
      <c r="J55" s="7">
        <v>50000</v>
      </c>
    </row>
  </sheetData>
  <scenarios current="2" show="2" sqref="D39">
    <scenario name="Optimistic" locked="1" count="5" user="Prashant Shrestha" comment="Created by Prashant Shrestha on 15/08/2021_x000a_Modified by Prashant Shrestha on 15/08/2021">
      <inputCells r="D5" val="0.3"/>
      <inputCells r="D6" val="3"/>
      <inputCells r="D8" val="0.15" numFmtId="9"/>
      <inputCells r="D9" val="1500000"/>
      <inputCells r="D11" val="0.03" numFmtId="9"/>
    </scenario>
    <scenario name="Pessimistic" locked="1" count="5" user="Prashant Shrestha" comment="Created by Prashant Shrestha on 15/08/2021">
      <inputCells r="D5" val="0.8"/>
      <inputCells r="D6" val="1"/>
      <inputCells r="D8" val="0.25" numFmtId="9"/>
      <inputCells r="D9" val="50000"/>
      <inputCells r="D11" val="0.08" numFmtId="9"/>
    </scenario>
    <scenario name="Realistic" locked="1" count="5" user="Prashant Shrestha" comment="Created by Prashant Shrestha on 15/08/2021">
      <inputCells r="D5" val="0.6"/>
      <inputCells r="D6" val="1.8"/>
      <inputCells r="D8" val="0.2" numFmtId="9"/>
      <inputCells r="D9" val="90000"/>
      <inputCells r="D11" val="0.05" numFmtId="9"/>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5" r:id="rId3" name="Button 5">
              <controlPr defaultSize="0" print="0" autoFill="0" autoPict="0" macro="[0]!Breakeven">
                <anchor moveWithCells="1" sizeWithCells="1">
                  <from>
                    <xdr:col>2</xdr:col>
                    <xdr:colOff>1402080</xdr:colOff>
                    <xdr:row>40</xdr:row>
                    <xdr:rowOff>15240</xdr:rowOff>
                  </from>
                  <to>
                    <xdr:col>4</xdr:col>
                    <xdr:colOff>68580</xdr:colOff>
                    <xdr:row>42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26A6-1D97-4DB2-B18D-7A345A1D8DD0}">
  <sheetPr codeName="Sheet3"/>
  <dimension ref="B1:E23"/>
  <sheetViews>
    <sheetView workbookViewId="0">
      <selection activeCell="C11" sqref="C11"/>
    </sheetView>
  </sheetViews>
  <sheetFormatPr defaultRowHeight="14.4" x14ac:dyDescent="0.3"/>
  <cols>
    <col min="2" max="2" width="23.21875" customWidth="1"/>
    <col min="3" max="3" width="12" bestFit="1" customWidth="1"/>
  </cols>
  <sheetData>
    <row r="1" spans="2:5" ht="15" thickBot="1" x14ac:dyDescent="0.35"/>
    <row r="2" spans="2:5" x14ac:dyDescent="0.3">
      <c r="B2" s="11" t="s">
        <v>55</v>
      </c>
      <c r="C2" s="60"/>
      <c r="D2" s="60"/>
      <c r="E2" s="61"/>
    </row>
    <row r="3" spans="2:5" ht="15" thickBot="1" x14ac:dyDescent="0.35">
      <c r="B3" s="64"/>
      <c r="C3" s="62" t="s">
        <v>59</v>
      </c>
      <c r="D3" s="62" t="s">
        <v>60</v>
      </c>
      <c r="E3" s="63" t="s">
        <v>61</v>
      </c>
    </row>
    <row r="4" spans="2:5" x14ac:dyDescent="0.3">
      <c r="B4" s="11" t="s">
        <v>1</v>
      </c>
      <c r="C4" s="65">
        <v>950000</v>
      </c>
      <c r="D4" s="65">
        <v>1500000</v>
      </c>
      <c r="E4" s="2">
        <f ca="1">C4+(D4-C4)*RAND()</f>
        <v>1417317.2411584661</v>
      </c>
    </row>
    <row r="5" spans="2:5" x14ac:dyDescent="0.3">
      <c r="B5" s="22" t="s">
        <v>56</v>
      </c>
      <c r="C5" s="58">
        <v>7.0000000000000007E-2</v>
      </c>
      <c r="D5" s="58">
        <v>0.2</v>
      </c>
      <c r="E5" s="4">
        <f t="shared" ref="E5:E8" ca="1" si="0">C5+(D5-C5)*RAND()</f>
        <v>8.0756453586258367E-2</v>
      </c>
    </row>
    <row r="6" spans="2:5" x14ac:dyDescent="0.3">
      <c r="B6" s="22" t="s">
        <v>57</v>
      </c>
      <c r="C6" s="57">
        <v>0.5</v>
      </c>
      <c r="D6" s="57">
        <v>1</v>
      </c>
      <c r="E6" s="4">
        <f t="shared" ca="1" si="0"/>
        <v>0.86050268307581967</v>
      </c>
    </row>
    <row r="7" spans="2:5" x14ac:dyDescent="0.3">
      <c r="B7" s="22" t="s">
        <v>34</v>
      </c>
      <c r="C7" s="57">
        <v>1</v>
      </c>
      <c r="D7" s="57">
        <v>2.5</v>
      </c>
      <c r="E7" s="4">
        <f t="shared" ca="1" si="0"/>
        <v>2.2181655233219102</v>
      </c>
    </row>
    <row r="8" spans="2:5" x14ac:dyDescent="0.3">
      <c r="B8" s="22" t="s">
        <v>58</v>
      </c>
      <c r="C8" s="58">
        <v>0.03</v>
      </c>
      <c r="D8" s="58">
        <v>0.08</v>
      </c>
      <c r="E8" s="4">
        <f t="shared" ca="1" si="0"/>
        <v>6.2676973725091373E-2</v>
      </c>
    </row>
    <row r="9" spans="2:5" ht="15" thickBot="1" x14ac:dyDescent="0.35">
      <c r="B9" s="64"/>
      <c r="C9" s="59"/>
      <c r="D9" s="59"/>
      <c r="E9" s="7"/>
    </row>
    <row r="10" spans="2:5" x14ac:dyDescent="0.3">
      <c r="B10" s="22" t="s">
        <v>62</v>
      </c>
      <c r="C10" s="57">
        <v>1000</v>
      </c>
      <c r="D10" s="55"/>
      <c r="E10" s="4"/>
    </row>
    <row r="11" spans="2:5" ht="15" thickBot="1" x14ac:dyDescent="0.35">
      <c r="B11" s="64"/>
      <c r="C11" s="59"/>
      <c r="D11" s="59"/>
      <c r="E11" s="7"/>
    </row>
    <row r="17" spans="2:3" ht="15" thickBot="1" x14ac:dyDescent="0.35"/>
    <row r="18" spans="2:3" x14ac:dyDescent="0.3">
      <c r="B18" s="11" t="s">
        <v>74</v>
      </c>
      <c r="C18" s="2">
        <f>MIN(Data)</f>
        <v>-1047648.6620161351</v>
      </c>
    </row>
    <row r="19" spans="2:3" x14ac:dyDescent="0.3">
      <c r="B19" s="22" t="s">
        <v>75</v>
      </c>
      <c r="C19" s="4">
        <f>MAX(Data)</f>
        <v>23596717.261503614</v>
      </c>
    </row>
    <row r="20" spans="2:3" x14ac:dyDescent="0.3">
      <c r="B20" s="22" t="s">
        <v>73</v>
      </c>
      <c r="C20" s="4">
        <f>_xlfn.STDEV.S(Data)</f>
        <v>4361993.0566716921</v>
      </c>
    </row>
    <row r="21" spans="2:3" x14ac:dyDescent="0.3">
      <c r="B21" s="22" t="s">
        <v>76</v>
      </c>
      <c r="C21" s="66">
        <f>(COUNTIF(Data,"&lt;0"))/$C$10</f>
        <v>2.1000000000000001E-2</v>
      </c>
    </row>
    <row r="22" spans="2:3" x14ac:dyDescent="0.3">
      <c r="B22" s="22" t="s">
        <v>77</v>
      </c>
      <c r="C22" s="66">
        <f>(COUNTIF(Data,"&gt;=0"))/$C$10</f>
        <v>0.97899999999999998</v>
      </c>
    </row>
    <row r="23" spans="2:3" ht="15" thickBot="1" x14ac:dyDescent="0.35">
      <c r="B23" s="64" t="s">
        <v>78</v>
      </c>
      <c r="C23" s="7">
        <f>SUMPRODUCT(MC_HI!F2:F52,MC_HI!H2:H52)/SUM(MC_HI!H2:H52)</f>
        <v>6196799.9999999991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3FC6E-90D6-4612-BA65-E13EC9EF5F02}">
  <sheetPr codeName="Sheet2">
    <tabColor rgb="FF00B050"/>
  </sheetPr>
  <dimension ref="A1:Y31"/>
  <sheetViews>
    <sheetView workbookViewId="0">
      <selection activeCell="B7" sqref="B7"/>
    </sheetView>
  </sheetViews>
  <sheetFormatPr defaultRowHeight="14.4" x14ac:dyDescent="0.3"/>
  <cols>
    <col min="1" max="1" width="25.5546875" customWidth="1"/>
    <col min="3" max="3" width="12" customWidth="1"/>
    <col min="4" max="4" width="10" customWidth="1"/>
    <col min="5" max="5" width="12.21875" customWidth="1"/>
    <col min="6" max="6" width="12.44140625" customWidth="1"/>
    <col min="7" max="7" width="11.88671875" customWidth="1"/>
    <col min="8" max="8" width="15.109375" customWidth="1"/>
    <col min="9" max="9" width="10.88671875" customWidth="1"/>
    <col min="10" max="10" width="11.5546875" bestFit="1" customWidth="1"/>
    <col min="11" max="11" width="10.33203125" customWidth="1"/>
    <col min="12" max="12" width="10" customWidth="1"/>
    <col min="13" max="13" width="9.6640625" customWidth="1"/>
    <col min="15" max="15" width="6.77734375" customWidth="1"/>
    <col min="16" max="16" width="7.21875" customWidth="1"/>
    <col min="17" max="17" width="6.88671875" customWidth="1"/>
    <col min="18" max="18" width="7.109375" customWidth="1"/>
    <col min="19" max="19" width="6.44140625" customWidth="1"/>
    <col min="20" max="20" width="6.6640625" customWidth="1"/>
    <col min="21" max="21" width="6.5546875" customWidth="1"/>
    <col min="22" max="22" width="6.6640625" customWidth="1"/>
    <col min="23" max="23" width="5.77734375" customWidth="1"/>
    <col min="24" max="24" width="6.33203125" customWidth="1"/>
    <col min="25" max="25" width="6.21875" customWidth="1"/>
  </cols>
  <sheetData>
    <row r="1" spans="1:25" x14ac:dyDescent="0.3">
      <c r="C1" s="27" t="s">
        <v>29</v>
      </c>
      <c r="D1" s="28"/>
      <c r="E1" s="28"/>
      <c r="F1" s="28"/>
      <c r="G1" s="28"/>
      <c r="H1" s="28"/>
      <c r="I1" s="28"/>
      <c r="J1" s="28"/>
      <c r="K1" s="28"/>
      <c r="L1" s="28"/>
      <c r="M1" s="28"/>
      <c r="O1" s="27" t="s">
        <v>30</v>
      </c>
      <c r="P1" s="28"/>
      <c r="Q1" s="28"/>
      <c r="R1" s="28"/>
      <c r="S1" s="28"/>
      <c r="T1" s="28"/>
      <c r="U1" s="28"/>
      <c r="V1" s="28"/>
      <c r="W1" s="28"/>
      <c r="X1" s="28"/>
      <c r="Y1" s="28"/>
    </row>
    <row r="2" spans="1:25" x14ac:dyDescent="0.3">
      <c r="A2" s="29" t="s">
        <v>31</v>
      </c>
      <c r="C2" s="30">
        <v>-0.5</v>
      </c>
      <c r="D2" s="30">
        <v>-0.4</v>
      </c>
      <c r="E2" s="30">
        <v>-0.3</v>
      </c>
      <c r="F2" s="30">
        <v>-0.2</v>
      </c>
      <c r="G2" s="30">
        <v>-0.1</v>
      </c>
      <c r="H2" s="30">
        <v>0</v>
      </c>
      <c r="I2" s="30">
        <v>0.1</v>
      </c>
      <c r="J2" s="30">
        <v>0.2</v>
      </c>
      <c r="K2" s="30">
        <v>0.3</v>
      </c>
      <c r="L2" s="30">
        <v>0.4</v>
      </c>
      <c r="M2" s="30">
        <v>0.5</v>
      </c>
      <c r="O2" s="30">
        <v>-0.5</v>
      </c>
      <c r="P2" s="30">
        <v>-0.4</v>
      </c>
      <c r="Q2" s="30">
        <v>-0.3</v>
      </c>
      <c r="R2" s="30">
        <v>-0.2</v>
      </c>
      <c r="S2" s="30">
        <v>-0.1</v>
      </c>
      <c r="T2" s="30">
        <v>0</v>
      </c>
      <c r="U2" s="30">
        <v>0.1</v>
      </c>
      <c r="V2" s="30">
        <v>0.2</v>
      </c>
      <c r="W2" s="30">
        <v>0.3</v>
      </c>
      <c r="X2" s="30">
        <v>0.4</v>
      </c>
      <c r="Y2" s="30">
        <v>0.5</v>
      </c>
    </row>
    <row r="3" spans="1:25" x14ac:dyDescent="0.3">
      <c r="A3" s="31" t="s">
        <v>13</v>
      </c>
      <c r="B3" s="32">
        <v>1</v>
      </c>
      <c r="C3" s="37">
        <v>8848858.1834290773</v>
      </c>
      <c r="D3" s="37">
        <v>8106647.9236820433</v>
      </c>
      <c r="E3" s="37">
        <v>7364437.6639350057</v>
      </c>
      <c r="F3" s="37">
        <v>6622227.4041879699</v>
      </c>
      <c r="G3" s="37">
        <v>5880017.1444409359</v>
      </c>
      <c r="H3" s="38">
        <f>Calculations!$D$36</f>
        <v>5137806.8846938945</v>
      </c>
      <c r="I3" s="37">
        <v>4395596.6249468606</v>
      </c>
      <c r="J3" s="37">
        <v>3653386.3651998257</v>
      </c>
      <c r="K3" s="37">
        <v>2911176.1054527881</v>
      </c>
      <c r="L3" s="37">
        <v>2168965.8457057513</v>
      </c>
      <c r="M3" s="37">
        <v>1426755.5859587118</v>
      </c>
      <c r="N3" s="33"/>
      <c r="O3" s="34">
        <v>0.25424407912726577</v>
      </c>
      <c r="P3" s="34">
        <v>0.21589919324791018</v>
      </c>
      <c r="Q3" s="34">
        <v>0.18631750306077666</v>
      </c>
      <c r="R3" s="34">
        <v>0.16262078613772823</v>
      </c>
      <c r="S3" s="34">
        <v>0.14310208076577058</v>
      </c>
      <c r="T3" s="35">
        <f>Calculations!$D$37</f>
        <v>0.12667651994041962</v>
      </c>
      <c r="U3" s="34">
        <v>0.11261707356691475</v>
      </c>
      <c r="V3" s="34">
        <v>0.10041566483959241</v>
      </c>
      <c r="W3" s="34">
        <v>8.9704967167789862E-2</v>
      </c>
      <c r="X3" s="34">
        <v>8.0211856407359061E-2</v>
      </c>
      <c r="Y3" s="34">
        <v>7.172841022865506E-2</v>
      </c>
    </row>
    <row r="4" spans="1:25" x14ac:dyDescent="0.3">
      <c r="A4" s="31" t="s">
        <v>33</v>
      </c>
      <c r="B4" s="32">
        <v>1</v>
      </c>
      <c r="C4" s="37">
        <v>5137806.8846938945</v>
      </c>
      <c r="D4" s="37">
        <v>5137806.8846938945</v>
      </c>
      <c r="E4" s="37">
        <v>5137806.8846938945</v>
      </c>
      <c r="F4" s="37">
        <v>5137806.8846938945</v>
      </c>
      <c r="G4" s="37">
        <v>5137806.8846938945</v>
      </c>
      <c r="H4" s="38">
        <f>Calculations!$D$36</f>
        <v>5137806.8846938945</v>
      </c>
      <c r="I4" s="37">
        <v>5137806.8846938945</v>
      </c>
      <c r="J4" s="37">
        <v>5137806.8846938945</v>
      </c>
      <c r="K4" s="37">
        <v>5137806.8846938945</v>
      </c>
      <c r="L4" s="37">
        <v>5137806.8846938945</v>
      </c>
      <c r="M4" s="37">
        <v>5137806.8846938945</v>
      </c>
      <c r="N4" s="33"/>
      <c r="O4" s="36">
        <v>0.12667651994041962</v>
      </c>
      <c r="P4" s="36">
        <v>0.12667651994041962</v>
      </c>
      <c r="Q4" s="36">
        <v>0.12667651994041962</v>
      </c>
      <c r="R4" s="36">
        <v>0.12667651994041962</v>
      </c>
      <c r="S4" s="36">
        <v>0.12667651994041962</v>
      </c>
      <c r="T4" s="35">
        <f>Calculations!$D$37</f>
        <v>0.12667651994041962</v>
      </c>
      <c r="U4" s="36">
        <v>0.12667651994041962</v>
      </c>
      <c r="V4" s="36">
        <v>0.12667651994041962</v>
      </c>
      <c r="W4" s="36">
        <v>0.12667651994041962</v>
      </c>
      <c r="X4" s="36">
        <v>0.12667651994041962</v>
      </c>
      <c r="Y4" s="36">
        <v>0.12667651994041962</v>
      </c>
    </row>
    <row r="5" spans="1:25" x14ac:dyDescent="0.3">
      <c r="A5" s="31" t="s">
        <v>34</v>
      </c>
      <c r="B5" s="32">
        <v>1</v>
      </c>
      <c r="C5" s="37">
        <v>-3480331.8159402967</v>
      </c>
      <c r="D5" s="37">
        <v>-1756704.0758134588</v>
      </c>
      <c r="E5" s="37">
        <v>-33076.335686622187</v>
      </c>
      <c r="F5" s="37">
        <v>1690551.4044402158</v>
      </c>
      <c r="G5" s="37">
        <v>3414179.1445670519</v>
      </c>
      <c r="H5" s="38">
        <f>Calculations!$D$36</f>
        <v>5137806.8846938945</v>
      </c>
      <c r="I5" s="37">
        <v>6861434.6248207279</v>
      </c>
      <c r="J5" s="37">
        <v>8585062.3649475649</v>
      </c>
      <c r="K5" s="37">
        <v>10308690.105074404</v>
      </c>
      <c r="L5" s="37">
        <v>12032317.845201246</v>
      </c>
      <c r="M5" s="37">
        <v>13755945.585328083</v>
      </c>
      <c r="N5" s="33"/>
      <c r="O5" s="36">
        <v>-6.6246198389341426E-4</v>
      </c>
      <c r="P5" s="36">
        <v>2.9875464778845728E-2</v>
      </c>
      <c r="Q5" s="36">
        <v>5.719368490569976E-2</v>
      </c>
      <c r="R5" s="36">
        <v>8.2102887478306963E-2</v>
      </c>
      <c r="S5" s="36">
        <v>0.10513943130205083</v>
      </c>
      <c r="T5" s="35">
        <f>Calculations!$D$37</f>
        <v>0.12667651994041962</v>
      </c>
      <c r="U5" s="36">
        <v>0.14698430912776761</v>
      </c>
      <c r="V5" s="36">
        <v>0.16626468446073628</v>
      </c>
      <c r="W5" s="36">
        <v>0.18467250992243467</v>
      </c>
      <c r="X5" s="36">
        <v>0.20232920352795691</v>
      </c>
      <c r="Y5" s="36">
        <v>0.21933174035883263</v>
      </c>
    </row>
    <row r="6" spans="1:25" x14ac:dyDescent="0.3">
      <c r="A6" s="31" t="s">
        <v>35</v>
      </c>
      <c r="B6" s="32">
        <v>1</v>
      </c>
      <c r="C6" s="37">
        <v>7292341.5598524418</v>
      </c>
      <c r="D6" s="37">
        <v>6861434.6248207334</v>
      </c>
      <c r="E6" s="37">
        <v>6430527.6897890251</v>
      </c>
      <c r="F6" s="37">
        <v>5999620.7547573131</v>
      </c>
      <c r="G6" s="37">
        <v>5568713.8197256029</v>
      </c>
      <c r="H6" s="38">
        <f>Calculations!$D$36</f>
        <v>5137806.8846938945</v>
      </c>
      <c r="I6" s="37">
        <v>4706899.9496621862</v>
      </c>
      <c r="J6" s="37">
        <v>4275993.014630476</v>
      </c>
      <c r="K6" s="37">
        <v>3845086.0795987677</v>
      </c>
      <c r="L6" s="37">
        <v>3414179.1445670594</v>
      </c>
      <c r="M6" s="37">
        <v>2983272.2095353492</v>
      </c>
      <c r="N6" s="33"/>
      <c r="O6" s="36">
        <v>0.15189399498966982</v>
      </c>
      <c r="P6" s="36">
        <v>0.14698430912776783</v>
      </c>
      <c r="Q6" s="36">
        <v>0.14201063483477494</v>
      </c>
      <c r="R6" s="36">
        <v>0.13697015578581917</v>
      </c>
      <c r="S6" s="36">
        <v>0.13185985974731529</v>
      </c>
      <c r="T6" s="35">
        <f>Calculations!$D$37</f>
        <v>0.12667651994041962</v>
      </c>
      <c r="U6" s="36">
        <v>0.12141667413490032</v>
      </c>
      <c r="V6" s="36">
        <v>0.11607660113406926</v>
      </c>
      <c r="W6" s="36">
        <v>0.11065229425085854</v>
      </c>
      <c r="X6" s="36">
        <v>0.10513943130205106</v>
      </c>
      <c r="Y6" s="36">
        <v>9.9533340558789263E-2</v>
      </c>
    </row>
    <row r="7" spans="1:25" x14ac:dyDescent="0.3">
      <c r="A7" s="31" t="s">
        <v>36</v>
      </c>
      <c r="B7" s="32">
        <v>1</v>
      </c>
      <c r="C7" s="37">
        <v>3614982.6404482815</v>
      </c>
      <c r="D7" s="37">
        <v>3919547.489297403</v>
      </c>
      <c r="E7" s="37">
        <v>4224112.3381465264</v>
      </c>
      <c r="F7" s="37">
        <v>4528677.1869956478</v>
      </c>
      <c r="G7" s="37">
        <v>4833242.0358447712</v>
      </c>
      <c r="H7" s="38">
        <f>Calculations!$D$36</f>
        <v>5137806.8846938945</v>
      </c>
      <c r="I7" s="37">
        <v>5442371.7335430142</v>
      </c>
      <c r="J7" s="37">
        <v>5746936.5823921375</v>
      </c>
      <c r="K7" s="37">
        <v>6051501.4312412608</v>
      </c>
      <c r="L7" s="37">
        <v>6356066.2800903842</v>
      </c>
      <c r="M7" s="37">
        <v>6660631.1289395057</v>
      </c>
      <c r="N7" s="33"/>
      <c r="O7" s="36">
        <v>0.10394791916208912</v>
      </c>
      <c r="P7" s="36">
        <v>0.10832972865322676</v>
      </c>
      <c r="Q7" s="36">
        <v>0.11279249329944885</v>
      </c>
      <c r="R7" s="36">
        <v>0.11733724950078872</v>
      </c>
      <c r="S7" s="36">
        <v>0.12196496276773572</v>
      </c>
      <c r="T7" s="35">
        <f>Calculations!$D$37</f>
        <v>0.12667651994041962</v>
      </c>
      <c r="U7" s="36">
        <v>0.13147272129286702</v>
      </c>
      <c r="V7" s="36">
        <v>0.13635427259263677</v>
      </c>
      <c r="W7" s="36">
        <v>0.14132177719480232</v>
      </c>
      <c r="X7" s="36">
        <v>0.14637572825734058</v>
      </c>
      <c r="Y7" s="36">
        <v>0.15151650117225035</v>
      </c>
    </row>
    <row r="8" spans="1:25" x14ac:dyDescent="0.3">
      <c r="C8" s="15"/>
      <c r="D8" s="15"/>
      <c r="E8" s="15"/>
      <c r="F8" s="15"/>
      <c r="G8" s="15"/>
      <c r="H8" s="15"/>
      <c r="I8" s="15"/>
      <c r="J8" s="15"/>
      <c r="K8" s="15"/>
      <c r="L8" s="15"/>
      <c r="M8" s="15"/>
      <c r="N8" s="33"/>
      <c r="O8" s="33"/>
      <c r="P8" s="33"/>
      <c r="Q8" s="33"/>
      <c r="R8" s="33"/>
      <c r="S8" s="33"/>
      <c r="T8" s="33"/>
      <c r="U8" s="33"/>
      <c r="V8" s="33"/>
      <c r="W8" s="33"/>
      <c r="X8" s="33"/>
      <c r="Y8" s="33"/>
    </row>
    <row r="9" spans="1:25" x14ac:dyDescent="0.3">
      <c r="C9" s="15"/>
      <c r="D9" s="15"/>
      <c r="E9" s="15"/>
      <c r="F9" s="15"/>
      <c r="G9" s="15"/>
      <c r="H9" s="15"/>
      <c r="I9" s="15"/>
      <c r="J9" s="15"/>
      <c r="K9" s="15"/>
      <c r="L9" s="15"/>
      <c r="M9" s="15"/>
      <c r="N9" s="33"/>
      <c r="O9" s="33"/>
      <c r="P9" s="33"/>
      <c r="Q9" s="33"/>
      <c r="R9" s="33"/>
      <c r="S9" s="33"/>
      <c r="T9" s="33"/>
      <c r="U9" s="33"/>
      <c r="V9" s="33"/>
      <c r="W9" s="33"/>
      <c r="X9" s="33"/>
      <c r="Y9" s="33"/>
    </row>
    <row r="10" spans="1:25" x14ac:dyDescent="0.3">
      <c r="C10" s="15"/>
      <c r="D10" s="15"/>
      <c r="E10" s="15"/>
      <c r="F10" s="15"/>
      <c r="G10" s="15"/>
      <c r="H10" s="15"/>
      <c r="I10" s="15"/>
      <c r="J10" s="15"/>
      <c r="K10" s="15"/>
      <c r="L10" s="15"/>
      <c r="M10" s="15"/>
    </row>
    <row r="31" spans="1:1" x14ac:dyDescent="0.3">
      <c r="A31"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ensitivity">
                <anchor moveWithCells="1" sizeWithCells="1">
                  <from>
                    <xdr:col>0</xdr:col>
                    <xdr:colOff>152400</xdr:colOff>
                    <xdr:row>10</xdr:row>
                    <xdr:rowOff>99060</xdr:rowOff>
                  </from>
                  <to>
                    <xdr:col>0</xdr:col>
                    <xdr:colOff>1379220</xdr:colOff>
                    <xdr:row>12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B2A5-8585-4C37-85D1-4FE52ECA6477}">
  <sheetPr codeName="Sheet5">
    <outlinePr summaryBelow="0"/>
  </sheetPr>
  <dimension ref="B1:G15"/>
  <sheetViews>
    <sheetView showGridLines="0" workbookViewId="0">
      <selection activeCell="B2" sqref="B2:G12"/>
    </sheetView>
  </sheetViews>
  <sheetFormatPr defaultRowHeight="14.4" outlineLevelRow="1" outlineLevelCol="1" x14ac:dyDescent="0.3"/>
  <cols>
    <col min="3" max="3" width="14.6640625" bestFit="1" customWidth="1"/>
    <col min="4" max="7" width="13.109375" bestFit="1" customWidth="1" outlineLevel="1"/>
  </cols>
  <sheetData>
    <row r="1" spans="2:7" ht="15" thickBot="1" x14ac:dyDescent="0.35"/>
    <row r="2" spans="2:7" ht="15.6" x14ac:dyDescent="0.3">
      <c r="B2" s="44" t="s">
        <v>48</v>
      </c>
      <c r="C2" s="44"/>
      <c r="D2" s="49"/>
      <c r="E2" s="49"/>
      <c r="F2" s="49"/>
      <c r="G2" s="49"/>
    </row>
    <row r="3" spans="2:7" ht="15.6" collapsed="1" x14ac:dyDescent="0.3">
      <c r="B3" s="43"/>
      <c r="C3" s="43"/>
      <c r="D3" s="50" t="s">
        <v>50</v>
      </c>
      <c r="E3" s="50" t="s">
        <v>43</v>
      </c>
      <c r="F3" s="50" t="s">
        <v>45</v>
      </c>
      <c r="G3" s="50" t="s">
        <v>47</v>
      </c>
    </row>
    <row r="4" spans="2:7" ht="61.2" hidden="1" outlineLevel="1" x14ac:dyDescent="0.3">
      <c r="B4" s="46"/>
      <c r="C4" s="46"/>
      <c r="D4" s="40"/>
      <c r="E4" s="53" t="s">
        <v>44</v>
      </c>
      <c r="F4" s="53" t="s">
        <v>46</v>
      </c>
      <c r="G4" s="53" t="s">
        <v>46</v>
      </c>
    </row>
    <row r="5" spans="2:7" x14ac:dyDescent="0.3">
      <c r="B5" s="47" t="s">
        <v>49</v>
      </c>
      <c r="C5" s="47"/>
      <c r="D5" s="45"/>
      <c r="E5" s="45"/>
      <c r="F5" s="45"/>
      <c r="G5" s="45"/>
    </row>
    <row r="6" spans="2:7" outlineLevel="1" x14ac:dyDescent="0.3">
      <c r="B6" s="46"/>
      <c r="C6" s="46" t="s">
        <v>37</v>
      </c>
      <c r="D6" s="40">
        <v>0.6</v>
      </c>
      <c r="E6" s="51">
        <v>0.3</v>
      </c>
      <c r="F6" s="51">
        <v>0.8</v>
      </c>
      <c r="G6" s="51">
        <v>0.6</v>
      </c>
    </row>
    <row r="7" spans="2:7" outlineLevel="1" x14ac:dyDescent="0.3">
      <c r="B7" s="46"/>
      <c r="C7" s="46" t="s">
        <v>38</v>
      </c>
      <c r="D7" s="40">
        <v>1.8</v>
      </c>
      <c r="E7" s="51">
        <v>3</v>
      </c>
      <c r="F7" s="51">
        <v>1</v>
      </c>
      <c r="G7" s="51">
        <v>1.8</v>
      </c>
    </row>
    <row r="8" spans="2:7" outlineLevel="1" x14ac:dyDescent="0.3">
      <c r="B8" s="46"/>
      <c r="C8" s="46" t="s">
        <v>39</v>
      </c>
      <c r="D8" s="41">
        <v>0.2</v>
      </c>
      <c r="E8" s="52">
        <v>0.15</v>
      </c>
      <c r="F8" s="52">
        <v>0.25</v>
      </c>
      <c r="G8" s="52">
        <v>0.2</v>
      </c>
    </row>
    <row r="9" spans="2:7" outlineLevel="1" x14ac:dyDescent="0.3">
      <c r="B9" s="46"/>
      <c r="C9" s="46" t="s">
        <v>40</v>
      </c>
      <c r="D9" s="40">
        <v>90000</v>
      </c>
      <c r="E9" s="51">
        <v>1500000</v>
      </c>
      <c r="F9" s="51">
        <v>50000</v>
      </c>
      <c r="G9" s="51">
        <v>90000</v>
      </c>
    </row>
    <row r="10" spans="2:7" outlineLevel="1" x14ac:dyDescent="0.3">
      <c r="B10" s="46"/>
      <c r="C10" s="46" t="s">
        <v>41</v>
      </c>
      <c r="D10" s="41">
        <v>0.05</v>
      </c>
      <c r="E10" s="52">
        <v>0.03</v>
      </c>
      <c r="F10" s="52">
        <v>0.08</v>
      </c>
      <c r="G10" s="52">
        <v>0.05</v>
      </c>
    </row>
    <row r="11" spans="2:7" x14ac:dyDescent="0.3">
      <c r="B11" s="47" t="s">
        <v>51</v>
      </c>
      <c r="C11" s="47"/>
      <c r="D11" s="45"/>
      <c r="E11" s="45"/>
      <c r="F11" s="45"/>
      <c r="G11" s="45"/>
    </row>
    <row r="12" spans="2:7" ht="15" outlineLevel="1" thickBot="1" x14ac:dyDescent="0.35">
      <c r="B12" s="48"/>
      <c r="C12" s="48" t="s">
        <v>42</v>
      </c>
      <c r="D12" s="42">
        <v>12.0281776875281</v>
      </c>
      <c r="E12" s="42">
        <v>4.5395735392187504</v>
      </c>
      <c r="F12" s="42">
        <v>19.624706089746802</v>
      </c>
      <c r="G12" s="42">
        <v>12.0281776875281</v>
      </c>
    </row>
    <row r="13" spans="2:7" x14ac:dyDescent="0.3">
      <c r="B13" t="s">
        <v>52</v>
      </c>
    </row>
    <row r="14" spans="2:7" x14ac:dyDescent="0.3">
      <c r="B14" t="s">
        <v>53</v>
      </c>
    </row>
    <row r="15" spans="2:7" x14ac:dyDescent="0.3">
      <c r="B15" t="s">
        <v>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982D1-F602-4928-9482-739380537A29}">
  <sheetPr codeName="Sheet11"/>
  <dimension ref="B1:G41"/>
  <sheetViews>
    <sheetView showGridLines="0" topLeftCell="A22" workbookViewId="0">
      <selection activeCell="E8" sqref="E8"/>
    </sheetView>
  </sheetViews>
  <sheetFormatPr defaultRowHeight="14.4" x14ac:dyDescent="0.3"/>
  <cols>
    <col min="1" max="1" width="3.33203125" style="67" customWidth="1"/>
    <col min="2" max="3" width="20.21875" style="67" customWidth="1"/>
    <col min="4" max="16384" width="8.88671875" style="67"/>
  </cols>
  <sheetData>
    <row r="1" spans="2:3" ht="21" x14ac:dyDescent="0.4">
      <c r="C1" s="68" t="s">
        <v>87</v>
      </c>
    </row>
    <row r="2" spans="2:3" ht="15" thickBot="1" x14ac:dyDescent="0.35"/>
    <row r="3" spans="2:3" x14ac:dyDescent="0.3">
      <c r="B3" s="69" t="str">
        <f>MC_SIM!B18</f>
        <v>Minimum NPV</v>
      </c>
      <c r="C3" s="70">
        <f>MC_SIM!C18</f>
        <v>-1047648.6620161351</v>
      </c>
    </row>
    <row r="4" spans="2:3" x14ac:dyDescent="0.3">
      <c r="B4" s="71" t="str">
        <f>MC_SIM!B19</f>
        <v>Maximum NPV</v>
      </c>
      <c r="C4" s="72">
        <f>MC_SIM!C19</f>
        <v>23596717.261503614</v>
      </c>
    </row>
    <row r="5" spans="2:3" x14ac:dyDescent="0.3">
      <c r="B5" s="71" t="str">
        <f>MC_SIM!B20</f>
        <v>Standard Deviation</v>
      </c>
      <c r="C5" s="72">
        <f>MC_SIM!C20</f>
        <v>4361993.0566716921</v>
      </c>
    </row>
    <row r="6" spans="2:3" x14ac:dyDescent="0.3">
      <c r="B6" s="71" t="str">
        <f>MC_SIM!B21</f>
        <v>Share of Negetive NPVs</v>
      </c>
      <c r="C6" s="72">
        <f>MC_SIM!C21</f>
        <v>2.1000000000000001E-2</v>
      </c>
    </row>
    <row r="7" spans="2:3" x14ac:dyDescent="0.3">
      <c r="B7" s="71" t="str">
        <f>MC_SIM!B22</f>
        <v xml:space="preserve">Share of Positive NPVs </v>
      </c>
      <c r="C7" s="72">
        <f>MC_SIM!C22</f>
        <v>0.97899999999999998</v>
      </c>
    </row>
    <row r="8" spans="2:3" ht="15" thickBot="1" x14ac:dyDescent="0.35">
      <c r="B8" s="73" t="str">
        <f>MC_SIM!B23</f>
        <v>Expected NPVs</v>
      </c>
      <c r="C8" s="74">
        <f>MC_SIM!C23</f>
        <v>6196799.9999999991</v>
      </c>
    </row>
    <row r="30" spans="2:7" ht="15" thickBot="1" x14ac:dyDescent="0.35"/>
    <row r="31" spans="2:7" ht="15.6" x14ac:dyDescent="0.3">
      <c r="B31" s="75" t="s">
        <v>48</v>
      </c>
      <c r="C31" s="75"/>
      <c r="D31" s="76"/>
      <c r="E31" s="76"/>
      <c r="F31" s="76"/>
      <c r="G31" s="76"/>
    </row>
    <row r="32" spans="2:7" ht="15.6" x14ac:dyDescent="0.3">
      <c r="B32" s="77"/>
      <c r="C32" s="77"/>
      <c r="D32" s="78" t="s">
        <v>50</v>
      </c>
      <c r="E32" s="78" t="s">
        <v>43</v>
      </c>
      <c r="F32" s="78" t="s">
        <v>45</v>
      </c>
      <c r="G32" s="78" t="s">
        <v>47</v>
      </c>
    </row>
    <row r="33" spans="2:7" ht="81.599999999999994" hidden="1" x14ac:dyDescent="0.3">
      <c r="B33" s="79"/>
      <c r="C33" s="79"/>
      <c r="D33" s="80"/>
      <c r="E33" s="81" t="s">
        <v>44</v>
      </c>
      <c r="F33" s="81" t="s">
        <v>46</v>
      </c>
      <c r="G33" s="81" t="s">
        <v>46</v>
      </c>
    </row>
    <row r="34" spans="2:7" x14ac:dyDescent="0.3">
      <c r="B34" s="82" t="s">
        <v>49</v>
      </c>
      <c r="C34" s="82"/>
      <c r="D34" s="83"/>
      <c r="E34" s="83"/>
      <c r="F34" s="83"/>
      <c r="G34" s="83"/>
    </row>
    <row r="35" spans="2:7" x14ac:dyDescent="0.3">
      <c r="B35" s="79"/>
      <c r="C35" s="79" t="s">
        <v>37</v>
      </c>
      <c r="D35" s="80">
        <v>0.6</v>
      </c>
      <c r="E35" s="84">
        <v>0.3</v>
      </c>
      <c r="F35" s="84">
        <v>0.8</v>
      </c>
      <c r="G35" s="84">
        <v>0.6</v>
      </c>
    </row>
    <row r="36" spans="2:7" x14ac:dyDescent="0.3">
      <c r="B36" s="79"/>
      <c r="C36" s="79" t="s">
        <v>38</v>
      </c>
      <c r="D36" s="80">
        <v>1.8</v>
      </c>
      <c r="E36" s="84">
        <v>3</v>
      </c>
      <c r="F36" s="84">
        <v>1</v>
      </c>
      <c r="G36" s="84">
        <v>1.8</v>
      </c>
    </row>
    <row r="37" spans="2:7" x14ac:dyDescent="0.3">
      <c r="B37" s="79"/>
      <c r="C37" s="79" t="s">
        <v>39</v>
      </c>
      <c r="D37" s="85">
        <v>0.2</v>
      </c>
      <c r="E37" s="86">
        <v>0.15</v>
      </c>
      <c r="F37" s="86">
        <v>0.25</v>
      </c>
      <c r="G37" s="86">
        <v>0.2</v>
      </c>
    </row>
    <row r="38" spans="2:7" x14ac:dyDescent="0.3">
      <c r="B38" s="79"/>
      <c r="C38" s="79" t="s">
        <v>40</v>
      </c>
      <c r="D38" s="80">
        <v>90000</v>
      </c>
      <c r="E38" s="84">
        <v>1500000</v>
      </c>
      <c r="F38" s="84">
        <v>50000</v>
      </c>
      <c r="G38" s="84">
        <v>90000</v>
      </c>
    </row>
    <row r="39" spans="2:7" x14ac:dyDescent="0.3">
      <c r="B39" s="79"/>
      <c r="C39" s="79" t="s">
        <v>41</v>
      </c>
      <c r="D39" s="85">
        <v>0.05</v>
      </c>
      <c r="E39" s="86">
        <v>0.03</v>
      </c>
      <c r="F39" s="86">
        <v>0.08</v>
      </c>
      <c r="G39" s="86">
        <v>0.05</v>
      </c>
    </row>
    <row r="40" spans="2:7" x14ac:dyDescent="0.3">
      <c r="B40" s="82" t="s">
        <v>51</v>
      </c>
      <c r="C40" s="82"/>
      <c r="D40" s="83"/>
      <c r="E40" s="83"/>
      <c r="F40" s="83"/>
      <c r="G40" s="83"/>
    </row>
    <row r="41" spans="2:7" ht="15" thickBot="1" x14ac:dyDescent="0.35">
      <c r="B41" s="87"/>
      <c r="C41" s="87" t="s">
        <v>42</v>
      </c>
      <c r="D41" s="88">
        <v>12.0281776875281</v>
      </c>
      <c r="E41" s="88">
        <v>4.5395735392187504</v>
      </c>
      <c r="F41" s="88">
        <v>19.624706089746802</v>
      </c>
      <c r="G41" s="88">
        <v>12.0281776875281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df">
                <anchor moveWithCells="1" sizeWithCells="1">
                  <from>
                    <xdr:col>3</xdr:col>
                    <xdr:colOff>586740</xdr:colOff>
                    <xdr:row>3</xdr:row>
                    <xdr:rowOff>22860</xdr:rowOff>
                  </from>
                  <to>
                    <xdr:col>6</xdr:col>
                    <xdr:colOff>60960</xdr:colOff>
                    <xdr:row>5</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60BC0-A27B-4B8A-8193-F510EFD4EF5B}">
  <sheetPr codeName="Sheet9"/>
  <dimension ref="A1:B11"/>
  <sheetViews>
    <sheetView showGridLines="0" workbookViewId="0">
      <selection activeCell="C2" sqref="C2"/>
    </sheetView>
  </sheetViews>
  <sheetFormatPr defaultRowHeight="14.4" x14ac:dyDescent="0.3"/>
  <cols>
    <col min="2" max="2" width="95.109375" customWidth="1"/>
  </cols>
  <sheetData>
    <row r="1" spans="1:2" x14ac:dyDescent="0.3">
      <c r="A1">
        <v>1</v>
      </c>
      <c r="B1" s="54" t="s">
        <v>79</v>
      </c>
    </row>
    <row r="2" spans="1:2" ht="43.2" x14ac:dyDescent="0.3">
      <c r="B2" s="39" t="s">
        <v>80</v>
      </c>
    </row>
    <row r="4" spans="1:2" x14ac:dyDescent="0.3">
      <c r="A4">
        <v>2</v>
      </c>
      <c r="B4" s="54" t="s">
        <v>81</v>
      </c>
    </row>
    <row r="5" spans="1:2" ht="28.8" x14ac:dyDescent="0.3">
      <c r="B5" s="39" t="s">
        <v>82</v>
      </c>
    </row>
    <row r="7" spans="1:2" x14ac:dyDescent="0.3">
      <c r="A7">
        <v>3</v>
      </c>
      <c r="B7" s="54" t="s">
        <v>83</v>
      </c>
    </row>
    <row r="8" spans="1:2" ht="28.8" x14ac:dyDescent="0.3">
      <c r="B8" s="39" t="s">
        <v>84</v>
      </c>
    </row>
    <row r="10" spans="1:2" x14ac:dyDescent="0.3">
      <c r="A10">
        <v>4</v>
      </c>
      <c r="B10" s="54" t="s">
        <v>85</v>
      </c>
    </row>
    <row r="11" spans="1:2" x14ac:dyDescent="0.3">
      <c r="B11" t="s">
        <v>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21E39-2974-4154-A6C4-6171E184EE42}">
  <sheetPr codeName="Sheet6"/>
  <dimension ref="C1:AD40"/>
  <sheetViews>
    <sheetView topLeftCell="A4" zoomScale="71" zoomScaleNormal="100" workbookViewId="0">
      <selection activeCell="F8" sqref="F8"/>
    </sheetView>
  </sheetViews>
  <sheetFormatPr defaultRowHeight="14.4" x14ac:dyDescent="0.3"/>
  <cols>
    <col min="3" max="3" width="28.77734375" customWidth="1"/>
    <col min="4" max="4" width="15.33203125" customWidth="1"/>
    <col min="5" max="5" width="13.5546875" bestFit="1" customWidth="1"/>
    <col min="6" max="6" width="24.6640625" customWidth="1"/>
    <col min="7" max="7" width="13.5546875" customWidth="1"/>
    <col min="8" max="8" width="13.5546875" bestFit="1" customWidth="1"/>
    <col min="9" max="9" width="26.21875" customWidth="1"/>
    <col min="10" max="10" width="12.77734375" customWidth="1"/>
    <col min="11" max="13" width="12.77734375" bestFit="1" customWidth="1"/>
    <col min="14" max="16" width="13.88671875" bestFit="1" customWidth="1"/>
    <col min="17" max="17" width="12.109375" customWidth="1"/>
  </cols>
  <sheetData>
    <row r="1" spans="3:17" ht="15" thickBot="1" x14ac:dyDescent="0.35"/>
    <row r="2" spans="3:17" x14ac:dyDescent="0.3">
      <c r="C2" s="1" t="s">
        <v>0</v>
      </c>
      <c r="D2" s="2">
        <v>13</v>
      </c>
    </row>
    <row r="3" spans="3:17" x14ac:dyDescent="0.3">
      <c r="C3" s="3" t="s">
        <v>1</v>
      </c>
      <c r="D3" s="4">
        <f ca="1">MC_SIM!E4</f>
        <v>1417317.2411584661</v>
      </c>
    </row>
    <row r="4" spans="3:17" x14ac:dyDescent="0.3">
      <c r="C4" s="3" t="s">
        <v>2</v>
      </c>
      <c r="D4" s="5">
        <f ca="1">MC_SIM!E5</f>
        <v>8.0756453586258367E-2</v>
      </c>
    </row>
    <row r="5" spans="3:17" x14ac:dyDescent="0.3">
      <c r="C5" s="3" t="s">
        <v>3</v>
      </c>
      <c r="D5" s="4">
        <f ca="1">MC_SIM!E6</f>
        <v>0.86050268307581967</v>
      </c>
    </row>
    <row r="6" spans="3:17" x14ac:dyDescent="0.3">
      <c r="C6" s="3" t="s">
        <v>4</v>
      </c>
      <c r="D6" s="4">
        <f ca="1">MC_SIM!E7</f>
        <v>2.2181655233219102</v>
      </c>
    </row>
    <row r="7" spans="3:17" x14ac:dyDescent="0.3">
      <c r="C7" s="3" t="s">
        <v>5</v>
      </c>
      <c r="D7" s="4">
        <f ca="1">D3/D2</f>
        <v>109024.40316603586</v>
      </c>
    </row>
    <row r="8" spans="3:17" x14ac:dyDescent="0.3">
      <c r="C8" s="3" t="s">
        <v>6</v>
      </c>
      <c r="D8" s="5">
        <v>0.2</v>
      </c>
    </row>
    <row r="9" spans="3:17" x14ac:dyDescent="0.3">
      <c r="C9" s="3" t="s">
        <v>7</v>
      </c>
      <c r="D9" s="4">
        <v>1000000</v>
      </c>
    </row>
    <row r="10" spans="3:17" x14ac:dyDescent="0.3">
      <c r="C10" s="3" t="s">
        <v>8</v>
      </c>
      <c r="D10" s="4">
        <v>1500000</v>
      </c>
    </row>
    <row r="11" spans="3:17" x14ac:dyDescent="0.3">
      <c r="C11" s="3" t="s">
        <v>9</v>
      </c>
      <c r="D11" s="5">
        <f ca="1">MC_SIM!E8</f>
        <v>6.2676973725091373E-2</v>
      </c>
    </row>
    <row r="12" spans="3:17" x14ac:dyDescent="0.3">
      <c r="C12" s="3" t="s">
        <v>10</v>
      </c>
      <c r="D12" s="5">
        <f ca="1">(1+D4)/(1+D11)-1</f>
        <v>1.7013147276346396E-2</v>
      </c>
    </row>
    <row r="13" spans="3:17" ht="15" thickBot="1" x14ac:dyDescent="0.35">
      <c r="C13" s="6" t="s">
        <v>11</v>
      </c>
      <c r="D13" s="7">
        <v>50000</v>
      </c>
    </row>
    <row r="14" spans="3:17" ht="15" thickBot="1" x14ac:dyDescent="0.35"/>
    <row r="15" spans="3:17" ht="15" thickBot="1" x14ac:dyDescent="0.35">
      <c r="C15" s="8" t="s">
        <v>12</v>
      </c>
      <c r="D15" s="9">
        <v>0</v>
      </c>
      <c r="E15" s="9">
        <v>1</v>
      </c>
      <c r="F15" s="9">
        <v>2</v>
      </c>
      <c r="G15" s="9">
        <v>3</v>
      </c>
      <c r="H15" s="9">
        <v>4</v>
      </c>
      <c r="I15" s="9">
        <v>5</v>
      </c>
      <c r="J15" s="9">
        <v>6</v>
      </c>
      <c r="K15" s="9">
        <v>7</v>
      </c>
      <c r="L15" s="9">
        <v>8</v>
      </c>
      <c r="M15" s="9">
        <v>9</v>
      </c>
      <c r="N15" s="9">
        <v>10</v>
      </c>
      <c r="O15" s="9">
        <v>11</v>
      </c>
      <c r="P15" s="9">
        <v>12</v>
      </c>
      <c r="Q15" s="10">
        <v>13</v>
      </c>
    </row>
    <row r="16" spans="3:17" x14ac:dyDescent="0.3">
      <c r="C16" s="11" t="s">
        <v>13</v>
      </c>
      <c r="D16" s="12"/>
      <c r="E16" s="12"/>
      <c r="F16" s="12"/>
      <c r="G16" s="12"/>
      <c r="H16" s="12"/>
      <c r="I16" s="12"/>
      <c r="J16" s="12"/>
      <c r="K16" s="12"/>
      <c r="L16" s="12"/>
      <c r="M16" s="12"/>
      <c r="N16" s="12"/>
      <c r="O16" s="12"/>
      <c r="P16" s="12"/>
      <c r="Q16" s="13"/>
    </row>
    <row r="17" spans="3:30" x14ac:dyDescent="0.3">
      <c r="C17" s="14" t="s">
        <v>1</v>
      </c>
      <c r="D17" s="15">
        <f ca="1">-$D$3/2</f>
        <v>-708658.62057923304</v>
      </c>
      <c r="E17" s="15">
        <f ca="1">-$D$3/2</f>
        <v>-708658.62057923304</v>
      </c>
      <c r="F17" s="15">
        <v>0</v>
      </c>
      <c r="G17" s="15">
        <v>0</v>
      </c>
      <c r="H17" s="15">
        <v>0</v>
      </c>
      <c r="I17" s="15">
        <v>0</v>
      </c>
      <c r="J17" s="15">
        <v>0</v>
      </c>
      <c r="K17" s="15">
        <v>0</v>
      </c>
      <c r="L17" s="15">
        <v>0</v>
      </c>
      <c r="M17" s="15">
        <v>0</v>
      </c>
      <c r="N17" s="15">
        <v>0</v>
      </c>
      <c r="O17" s="15">
        <v>0</v>
      </c>
      <c r="P17" s="15">
        <v>0</v>
      </c>
      <c r="Q17" s="16">
        <v>0</v>
      </c>
    </row>
    <row r="18" spans="3:30" x14ac:dyDescent="0.3">
      <c r="C18" s="14" t="s">
        <v>11</v>
      </c>
      <c r="D18" s="15">
        <f>-$D$13</f>
        <v>-50000</v>
      </c>
      <c r="E18" s="15">
        <f t="shared" ref="E18:H18" si="0">-$D$13</f>
        <v>-50000</v>
      </c>
      <c r="F18" s="15">
        <f t="shared" si="0"/>
        <v>-50000</v>
      </c>
      <c r="G18" s="15">
        <f t="shared" si="0"/>
        <v>-50000</v>
      </c>
      <c r="H18" s="15">
        <f t="shared" si="0"/>
        <v>-50000</v>
      </c>
      <c r="I18" s="15">
        <v>0</v>
      </c>
      <c r="J18" s="15">
        <v>0</v>
      </c>
      <c r="K18" s="15">
        <v>0</v>
      </c>
      <c r="L18" s="15">
        <f>-$D$13</f>
        <v>-50000</v>
      </c>
      <c r="M18" s="15">
        <f t="shared" ref="M18:P18" si="1">-$D$13</f>
        <v>-50000</v>
      </c>
      <c r="N18" s="15">
        <f t="shared" si="1"/>
        <v>-50000</v>
      </c>
      <c r="O18" s="15">
        <f t="shared" si="1"/>
        <v>-50000</v>
      </c>
      <c r="P18" s="15">
        <f t="shared" si="1"/>
        <v>-50000</v>
      </c>
      <c r="Q18" s="15">
        <v>0</v>
      </c>
    </row>
    <row r="19" spans="3:30" x14ac:dyDescent="0.3">
      <c r="C19" s="14" t="s">
        <v>14</v>
      </c>
      <c r="D19" s="15">
        <v>0</v>
      </c>
      <c r="E19" s="15">
        <v>0</v>
      </c>
      <c r="F19" s="15">
        <v>0</v>
      </c>
      <c r="G19" s="15">
        <v>0</v>
      </c>
      <c r="H19" s="15">
        <v>0</v>
      </c>
      <c r="I19" s="15">
        <v>0</v>
      </c>
      <c r="J19" s="15">
        <v>0</v>
      </c>
      <c r="K19" s="15">
        <v>0</v>
      </c>
      <c r="L19" s="15">
        <v>0</v>
      </c>
      <c r="M19" s="15">
        <v>0</v>
      </c>
      <c r="N19" s="15">
        <v>0</v>
      </c>
      <c r="O19" s="15">
        <v>0</v>
      </c>
      <c r="P19" s="15">
        <v>0</v>
      </c>
      <c r="Q19" s="16" cm="1">
        <f t="array" aca="1" ref="Q19" ca="1">_xlfn.ANCHORARRAY(D7)</f>
        <v>109024.40316603586</v>
      </c>
    </row>
    <row r="20" spans="3:30" ht="15" thickBot="1" x14ac:dyDescent="0.35">
      <c r="C20" s="17" t="s">
        <v>5</v>
      </c>
      <c r="D20" s="18">
        <v>0</v>
      </c>
      <c r="E20" s="18">
        <f ca="1">-$D$7</f>
        <v>-109024.40316603586</v>
      </c>
      <c r="F20" s="18">
        <f t="shared" ref="F20:P20" ca="1" si="2">-$D$7</f>
        <v>-109024.40316603586</v>
      </c>
      <c r="G20" s="18">
        <f t="shared" ca="1" si="2"/>
        <v>-109024.40316603586</v>
      </c>
      <c r="H20" s="18">
        <f t="shared" ca="1" si="2"/>
        <v>-109024.40316603586</v>
      </c>
      <c r="I20" s="18">
        <f t="shared" ca="1" si="2"/>
        <v>-109024.40316603586</v>
      </c>
      <c r="J20" s="18">
        <f t="shared" ca="1" si="2"/>
        <v>-109024.40316603586</v>
      </c>
      <c r="K20" s="18">
        <f t="shared" ca="1" si="2"/>
        <v>-109024.40316603586</v>
      </c>
      <c r="L20" s="18">
        <f t="shared" ca="1" si="2"/>
        <v>-109024.40316603586</v>
      </c>
      <c r="M20" s="18">
        <f t="shared" ca="1" si="2"/>
        <v>-109024.40316603586</v>
      </c>
      <c r="N20" s="18">
        <f t="shared" ca="1" si="2"/>
        <v>-109024.40316603586</v>
      </c>
      <c r="O20" s="18">
        <f t="shared" ca="1" si="2"/>
        <v>-109024.40316603586</v>
      </c>
      <c r="P20" s="18">
        <f t="shared" ca="1" si="2"/>
        <v>-109024.40316603586</v>
      </c>
      <c r="Q20" s="19">
        <v>0</v>
      </c>
    </row>
    <row r="21" spans="3:30" ht="15" thickBot="1" x14ac:dyDescent="0.35">
      <c r="C21" s="14"/>
      <c r="D21" s="15"/>
      <c r="E21" s="15"/>
      <c r="F21" s="15"/>
      <c r="G21" s="15"/>
      <c r="H21" s="15"/>
      <c r="I21" s="15"/>
      <c r="J21" s="15"/>
      <c r="K21" s="15"/>
      <c r="L21" s="15"/>
      <c r="M21" s="15"/>
      <c r="N21" s="15"/>
      <c r="O21" s="15"/>
      <c r="P21" s="15"/>
      <c r="Q21" s="16"/>
    </row>
    <row r="22" spans="3:30" x14ac:dyDescent="0.3">
      <c r="C22" s="11" t="s">
        <v>15</v>
      </c>
      <c r="D22" s="12"/>
      <c r="E22" s="12"/>
      <c r="F22" s="12"/>
      <c r="G22" s="12"/>
      <c r="H22" s="12"/>
      <c r="I22" s="12"/>
      <c r="J22" s="12"/>
      <c r="K22" s="12"/>
      <c r="L22" s="12"/>
      <c r="M22" s="12"/>
      <c r="N22" s="12"/>
      <c r="O22" s="12"/>
      <c r="P22" s="12"/>
      <c r="Q22" s="13"/>
    </row>
    <row r="23" spans="3:30" x14ac:dyDescent="0.3">
      <c r="C23" s="14" t="s">
        <v>16</v>
      </c>
      <c r="D23" s="15">
        <v>0</v>
      </c>
      <c r="E23" s="15">
        <v>0</v>
      </c>
      <c r="F23" s="15">
        <f ca="1">$D$9*$D$6</f>
        <v>2218165.5233219103</v>
      </c>
      <c r="G23" s="15">
        <f t="shared" ref="G23:H23" ca="1" si="3">$D$9*$D$6</f>
        <v>2218165.5233219103</v>
      </c>
      <c r="H23" s="15">
        <f t="shared" ca="1" si="3"/>
        <v>2218165.5233219103</v>
      </c>
      <c r="I23" s="15">
        <f ca="1">$D$10*$D$6</f>
        <v>3327248.2849828652</v>
      </c>
      <c r="J23" s="15">
        <f t="shared" ref="J23:Q23" ca="1" si="4">$D$10*$D$6</f>
        <v>3327248.2849828652</v>
      </c>
      <c r="K23" s="15">
        <f t="shared" ca="1" si="4"/>
        <v>3327248.2849828652</v>
      </c>
      <c r="L23" s="15">
        <f t="shared" ca="1" si="4"/>
        <v>3327248.2849828652</v>
      </c>
      <c r="M23" s="15">
        <f t="shared" ca="1" si="4"/>
        <v>3327248.2849828652</v>
      </c>
      <c r="N23" s="15">
        <f t="shared" ca="1" si="4"/>
        <v>3327248.2849828652</v>
      </c>
      <c r="O23" s="15">
        <f t="shared" ca="1" si="4"/>
        <v>3327248.2849828652</v>
      </c>
      <c r="P23" s="15">
        <f t="shared" ca="1" si="4"/>
        <v>3327248.2849828652</v>
      </c>
      <c r="Q23" s="15">
        <f t="shared" ca="1" si="4"/>
        <v>3327248.2849828652</v>
      </c>
    </row>
    <row r="24" spans="3:30" ht="15" thickBot="1" x14ac:dyDescent="0.35">
      <c r="C24" s="17" t="s">
        <v>17</v>
      </c>
      <c r="D24" s="18">
        <v>0</v>
      </c>
      <c r="E24" s="18">
        <v>0</v>
      </c>
      <c r="F24" s="18">
        <f ca="1">-$D$9*$D$5</f>
        <v>-860502.68307581963</v>
      </c>
      <c r="G24" s="18">
        <f t="shared" ref="G24:H24" ca="1" si="5">-$D$9*$D$5</f>
        <v>-860502.68307581963</v>
      </c>
      <c r="H24" s="18">
        <f t="shared" ca="1" si="5"/>
        <v>-860502.68307581963</v>
      </c>
      <c r="I24" s="18">
        <f ca="1">-$D$10*$D$5</f>
        <v>-1290754.0246137294</v>
      </c>
      <c r="J24" s="18">
        <f t="shared" ref="J24:Q24" ca="1" si="6">-$D$10*$D$5</f>
        <v>-1290754.0246137294</v>
      </c>
      <c r="K24" s="18">
        <f t="shared" ca="1" si="6"/>
        <v>-1290754.0246137294</v>
      </c>
      <c r="L24" s="18">
        <f t="shared" ca="1" si="6"/>
        <v>-1290754.0246137294</v>
      </c>
      <c r="M24" s="18">
        <f t="shared" ca="1" si="6"/>
        <v>-1290754.0246137294</v>
      </c>
      <c r="N24" s="18">
        <f t="shared" ca="1" si="6"/>
        <v>-1290754.0246137294</v>
      </c>
      <c r="O24" s="18">
        <f t="shared" ca="1" si="6"/>
        <v>-1290754.0246137294</v>
      </c>
      <c r="P24" s="18">
        <f t="shared" ca="1" si="6"/>
        <v>-1290754.0246137294</v>
      </c>
      <c r="Q24" s="18">
        <f t="shared" ca="1" si="6"/>
        <v>-1290754.0246137294</v>
      </c>
    </row>
    <row r="25" spans="3:30" ht="15" thickBot="1" x14ac:dyDescent="0.35">
      <c r="C25" s="8"/>
      <c r="D25" s="9"/>
      <c r="E25" s="9"/>
      <c r="F25" s="9"/>
      <c r="G25" s="9"/>
      <c r="H25" s="9"/>
      <c r="I25" s="9"/>
      <c r="J25" s="9"/>
      <c r="K25" s="9"/>
      <c r="L25" s="9"/>
      <c r="M25" s="9"/>
      <c r="N25" s="9"/>
      <c r="O25" s="9"/>
      <c r="P25" s="20"/>
      <c r="Q25" s="10"/>
      <c r="AD25" s="4"/>
    </row>
    <row r="26" spans="3:30" x14ac:dyDescent="0.3">
      <c r="C26" s="21" t="s">
        <v>18</v>
      </c>
      <c r="D26" s="12">
        <f t="shared" ref="D26:Q26" si="7">SUM(D23:D24)</f>
        <v>0</v>
      </c>
      <c r="E26" s="12">
        <f t="shared" si="7"/>
        <v>0</v>
      </c>
      <c r="F26" s="12">
        <f t="shared" ca="1" si="7"/>
        <v>1357662.8402460907</v>
      </c>
      <c r="G26" s="12">
        <f t="shared" ca="1" si="7"/>
        <v>1357662.8402460907</v>
      </c>
      <c r="H26" s="12">
        <f t="shared" ca="1" si="7"/>
        <v>1357662.8402460907</v>
      </c>
      <c r="I26" s="12">
        <f t="shared" ca="1" si="7"/>
        <v>2036494.2603691358</v>
      </c>
      <c r="J26" s="12">
        <f t="shared" ca="1" si="7"/>
        <v>2036494.2603691358</v>
      </c>
      <c r="K26" s="12">
        <f t="shared" ca="1" si="7"/>
        <v>2036494.2603691358</v>
      </c>
      <c r="L26" s="12">
        <f t="shared" ca="1" si="7"/>
        <v>2036494.2603691358</v>
      </c>
      <c r="M26" s="12">
        <f t="shared" ca="1" si="7"/>
        <v>2036494.2603691358</v>
      </c>
      <c r="N26" s="12">
        <f t="shared" ca="1" si="7"/>
        <v>2036494.2603691358</v>
      </c>
      <c r="O26" s="12">
        <f t="shared" ca="1" si="7"/>
        <v>2036494.2603691358</v>
      </c>
      <c r="P26" s="12">
        <f t="shared" ca="1" si="7"/>
        <v>2036494.2603691358</v>
      </c>
      <c r="Q26" s="13">
        <f t="shared" ca="1" si="7"/>
        <v>2036494.2603691358</v>
      </c>
      <c r="AD26" s="4"/>
    </row>
    <row r="27" spans="3:30" x14ac:dyDescent="0.3">
      <c r="C27" s="14" t="s">
        <v>19</v>
      </c>
      <c r="D27" s="15">
        <f>D26+D20</f>
        <v>0</v>
      </c>
      <c r="E27" s="15">
        <f ca="1">E26+E20</f>
        <v>-109024.40316603586</v>
      </c>
      <c r="F27" s="15">
        <f ca="1">F26+F20</f>
        <v>1248638.4370800548</v>
      </c>
      <c r="G27" s="15">
        <f ca="1">G26+G20</f>
        <v>1248638.4370800548</v>
      </c>
      <c r="H27" s="15">
        <f t="shared" ref="H27:O27" ca="1" si="8">H26+H20</f>
        <v>1248638.4370800548</v>
      </c>
      <c r="I27" s="15">
        <f t="shared" ca="1" si="8"/>
        <v>1927469.8572030999</v>
      </c>
      <c r="J27" s="15">
        <f t="shared" ca="1" si="8"/>
        <v>1927469.8572030999</v>
      </c>
      <c r="K27" s="15">
        <f t="shared" ca="1" si="8"/>
        <v>1927469.8572030999</v>
      </c>
      <c r="L27" s="15">
        <f t="shared" ca="1" si="8"/>
        <v>1927469.8572030999</v>
      </c>
      <c r="M27" s="15">
        <f t="shared" ca="1" si="8"/>
        <v>1927469.8572030999</v>
      </c>
      <c r="N27" s="15">
        <f t="shared" ca="1" si="8"/>
        <v>1927469.8572030999</v>
      </c>
      <c r="O27" s="15">
        <f t="shared" ca="1" si="8"/>
        <v>1927469.8572030999</v>
      </c>
      <c r="P27" s="15">
        <f t="shared" ref="P27:Q27" ca="1" si="9">IF(P26&lt;0,P26+P20,P26-P20)</f>
        <v>2145518.6635351717</v>
      </c>
      <c r="Q27" s="15">
        <f t="shared" ca="1" si="9"/>
        <v>2036494.2603691358</v>
      </c>
      <c r="AD27" s="4"/>
    </row>
    <row r="28" spans="3:30" ht="15" thickBot="1" x14ac:dyDescent="0.35">
      <c r="C28" s="17" t="s">
        <v>20</v>
      </c>
      <c r="D28" s="18">
        <f>D27*$D$8</f>
        <v>0</v>
      </c>
      <c r="E28" s="18">
        <f ca="1">E27*$D$8</f>
        <v>-21804.880633207173</v>
      </c>
      <c r="F28" s="18">
        <f t="shared" ref="F28:Q28" ca="1" si="10">F27*$D$8</f>
        <v>249727.68741601097</v>
      </c>
      <c r="G28" s="18">
        <f t="shared" ca="1" si="10"/>
        <v>249727.68741601097</v>
      </c>
      <c r="H28" s="18">
        <f t="shared" ca="1" si="10"/>
        <v>249727.68741601097</v>
      </c>
      <c r="I28" s="18">
        <f t="shared" ca="1" si="10"/>
        <v>385493.97144062002</v>
      </c>
      <c r="J28" s="18">
        <f t="shared" ca="1" si="10"/>
        <v>385493.97144062002</v>
      </c>
      <c r="K28" s="18">
        <f t="shared" ca="1" si="10"/>
        <v>385493.97144062002</v>
      </c>
      <c r="L28" s="18">
        <f t="shared" ca="1" si="10"/>
        <v>385493.97144062002</v>
      </c>
      <c r="M28" s="18">
        <f t="shared" ca="1" si="10"/>
        <v>385493.97144062002</v>
      </c>
      <c r="N28" s="18">
        <f t="shared" ca="1" si="10"/>
        <v>385493.97144062002</v>
      </c>
      <c r="O28" s="18">
        <f t="shared" ca="1" si="10"/>
        <v>385493.97144062002</v>
      </c>
      <c r="P28" s="18">
        <f t="shared" ca="1" si="10"/>
        <v>429103.73270703433</v>
      </c>
      <c r="Q28" s="18">
        <f t="shared" ca="1" si="10"/>
        <v>407298.85207382718</v>
      </c>
      <c r="AD28" s="4"/>
    </row>
    <row r="29" spans="3:30" x14ac:dyDescent="0.3">
      <c r="C29" s="21"/>
      <c r="D29" s="12"/>
      <c r="E29" s="12"/>
      <c r="F29" s="12"/>
      <c r="G29" s="12"/>
      <c r="H29" s="12"/>
      <c r="I29" s="12"/>
      <c r="J29" s="12"/>
      <c r="K29" s="12"/>
      <c r="L29" s="12"/>
      <c r="M29" s="12"/>
      <c r="N29" s="12"/>
      <c r="O29" s="12"/>
      <c r="P29" s="12"/>
      <c r="Q29" s="13"/>
    </row>
    <row r="30" spans="3:30" ht="15" thickBot="1" x14ac:dyDescent="0.35">
      <c r="C30" s="17" t="s">
        <v>21</v>
      </c>
      <c r="D30" s="18">
        <f>D27-D28</f>
        <v>0</v>
      </c>
      <c r="E30" s="18">
        <f ca="1">E27-E28</f>
        <v>-87219.522532828691</v>
      </c>
      <c r="F30" s="18">
        <f t="shared" ref="F30:Q30" ca="1" si="11">F27-F28</f>
        <v>998910.74966404377</v>
      </c>
      <c r="G30" s="18">
        <f t="shared" ca="1" si="11"/>
        <v>998910.74966404377</v>
      </c>
      <c r="H30" s="18">
        <f t="shared" ca="1" si="11"/>
        <v>998910.74966404377</v>
      </c>
      <c r="I30" s="18">
        <f t="shared" ca="1" si="11"/>
        <v>1541975.8857624799</v>
      </c>
      <c r="J30" s="18">
        <f t="shared" ca="1" si="11"/>
        <v>1541975.8857624799</v>
      </c>
      <c r="K30" s="18">
        <f t="shared" ca="1" si="11"/>
        <v>1541975.8857624799</v>
      </c>
      <c r="L30" s="18">
        <f t="shared" ca="1" si="11"/>
        <v>1541975.8857624799</v>
      </c>
      <c r="M30" s="18">
        <f t="shared" ca="1" si="11"/>
        <v>1541975.8857624799</v>
      </c>
      <c r="N30" s="18">
        <f t="shared" ca="1" si="11"/>
        <v>1541975.8857624799</v>
      </c>
      <c r="O30" s="18">
        <f t="shared" ca="1" si="11"/>
        <v>1541975.8857624799</v>
      </c>
      <c r="P30" s="18">
        <f t="shared" ca="1" si="11"/>
        <v>1716414.9308281373</v>
      </c>
      <c r="Q30" s="19">
        <f t="shared" ca="1" si="11"/>
        <v>1629195.4082953087</v>
      </c>
    </row>
    <row r="31" spans="3:30" x14ac:dyDescent="0.3">
      <c r="C31" s="21"/>
      <c r="D31" s="12"/>
      <c r="E31" s="12"/>
      <c r="F31" s="12"/>
      <c r="G31" s="12"/>
      <c r="H31" s="12"/>
      <c r="I31" s="12"/>
      <c r="J31" s="12"/>
      <c r="K31" s="12"/>
      <c r="L31" s="12"/>
      <c r="M31" s="12"/>
      <c r="N31" s="12"/>
      <c r="O31" s="12"/>
      <c r="P31" s="12"/>
      <c r="Q31" s="13"/>
    </row>
    <row r="32" spans="3:30" x14ac:dyDescent="0.3">
      <c r="C32" s="22" t="s">
        <v>22</v>
      </c>
      <c r="D32" s="23">
        <f ca="1">D17+D30-D20+D18+D19</f>
        <v>-758658.62057923304</v>
      </c>
      <c r="E32" s="23">
        <f ca="1">E17+E30-E20+E18+E19</f>
        <v>-736853.73994602589</v>
      </c>
      <c r="F32" s="23">
        <f ca="1">F17+F30-F20+F18+F19</f>
        <v>1057935.1528300797</v>
      </c>
      <c r="G32" s="23">
        <f t="shared" ref="G32:Q32" ca="1" si="12">G17+G30-G20+G18+G19</f>
        <v>1057935.1528300797</v>
      </c>
      <c r="H32" s="23">
        <f t="shared" ca="1" si="12"/>
        <v>1057935.1528300797</v>
      </c>
      <c r="I32" s="23">
        <f t="shared" ca="1" si="12"/>
        <v>1651000.2889285157</v>
      </c>
      <c r="J32" s="23">
        <f t="shared" ca="1" si="12"/>
        <v>1651000.2889285157</v>
      </c>
      <c r="K32" s="23">
        <f t="shared" ca="1" si="12"/>
        <v>1651000.2889285157</v>
      </c>
      <c r="L32" s="23">
        <f t="shared" ca="1" si="12"/>
        <v>1601000.2889285157</v>
      </c>
      <c r="M32" s="23">
        <f t="shared" ca="1" si="12"/>
        <v>1601000.2889285157</v>
      </c>
      <c r="N32" s="23">
        <f t="shared" ca="1" si="12"/>
        <v>1601000.2889285157</v>
      </c>
      <c r="O32" s="23">
        <f t="shared" ca="1" si="12"/>
        <v>1601000.2889285157</v>
      </c>
      <c r="P32" s="23">
        <f t="shared" ca="1" si="12"/>
        <v>1775439.3339941732</v>
      </c>
      <c r="Q32" s="24">
        <f t="shared" ca="1" si="12"/>
        <v>1738219.8114613446</v>
      </c>
    </row>
    <row r="33" spans="3:18" x14ac:dyDescent="0.3">
      <c r="C33" s="14" t="s">
        <v>23</v>
      </c>
      <c r="D33" s="15">
        <f ca="1">D32/(1+$D$12)^D15</f>
        <v>-758658.62057923304</v>
      </c>
      <c r="E33" s="15">
        <f t="shared" ref="E33:Q33" ca="1" si="13">E32/(1+$D$12)^E15</f>
        <v>-724527.25111704518</v>
      </c>
      <c r="F33" s="15">
        <f t="shared" ca="1" si="13"/>
        <v>1022835.784223459</v>
      </c>
      <c r="G33" s="15">
        <f t="shared" ca="1" si="13"/>
        <v>1005725.2327196616</v>
      </c>
      <c r="H33" s="15">
        <f t="shared" ca="1" si="13"/>
        <v>988900.91579748527</v>
      </c>
      <c r="I33" s="15">
        <f t="shared" ca="1" si="13"/>
        <v>1517449.7314155726</v>
      </c>
      <c r="J33" s="15">
        <f t="shared" ca="1" si="13"/>
        <v>1492065.0096603383</v>
      </c>
      <c r="K33" s="15">
        <f t="shared" ca="1" si="13"/>
        <v>1467104.9372923288</v>
      </c>
      <c r="L33" s="15">
        <f t="shared" ca="1" si="13"/>
        <v>1398874.8830450217</v>
      </c>
      <c r="M33" s="15">
        <f t="shared" ca="1" si="13"/>
        <v>1375473.7456357724</v>
      </c>
      <c r="N33" s="15">
        <f t="shared" ca="1" si="13"/>
        <v>1352464.0751394574</v>
      </c>
      <c r="O33" s="15">
        <f t="shared" ca="1" si="13"/>
        <v>1329839.3228853324</v>
      </c>
      <c r="P33" s="15">
        <f t="shared" ca="1" si="13"/>
        <v>1450063.5318070273</v>
      </c>
      <c r="Q33" s="15">
        <f t="shared" ca="1" si="13"/>
        <v>1395916.1167599948</v>
      </c>
      <c r="R33" s="15"/>
    </row>
    <row r="34" spans="3:18" ht="15" thickBot="1" x14ac:dyDescent="0.35">
      <c r="C34" s="17" t="s">
        <v>24</v>
      </c>
      <c r="D34" s="18">
        <f ca="1">SUM($D$33:D33)</f>
        <v>-758658.62057923304</v>
      </c>
      <c r="E34" s="18">
        <f ca="1">SUM($D$33:E33)</f>
        <v>-1483185.8716962782</v>
      </c>
      <c r="F34" s="18">
        <f ca="1">SUM($D$33:F33)</f>
        <v>-460350.08747281926</v>
      </c>
      <c r="G34" s="18">
        <f ca="1">SUM($D$33:G33)</f>
        <v>545375.14524684229</v>
      </c>
      <c r="H34" s="18">
        <f ca="1">SUM($D$33:H33)</f>
        <v>1534276.0610443274</v>
      </c>
      <c r="I34" s="18">
        <f ca="1">SUM($D$33:I33)</f>
        <v>3051725.7924599</v>
      </c>
      <c r="J34" s="18">
        <f ca="1">SUM($D$33:J33)</f>
        <v>4543790.8021202385</v>
      </c>
      <c r="K34" s="18">
        <f ca="1">SUM($D$33:K33)</f>
        <v>6010895.7394125676</v>
      </c>
      <c r="L34" s="18">
        <f ca="1">SUM($D$33:L33)</f>
        <v>7409770.622457589</v>
      </c>
      <c r="M34" s="18">
        <f ca="1">SUM($D$33:M33)</f>
        <v>8785244.3680933621</v>
      </c>
      <c r="N34" s="18">
        <f ca="1">SUM($D$33:N33)</f>
        <v>10137708.443232819</v>
      </c>
      <c r="O34" s="18">
        <f ca="1">SUM($D$33:O33)</f>
        <v>11467547.766118152</v>
      </c>
      <c r="P34" s="18">
        <f ca="1">SUM($D$33:P33)</f>
        <v>12917611.29792518</v>
      </c>
      <c r="Q34" s="18">
        <f ca="1">SUM($D$33:Q33)</f>
        <v>14313527.414685175</v>
      </c>
    </row>
    <row r="35" spans="3:18" x14ac:dyDescent="0.3">
      <c r="C35" s="21"/>
      <c r="D35" s="12"/>
      <c r="E35" s="12"/>
      <c r="F35" s="12"/>
      <c r="G35" s="12"/>
      <c r="H35" s="12"/>
      <c r="I35" s="12"/>
      <c r="J35" s="12"/>
      <c r="K35" s="12"/>
      <c r="L35" s="12"/>
      <c r="M35" s="12"/>
      <c r="N35" s="12"/>
      <c r="O35" s="12"/>
      <c r="P35" s="12"/>
      <c r="Q35" s="13"/>
    </row>
    <row r="36" spans="3:18" x14ac:dyDescent="0.3">
      <c r="C36" s="14" t="s">
        <v>25</v>
      </c>
      <c r="D36" s="15">
        <f ca="1">NPV(D12,E32:Q32)+D32</f>
        <v>14313527.414685169</v>
      </c>
      <c r="E36" s="15"/>
      <c r="F36" s="15"/>
      <c r="G36" s="15"/>
      <c r="H36" s="15"/>
      <c r="I36" s="15"/>
      <c r="J36" s="15"/>
      <c r="K36" s="15"/>
      <c r="L36" s="15"/>
      <c r="M36" s="15"/>
      <c r="N36" s="15"/>
      <c r="O36" s="15"/>
      <c r="P36" s="15"/>
      <c r="Q36" s="16"/>
    </row>
    <row r="37" spans="3:18" x14ac:dyDescent="0.3">
      <c r="C37" s="14" t="s">
        <v>26</v>
      </c>
      <c r="D37" s="25">
        <f ca="1">IRR(D32:Q32)</f>
        <v>0.60930965265824333</v>
      </c>
      <c r="E37" s="26"/>
      <c r="F37" s="15"/>
      <c r="G37" s="15"/>
      <c r="H37" s="15"/>
      <c r="I37" s="15"/>
      <c r="J37" s="15"/>
      <c r="K37" s="15"/>
      <c r="L37" s="15"/>
      <c r="M37" s="15"/>
      <c r="N37" s="15"/>
      <c r="O37" s="15"/>
      <c r="P37" s="15"/>
      <c r="Q37" s="16"/>
    </row>
    <row r="38" spans="3:18" x14ac:dyDescent="0.3">
      <c r="C38" s="14" t="s">
        <v>27</v>
      </c>
      <c r="D38" s="26">
        <f ca="1">1+D36/D3</f>
        <v>11.099028643005703</v>
      </c>
      <c r="E38" s="15"/>
      <c r="F38" s="15"/>
      <c r="G38" s="15"/>
      <c r="H38" s="15"/>
      <c r="I38" s="15"/>
      <c r="J38" s="15"/>
      <c r="K38" s="15"/>
      <c r="L38" s="15"/>
      <c r="M38" s="15"/>
      <c r="N38" s="15"/>
      <c r="O38" s="15"/>
      <c r="P38" s="15"/>
      <c r="Q38" s="16"/>
    </row>
    <row r="39" spans="3:18" x14ac:dyDescent="0.3">
      <c r="C39" s="14" t="s">
        <v>28</v>
      </c>
      <c r="D39" s="15" cm="1">
        <f t="array" aca="1" ref="D39" ca="1">LOOKUP(0,D34:Q34,(D15:Q15)-(D34:Q34/D33:Q33))</f>
        <v>2.4500723327961378</v>
      </c>
      <c r="E39" s="15"/>
      <c r="F39" s="15"/>
      <c r="G39" s="15"/>
      <c r="H39" s="15"/>
      <c r="I39" s="15"/>
      <c r="J39" s="15"/>
      <c r="K39" s="15"/>
      <c r="L39" s="15"/>
      <c r="M39" s="15"/>
      <c r="N39" s="15"/>
      <c r="O39" s="15"/>
      <c r="P39" s="15"/>
      <c r="Q39" s="16"/>
    </row>
    <row r="40" spans="3:18" ht="15" thickBot="1" x14ac:dyDescent="0.35">
      <c r="C40" s="17"/>
      <c r="D40" s="18"/>
      <c r="E40" s="18"/>
      <c r="F40" s="18"/>
      <c r="G40" s="18"/>
      <c r="H40" s="18"/>
      <c r="I40" s="18"/>
      <c r="J40" s="18"/>
      <c r="K40" s="18"/>
      <c r="L40" s="18"/>
      <c r="M40" s="18"/>
      <c r="N40" s="18"/>
      <c r="O40" s="18"/>
      <c r="P40" s="18"/>
      <c r="Q40" s="1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F5AB2-4DEF-4B29-A543-FC5C59CCBE1B}">
  <sheetPr codeName="Sheet8"/>
  <dimension ref="A1:A1000"/>
  <sheetViews>
    <sheetView workbookViewId="0">
      <selection activeCell="G20" sqref="G20"/>
    </sheetView>
  </sheetViews>
  <sheetFormatPr defaultRowHeight="14.4" x14ac:dyDescent="0.3"/>
  <cols>
    <col min="4" max="4" width="25" customWidth="1"/>
    <col min="5" max="5" width="27.5546875" customWidth="1"/>
  </cols>
  <sheetData>
    <row r="1" spans="1:1" x14ac:dyDescent="0.3">
      <c r="A1">
        <v>5242480.107684195</v>
      </c>
    </row>
    <row r="2" spans="1:1" x14ac:dyDescent="0.3">
      <c r="A2">
        <v>1992584.2733879457</v>
      </c>
    </row>
    <row r="3" spans="1:1" x14ac:dyDescent="0.3">
      <c r="A3">
        <v>7307015.5869890396</v>
      </c>
    </row>
    <row r="4" spans="1:1" x14ac:dyDescent="0.3">
      <c r="A4">
        <v>7446200.0492511168</v>
      </c>
    </row>
    <row r="5" spans="1:1" x14ac:dyDescent="0.3">
      <c r="A5">
        <v>10008874.692681938</v>
      </c>
    </row>
    <row r="6" spans="1:1" x14ac:dyDescent="0.3">
      <c r="A6">
        <v>16614621.862214576</v>
      </c>
    </row>
    <row r="7" spans="1:1" x14ac:dyDescent="0.3">
      <c r="A7">
        <v>2926711.9783376493</v>
      </c>
    </row>
    <row r="8" spans="1:1" x14ac:dyDescent="0.3">
      <c r="A8">
        <v>4859266.6353247305</v>
      </c>
    </row>
    <row r="9" spans="1:1" x14ac:dyDescent="0.3">
      <c r="A9">
        <v>12222044.424940854</v>
      </c>
    </row>
    <row r="10" spans="1:1" x14ac:dyDescent="0.3">
      <c r="A10">
        <v>1590158.1201698268</v>
      </c>
    </row>
    <row r="11" spans="1:1" x14ac:dyDescent="0.3">
      <c r="A11">
        <v>5882538.8007194437</v>
      </c>
    </row>
    <row r="12" spans="1:1" x14ac:dyDescent="0.3">
      <c r="A12">
        <v>6328145.8511291258</v>
      </c>
    </row>
    <row r="13" spans="1:1" x14ac:dyDescent="0.3">
      <c r="A13">
        <v>5160953.8972630752</v>
      </c>
    </row>
    <row r="14" spans="1:1" x14ac:dyDescent="0.3">
      <c r="A14">
        <v>3190146.2456060075</v>
      </c>
    </row>
    <row r="15" spans="1:1" x14ac:dyDescent="0.3">
      <c r="A15">
        <v>6496252.8570622392</v>
      </c>
    </row>
    <row r="16" spans="1:1" x14ac:dyDescent="0.3">
      <c r="A16">
        <v>2388981.256351192</v>
      </c>
    </row>
    <row r="17" spans="1:1" x14ac:dyDescent="0.3">
      <c r="A17">
        <v>6100041.5495097982</v>
      </c>
    </row>
    <row r="18" spans="1:1" x14ac:dyDescent="0.3">
      <c r="A18">
        <v>252045.17876780184</v>
      </c>
    </row>
    <row r="19" spans="1:1" x14ac:dyDescent="0.3">
      <c r="A19">
        <v>5778284.0676608002</v>
      </c>
    </row>
    <row r="20" spans="1:1" x14ac:dyDescent="0.3">
      <c r="A20">
        <v>9694295.5891705528</v>
      </c>
    </row>
    <row r="21" spans="1:1" x14ac:dyDescent="0.3">
      <c r="A21">
        <v>597563.61098644522</v>
      </c>
    </row>
    <row r="22" spans="1:1" x14ac:dyDescent="0.3">
      <c r="A22">
        <v>1654139.6848672631</v>
      </c>
    </row>
    <row r="23" spans="1:1" x14ac:dyDescent="0.3">
      <c r="A23">
        <v>7273248.1500923261</v>
      </c>
    </row>
    <row r="24" spans="1:1" x14ac:dyDescent="0.3">
      <c r="A24">
        <v>16902330.255078893</v>
      </c>
    </row>
    <row r="25" spans="1:1" x14ac:dyDescent="0.3">
      <c r="A25">
        <v>3057305.3167022951</v>
      </c>
    </row>
    <row r="26" spans="1:1" x14ac:dyDescent="0.3">
      <c r="A26">
        <v>3642162.324068537</v>
      </c>
    </row>
    <row r="27" spans="1:1" x14ac:dyDescent="0.3">
      <c r="A27">
        <v>9358599.1565245818</v>
      </c>
    </row>
    <row r="28" spans="1:1" x14ac:dyDescent="0.3">
      <c r="A28">
        <v>3651685.4699252686</v>
      </c>
    </row>
    <row r="29" spans="1:1" x14ac:dyDescent="0.3">
      <c r="A29">
        <v>765231.8794282953</v>
      </c>
    </row>
    <row r="30" spans="1:1" x14ac:dyDescent="0.3">
      <c r="A30">
        <v>13405813.720851194</v>
      </c>
    </row>
    <row r="31" spans="1:1" x14ac:dyDescent="0.3">
      <c r="A31">
        <v>8165757.9211387169</v>
      </c>
    </row>
    <row r="32" spans="1:1" x14ac:dyDescent="0.3">
      <c r="A32">
        <v>10426810.635189293</v>
      </c>
    </row>
    <row r="33" spans="1:1" x14ac:dyDescent="0.3">
      <c r="A33">
        <v>12118659.036889523</v>
      </c>
    </row>
    <row r="34" spans="1:1" x14ac:dyDescent="0.3">
      <c r="A34">
        <v>7037092.6107055862</v>
      </c>
    </row>
    <row r="35" spans="1:1" x14ac:dyDescent="0.3">
      <c r="A35">
        <v>6716232.5058493288</v>
      </c>
    </row>
    <row r="36" spans="1:1" x14ac:dyDescent="0.3">
      <c r="A36">
        <v>12272933.023067262</v>
      </c>
    </row>
    <row r="37" spans="1:1" x14ac:dyDescent="0.3">
      <c r="A37">
        <v>8760792.2095573191</v>
      </c>
    </row>
    <row r="38" spans="1:1" x14ac:dyDescent="0.3">
      <c r="A38">
        <v>3906049.8659489453</v>
      </c>
    </row>
    <row r="39" spans="1:1" x14ac:dyDescent="0.3">
      <c r="A39">
        <v>7851234.1881010812</v>
      </c>
    </row>
    <row r="40" spans="1:1" x14ac:dyDescent="0.3">
      <c r="A40">
        <v>15320886.921454327</v>
      </c>
    </row>
    <row r="41" spans="1:1" x14ac:dyDescent="0.3">
      <c r="A41">
        <v>9089972.6319564544</v>
      </c>
    </row>
    <row r="42" spans="1:1" x14ac:dyDescent="0.3">
      <c r="A42">
        <v>9242493.3326713704</v>
      </c>
    </row>
    <row r="43" spans="1:1" x14ac:dyDescent="0.3">
      <c r="A43">
        <v>7330378.40559969</v>
      </c>
    </row>
    <row r="44" spans="1:1" x14ac:dyDescent="0.3">
      <c r="A44">
        <v>7648335.4211056689</v>
      </c>
    </row>
    <row r="45" spans="1:1" x14ac:dyDescent="0.3">
      <c r="A45">
        <v>1033071.5678640679</v>
      </c>
    </row>
    <row r="46" spans="1:1" x14ac:dyDescent="0.3">
      <c r="A46">
        <v>4990208.6132358788</v>
      </c>
    </row>
    <row r="47" spans="1:1" x14ac:dyDescent="0.3">
      <c r="A47">
        <v>10494409.058932982</v>
      </c>
    </row>
    <row r="48" spans="1:1" x14ac:dyDescent="0.3">
      <c r="A48">
        <v>8600442.7312039398</v>
      </c>
    </row>
    <row r="49" spans="1:1" x14ac:dyDescent="0.3">
      <c r="A49">
        <v>9700094.9096808843</v>
      </c>
    </row>
    <row r="50" spans="1:1" x14ac:dyDescent="0.3">
      <c r="A50">
        <v>14396962.842567198</v>
      </c>
    </row>
    <row r="51" spans="1:1" x14ac:dyDescent="0.3">
      <c r="A51">
        <v>12375403.65078917</v>
      </c>
    </row>
    <row r="52" spans="1:1" x14ac:dyDescent="0.3">
      <c r="A52">
        <v>6004281.5368398316</v>
      </c>
    </row>
    <row r="53" spans="1:1" x14ac:dyDescent="0.3">
      <c r="A53">
        <v>6690359.4539337959</v>
      </c>
    </row>
    <row r="54" spans="1:1" x14ac:dyDescent="0.3">
      <c r="A54">
        <v>18702147.316948224</v>
      </c>
    </row>
    <row r="55" spans="1:1" x14ac:dyDescent="0.3">
      <c r="A55">
        <v>2355024.7876465637</v>
      </c>
    </row>
    <row r="56" spans="1:1" x14ac:dyDescent="0.3">
      <c r="A56">
        <v>6552817.0670022918</v>
      </c>
    </row>
    <row r="57" spans="1:1" x14ac:dyDescent="0.3">
      <c r="A57">
        <v>9912892.7726331186</v>
      </c>
    </row>
    <row r="58" spans="1:1" x14ac:dyDescent="0.3">
      <c r="A58">
        <v>978001.15466856875</v>
      </c>
    </row>
    <row r="59" spans="1:1" x14ac:dyDescent="0.3">
      <c r="A59">
        <v>16872331.798167028</v>
      </c>
    </row>
    <row r="60" spans="1:1" x14ac:dyDescent="0.3">
      <c r="A60">
        <v>14455278.166936699</v>
      </c>
    </row>
    <row r="61" spans="1:1" x14ac:dyDescent="0.3">
      <c r="A61">
        <v>4006008.257307705</v>
      </c>
    </row>
    <row r="62" spans="1:1" x14ac:dyDescent="0.3">
      <c r="A62">
        <v>8342094.8626813358</v>
      </c>
    </row>
    <row r="63" spans="1:1" x14ac:dyDescent="0.3">
      <c r="A63">
        <v>9582311.9391097222</v>
      </c>
    </row>
    <row r="64" spans="1:1" x14ac:dyDescent="0.3">
      <c r="A64">
        <v>12896170.94816692</v>
      </c>
    </row>
    <row r="65" spans="1:1" x14ac:dyDescent="0.3">
      <c r="A65">
        <v>10543689.057450898</v>
      </c>
    </row>
    <row r="66" spans="1:1" x14ac:dyDescent="0.3">
      <c r="A66">
        <v>3928497.7073365189</v>
      </c>
    </row>
    <row r="67" spans="1:1" x14ac:dyDescent="0.3">
      <c r="A67">
        <v>1139306.2875950574</v>
      </c>
    </row>
    <row r="68" spans="1:1" x14ac:dyDescent="0.3">
      <c r="A68">
        <v>5439589.6692460189</v>
      </c>
    </row>
    <row r="69" spans="1:1" x14ac:dyDescent="0.3">
      <c r="A69">
        <v>11784973.004236802</v>
      </c>
    </row>
    <row r="70" spans="1:1" x14ac:dyDescent="0.3">
      <c r="A70">
        <v>6667577.5887276838</v>
      </c>
    </row>
    <row r="71" spans="1:1" x14ac:dyDescent="0.3">
      <c r="A71">
        <v>17840528.461256031</v>
      </c>
    </row>
    <row r="72" spans="1:1" x14ac:dyDescent="0.3">
      <c r="A72">
        <v>19407624.199453022</v>
      </c>
    </row>
    <row r="73" spans="1:1" x14ac:dyDescent="0.3">
      <c r="A73">
        <v>12565733.615825184</v>
      </c>
    </row>
    <row r="74" spans="1:1" x14ac:dyDescent="0.3">
      <c r="A74">
        <v>3573279.6137786671</v>
      </c>
    </row>
    <row r="75" spans="1:1" x14ac:dyDescent="0.3">
      <c r="A75">
        <v>3128802.5690405047</v>
      </c>
    </row>
    <row r="76" spans="1:1" x14ac:dyDescent="0.3">
      <c r="A76">
        <v>5165603.8941908488</v>
      </c>
    </row>
    <row r="77" spans="1:1" x14ac:dyDescent="0.3">
      <c r="A77">
        <v>11860840.214890398</v>
      </c>
    </row>
    <row r="78" spans="1:1" x14ac:dyDescent="0.3">
      <c r="A78">
        <v>7956408.5362870302</v>
      </c>
    </row>
    <row r="79" spans="1:1" x14ac:dyDescent="0.3">
      <c r="A79">
        <v>10293320.094564782</v>
      </c>
    </row>
    <row r="80" spans="1:1" x14ac:dyDescent="0.3">
      <c r="A80">
        <v>6533702.8351066746</v>
      </c>
    </row>
    <row r="81" spans="1:1" x14ac:dyDescent="0.3">
      <c r="A81">
        <v>12594603.845942222</v>
      </c>
    </row>
    <row r="82" spans="1:1" x14ac:dyDescent="0.3">
      <c r="A82">
        <v>8278782.1651756801</v>
      </c>
    </row>
    <row r="83" spans="1:1" x14ac:dyDescent="0.3">
      <c r="A83">
        <v>5021120.676408249</v>
      </c>
    </row>
    <row r="84" spans="1:1" x14ac:dyDescent="0.3">
      <c r="A84">
        <v>2786364.3847464267</v>
      </c>
    </row>
    <row r="85" spans="1:1" x14ac:dyDescent="0.3">
      <c r="A85">
        <v>8937793.2054707035</v>
      </c>
    </row>
    <row r="86" spans="1:1" x14ac:dyDescent="0.3">
      <c r="A86">
        <v>6658255.6680808635</v>
      </c>
    </row>
    <row r="87" spans="1:1" x14ac:dyDescent="0.3">
      <c r="A87">
        <v>14433308.665851619</v>
      </c>
    </row>
    <row r="88" spans="1:1" x14ac:dyDescent="0.3">
      <c r="A88">
        <v>5167299.2224029619</v>
      </c>
    </row>
    <row r="89" spans="1:1" x14ac:dyDescent="0.3">
      <c r="A89">
        <v>3002066.8936153101</v>
      </c>
    </row>
    <row r="90" spans="1:1" x14ac:dyDescent="0.3">
      <c r="A90">
        <v>16024449.919851424</v>
      </c>
    </row>
    <row r="91" spans="1:1" x14ac:dyDescent="0.3">
      <c r="A91">
        <v>6164688.4788882071</v>
      </c>
    </row>
    <row r="92" spans="1:1" x14ac:dyDescent="0.3">
      <c r="A92">
        <v>3119888.2900208537</v>
      </c>
    </row>
    <row r="93" spans="1:1" x14ac:dyDescent="0.3">
      <c r="A93">
        <v>5118038.4779985175</v>
      </c>
    </row>
    <row r="94" spans="1:1" x14ac:dyDescent="0.3">
      <c r="A94">
        <v>4794377.7109441292</v>
      </c>
    </row>
    <row r="95" spans="1:1" x14ac:dyDescent="0.3">
      <c r="A95">
        <v>8744640.0232204366</v>
      </c>
    </row>
    <row r="96" spans="1:1" x14ac:dyDescent="0.3">
      <c r="A96">
        <v>12499529.675275404</v>
      </c>
    </row>
    <row r="97" spans="1:1" x14ac:dyDescent="0.3">
      <c r="A97">
        <v>4788552.6552815391</v>
      </c>
    </row>
    <row r="98" spans="1:1" x14ac:dyDescent="0.3">
      <c r="A98">
        <v>2664387.1290982352</v>
      </c>
    </row>
    <row r="99" spans="1:1" x14ac:dyDescent="0.3">
      <c r="A99">
        <v>5362479.7827305635</v>
      </c>
    </row>
    <row r="100" spans="1:1" x14ac:dyDescent="0.3">
      <c r="A100">
        <v>9350863.3855722845</v>
      </c>
    </row>
    <row r="101" spans="1:1" x14ac:dyDescent="0.3">
      <c r="A101">
        <v>6795443.6295326706</v>
      </c>
    </row>
    <row r="102" spans="1:1" x14ac:dyDescent="0.3">
      <c r="A102">
        <v>5693251.4036735399</v>
      </c>
    </row>
    <row r="103" spans="1:1" x14ac:dyDescent="0.3">
      <c r="A103">
        <v>7543958.6495930301</v>
      </c>
    </row>
    <row r="104" spans="1:1" x14ac:dyDescent="0.3">
      <c r="A104">
        <v>3006153.5319916601</v>
      </c>
    </row>
    <row r="105" spans="1:1" x14ac:dyDescent="0.3">
      <c r="A105">
        <v>9648933.0830887537</v>
      </c>
    </row>
    <row r="106" spans="1:1" x14ac:dyDescent="0.3">
      <c r="A106">
        <v>5395083.5487665581</v>
      </c>
    </row>
    <row r="107" spans="1:1" x14ac:dyDescent="0.3">
      <c r="A107">
        <v>12297927.611645078</v>
      </c>
    </row>
    <row r="108" spans="1:1" x14ac:dyDescent="0.3">
      <c r="A108">
        <v>3508812.1814877149</v>
      </c>
    </row>
    <row r="109" spans="1:1" x14ac:dyDescent="0.3">
      <c r="A109">
        <v>6187102.3296161657</v>
      </c>
    </row>
    <row r="110" spans="1:1" x14ac:dyDescent="0.3">
      <c r="A110">
        <v>7963536.9659091542</v>
      </c>
    </row>
    <row r="111" spans="1:1" x14ac:dyDescent="0.3">
      <c r="A111">
        <v>8641807.2184294052</v>
      </c>
    </row>
    <row r="112" spans="1:1" x14ac:dyDescent="0.3">
      <c r="A112">
        <v>7766574.956995246</v>
      </c>
    </row>
    <row r="113" spans="1:1" x14ac:dyDescent="0.3">
      <c r="A113">
        <v>9932019.1893915255</v>
      </c>
    </row>
    <row r="114" spans="1:1" x14ac:dyDescent="0.3">
      <c r="A114">
        <v>10831829.864374558</v>
      </c>
    </row>
    <row r="115" spans="1:1" x14ac:dyDescent="0.3">
      <c r="A115">
        <v>14488246.022017663</v>
      </c>
    </row>
    <row r="116" spans="1:1" x14ac:dyDescent="0.3">
      <c r="A116">
        <v>1738444.4110531118</v>
      </c>
    </row>
    <row r="117" spans="1:1" x14ac:dyDescent="0.3">
      <c r="A117">
        <v>13851512.810624918</v>
      </c>
    </row>
    <row r="118" spans="1:1" x14ac:dyDescent="0.3">
      <c r="A118">
        <v>5833062.4866504129</v>
      </c>
    </row>
    <row r="119" spans="1:1" x14ac:dyDescent="0.3">
      <c r="A119">
        <v>13281850.344353078</v>
      </c>
    </row>
    <row r="120" spans="1:1" x14ac:dyDescent="0.3">
      <c r="A120">
        <v>7876137.4409345072</v>
      </c>
    </row>
    <row r="121" spans="1:1" x14ac:dyDescent="0.3">
      <c r="A121">
        <v>4437025.8197067091</v>
      </c>
    </row>
    <row r="122" spans="1:1" x14ac:dyDescent="0.3">
      <c r="A122">
        <v>-602507.6034623814</v>
      </c>
    </row>
    <row r="123" spans="1:1" x14ac:dyDescent="0.3">
      <c r="A123">
        <v>7006214.9198794439</v>
      </c>
    </row>
    <row r="124" spans="1:1" x14ac:dyDescent="0.3">
      <c r="A124">
        <v>504232.42995445721</v>
      </c>
    </row>
    <row r="125" spans="1:1" x14ac:dyDescent="0.3">
      <c r="A125">
        <v>5276302.818747987</v>
      </c>
    </row>
    <row r="126" spans="1:1" x14ac:dyDescent="0.3">
      <c r="A126">
        <v>-32481.524455130333</v>
      </c>
    </row>
    <row r="127" spans="1:1" x14ac:dyDescent="0.3">
      <c r="A127">
        <v>16830041.46863107</v>
      </c>
    </row>
    <row r="128" spans="1:1" x14ac:dyDescent="0.3">
      <c r="A128">
        <v>3516615.7945476929</v>
      </c>
    </row>
    <row r="129" spans="1:1" x14ac:dyDescent="0.3">
      <c r="A129">
        <v>8316549.2861695103</v>
      </c>
    </row>
    <row r="130" spans="1:1" x14ac:dyDescent="0.3">
      <c r="A130">
        <v>347165.51727692201</v>
      </c>
    </row>
    <row r="131" spans="1:1" x14ac:dyDescent="0.3">
      <c r="A131">
        <v>3868068.8504211893</v>
      </c>
    </row>
    <row r="132" spans="1:1" x14ac:dyDescent="0.3">
      <c r="A132">
        <v>2006111.9095773061</v>
      </c>
    </row>
    <row r="133" spans="1:1" x14ac:dyDescent="0.3">
      <c r="A133">
        <v>11147541.396449437</v>
      </c>
    </row>
    <row r="134" spans="1:1" x14ac:dyDescent="0.3">
      <c r="A134">
        <v>1318403.6527261487</v>
      </c>
    </row>
    <row r="135" spans="1:1" x14ac:dyDescent="0.3">
      <c r="A135">
        <v>20840677.477078054</v>
      </c>
    </row>
    <row r="136" spans="1:1" x14ac:dyDescent="0.3">
      <c r="A136">
        <v>3444628.6318265311</v>
      </c>
    </row>
    <row r="137" spans="1:1" x14ac:dyDescent="0.3">
      <c r="A137">
        <v>547778.64900291525</v>
      </c>
    </row>
    <row r="138" spans="1:1" x14ac:dyDescent="0.3">
      <c r="A138">
        <v>8153667.9883294431</v>
      </c>
    </row>
    <row r="139" spans="1:1" x14ac:dyDescent="0.3">
      <c r="A139">
        <v>5826209.1051479187</v>
      </c>
    </row>
    <row r="140" spans="1:1" x14ac:dyDescent="0.3">
      <c r="A140">
        <v>4265320.2732837424</v>
      </c>
    </row>
    <row r="141" spans="1:1" x14ac:dyDescent="0.3">
      <c r="A141">
        <v>1583861.4784208033</v>
      </c>
    </row>
    <row r="142" spans="1:1" x14ac:dyDescent="0.3">
      <c r="A142">
        <v>5296820.8320362531</v>
      </c>
    </row>
    <row r="143" spans="1:1" x14ac:dyDescent="0.3">
      <c r="A143">
        <v>10114597.895558119</v>
      </c>
    </row>
    <row r="144" spans="1:1" x14ac:dyDescent="0.3">
      <c r="A144">
        <v>3010903.7430265308</v>
      </c>
    </row>
    <row r="145" spans="1:1" x14ac:dyDescent="0.3">
      <c r="A145">
        <v>20143324.658557162</v>
      </c>
    </row>
    <row r="146" spans="1:1" x14ac:dyDescent="0.3">
      <c r="A146">
        <v>6823291.4153148346</v>
      </c>
    </row>
    <row r="147" spans="1:1" x14ac:dyDescent="0.3">
      <c r="A147">
        <v>5839361.805185724</v>
      </c>
    </row>
    <row r="148" spans="1:1" x14ac:dyDescent="0.3">
      <c r="A148">
        <v>11831758.09269315</v>
      </c>
    </row>
    <row r="149" spans="1:1" x14ac:dyDescent="0.3">
      <c r="A149">
        <v>3019251.9570183181</v>
      </c>
    </row>
    <row r="150" spans="1:1" x14ac:dyDescent="0.3">
      <c r="A150">
        <v>1315519.7111442825</v>
      </c>
    </row>
    <row r="151" spans="1:1" x14ac:dyDescent="0.3">
      <c r="A151">
        <v>-219228.14857734682</v>
      </c>
    </row>
    <row r="152" spans="1:1" x14ac:dyDescent="0.3">
      <c r="A152">
        <v>725035.21576241939</v>
      </c>
    </row>
    <row r="153" spans="1:1" x14ac:dyDescent="0.3">
      <c r="A153">
        <v>11715725.535671152</v>
      </c>
    </row>
    <row r="154" spans="1:1" x14ac:dyDescent="0.3">
      <c r="A154">
        <v>10384769.786538454</v>
      </c>
    </row>
    <row r="155" spans="1:1" x14ac:dyDescent="0.3">
      <c r="A155">
        <v>608601.27093313064</v>
      </c>
    </row>
    <row r="156" spans="1:1" x14ac:dyDescent="0.3">
      <c r="A156">
        <v>5421221.4169048602</v>
      </c>
    </row>
    <row r="157" spans="1:1" x14ac:dyDescent="0.3">
      <c r="A157">
        <v>2546383.0321753975</v>
      </c>
    </row>
    <row r="158" spans="1:1" x14ac:dyDescent="0.3">
      <c r="A158">
        <v>6541954.4694122393</v>
      </c>
    </row>
    <row r="159" spans="1:1" x14ac:dyDescent="0.3">
      <c r="A159">
        <v>4287165.0430085966</v>
      </c>
    </row>
    <row r="160" spans="1:1" x14ac:dyDescent="0.3">
      <c r="A160">
        <v>8196070.468399927</v>
      </c>
    </row>
    <row r="161" spans="1:1" x14ac:dyDescent="0.3">
      <c r="A161">
        <v>3203104.5858784365</v>
      </c>
    </row>
    <row r="162" spans="1:1" x14ac:dyDescent="0.3">
      <c r="A162">
        <v>4921282.8347590016</v>
      </c>
    </row>
    <row r="163" spans="1:1" x14ac:dyDescent="0.3">
      <c r="A163">
        <v>237333.23044263734</v>
      </c>
    </row>
    <row r="164" spans="1:1" x14ac:dyDescent="0.3">
      <c r="A164">
        <v>5163035.7977264253</v>
      </c>
    </row>
    <row r="165" spans="1:1" x14ac:dyDescent="0.3">
      <c r="A165">
        <v>7807337.9816507362</v>
      </c>
    </row>
    <row r="166" spans="1:1" x14ac:dyDescent="0.3">
      <c r="A166">
        <v>15042721.624045491</v>
      </c>
    </row>
    <row r="167" spans="1:1" x14ac:dyDescent="0.3">
      <c r="A167">
        <v>-617471.05510089779</v>
      </c>
    </row>
    <row r="168" spans="1:1" x14ac:dyDescent="0.3">
      <c r="A168">
        <v>14182954.64885737</v>
      </c>
    </row>
    <row r="169" spans="1:1" x14ac:dyDescent="0.3">
      <c r="A169">
        <v>8895192.708105471</v>
      </c>
    </row>
    <row r="170" spans="1:1" x14ac:dyDescent="0.3">
      <c r="A170">
        <v>474308.08060877863</v>
      </c>
    </row>
    <row r="171" spans="1:1" x14ac:dyDescent="0.3">
      <c r="A171">
        <v>9320217.4106263854</v>
      </c>
    </row>
    <row r="172" spans="1:1" x14ac:dyDescent="0.3">
      <c r="A172">
        <v>10846938.91356414</v>
      </c>
    </row>
    <row r="173" spans="1:1" x14ac:dyDescent="0.3">
      <c r="A173">
        <v>5391518.2049634242</v>
      </c>
    </row>
    <row r="174" spans="1:1" x14ac:dyDescent="0.3">
      <c r="A174">
        <v>3541987.09802646</v>
      </c>
    </row>
    <row r="175" spans="1:1" x14ac:dyDescent="0.3">
      <c r="A175">
        <v>5145182.9033838101</v>
      </c>
    </row>
    <row r="176" spans="1:1" x14ac:dyDescent="0.3">
      <c r="A176">
        <v>5939527.9311198452</v>
      </c>
    </row>
    <row r="177" spans="1:1" x14ac:dyDescent="0.3">
      <c r="A177">
        <v>1966524.6493108487</v>
      </c>
    </row>
    <row r="178" spans="1:1" x14ac:dyDescent="0.3">
      <c r="A178">
        <v>557036.95857640961</v>
      </c>
    </row>
    <row r="179" spans="1:1" x14ac:dyDescent="0.3">
      <c r="A179">
        <v>6794502.3178121503</v>
      </c>
    </row>
    <row r="180" spans="1:1" x14ac:dyDescent="0.3">
      <c r="A180">
        <v>13594478.710856775</v>
      </c>
    </row>
    <row r="181" spans="1:1" x14ac:dyDescent="0.3">
      <c r="A181">
        <v>4651955.2322938628</v>
      </c>
    </row>
    <row r="182" spans="1:1" x14ac:dyDescent="0.3">
      <c r="A182">
        <v>7154458.6439266233</v>
      </c>
    </row>
    <row r="183" spans="1:1" x14ac:dyDescent="0.3">
      <c r="A183">
        <v>19212437.730553169</v>
      </c>
    </row>
    <row r="184" spans="1:1" x14ac:dyDescent="0.3">
      <c r="A184">
        <v>6589240.4469377249</v>
      </c>
    </row>
    <row r="185" spans="1:1" x14ac:dyDescent="0.3">
      <c r="A185">
        <v>7410330.9508806057</v>
      </c>
    </row>
    <row r="186" spans="1:1" x14ac:dyDescent="0.3">
      <c r="A186">
        <v>6392148.457988983</v>
      </c>
    </row>
    <row r="187" spans="1:1" x14ac:dyDescent="0.3">
      <c r="A187">
        <v>15236347.79823003</v>
      </c>
    </row>
    <row r="188" spans="1:1" x14ac:dyDescent="0.3">
      <c r="A188">
        <v>2834956.2917386559</v>
      </c>
    </row>
    <row r="189" spans="1:1" x14ac:dyDescent="0.3">
      <c r="A189">
        <v>4004223.0298008053</v>
      </c>
    </row>
    <row r="190" spans="1:1" x14ac:dyDescent="0.3">
      <c r="A190">
        <v>5819658.427165661</v>
      </c>
    </row>
    <row r="191" spans="1:1" x14ac:dyDescent="0.3">
      <c r="A191">
        <v>2804889.8637700314</v>
      </c>
    </row>
    <row r="192" spans="1:1" x14ac:dyDescent="0.3">
      <c r="A192">
        <v>5735437.1525585279</v>
      </c>
    </row>
    <row r="193" spans="1:1" x14ac:dyDescent="0.3">
      <c r="A193">
        <v>10155005.257881686</v>
      </c>
    </row>
    <row r="194" spans="1:1" x14ac:dyDescent="0.3">
      <c r="A194">
        <v>9502336.2655514069</v>
      </c>
    </row>
    <row r="195" spans="1:1" x14ac:dyDescent="0.3">
      <c r="A195">
        <v>1017447.0652237947</v>
      </c>
    </row>
    <row r="196" spans="1:1" x14ac:dyDescent="0.3">
      <c r="A196">
        <v>12194588.277603133</v>
      </c>
    </row>
    <row r="197" spans="1:1" x14ac:dyDescent="0.3">
      <c r="A197">
        <v>11099843.291771408</v>
      </c>
    </row>
    <row r="198" spans="1:1" x14ac:dyDescent="0.3">
      <c r="A198">
        <v>3969067.3089395761</v>
      </c>
    </row>
    <row r="199" spans="1:1" x14ac:dyDescent="0.3">
      <c r="A199">
        <v>8581365.7859815378</v>
      </c>
    </row>
    <row r="200" spans="1:1" x14ac:dyDescent="0.3">
      <c r="A200">
        <v>3551673.1092422307</v>
      </c>
    </row>
    <row r="201" spans="1:1" x14ac:dyDescent="0.3">
      <c r="A201">
        <v>9112231.0220677983</v>
      </c>
    </row>
    <row r="202" spans="1:1" x14ac:dyDescent="0.3">
      <c r="A202">
        <v>8530656.3414123524</v>
      </c>
    </row>
    <row r="203" spans="1:1" x14ac:dyDescent="0.3">
      <c r="A203">
        <v>7157893.74448705</v>
      </c>
    </row>
    <row r="204" spans="1:1" x14ac:dyDescent="0.3">
      <c r="A204">
        <v>10383037.180010419</v>
      </c>
    </row>
    <row r="205" spans="1:1" x14ac:dyDescent="0.3">
      <c r="A205">
        <v>2591213.5124190026</v>
      </c>
    </row>
    <row r="206" spans="1:1" x14ac:dyDescent="0.3">
      <c r="A206">
        <v>6328673.9392154245</v>
      </c>
    </row>
    <row r="207" spans="1:1" x14ac:dyDescent="0.3">
      <c r="A207">
        <v>2613766.9423480723</v>
      </c>
    </row>
    <row r="208" spans="1:1" x14ac:dyDescent="0.3">
      <c r="A208">
        <v>4529222.9983919999</v>
      </c>
    </row>
    <row r="209" spans="1:1" x14ac:dyDescent="0.3">
      <c r="A209">
        <v>12585453.480633251</v>
      </c>
    </row>
    <row r="210" spans="1:1" x14ac:dyDescent="0.3">
      <c r="A210">
        <v>9688809.6552785151</v>
      </c>
    </row>
    <row r="211" spans="1:1" x14ac:dyDescent="0.3">
      <c r="A211">
        <v>806665.21415283915</v>
      </c>
    </row>
    <row r="212" spans="1:1" x14ac:dyDescent="0.3">
      <c r="A212">
        <v>6885356.7821239717</v>
      </c>
    </row>
    <row r="213" spans="1:1" x14ac:dyDescent="0.3">
      <c r="A213">
        <v>4268685.1133947968</v>
      </c>
    </row>
    <row r="214" spans="1:1" x14ac:dyDescent="0.3">
      <c r="A214">
        <v>8426357.6464344934</v>
      </c>
    </row>
    <row r="215" spans="1:1" x14ac:dyDescent="0.3">
      <c r="A215">
        <v>13183939.365536254</v>
      </c>
    </row>
    <row r="216" spans="1:1" x14ac:dyDescent="0.3">
      <c r="A216">
        <v>2771648.5670119277</v>
      </c>
    </row>
    <row r="217" spans="1:1" x14ac:dyDescent="0.3">
      <c r="A217">
        <v>8206066.4591373038</v>
      </c>
    </row>
    <row r="218" spans="1:1" x14ac:dyDescent="0.3">
      <c r="A218">
        <v>13078379.626791764</v>
      </c>
    </row>
    <row r="219" spans="1:1" x14ac:dyDescent="0.3">
      <c r="A219">
        <v>7037043.4996614186</v>
      </c>
    </row>
    <row r="220" spans="1:1" x14ac:dyDescent="0.3">
      <c r="A220">
        <v>6920540.3049460649</v>
      </c>
    </row>
    <row r="221" spans="1:1" x14ac:dyDescent="0.3">
      <c r="A221">
        <v>1512720.1250253338</v>
      </c>
    </row>
    <row r="222" spans="1:1" x14ac:dyDescent="0.3">
      <c r="A222">
        <v>6309998.111304203</v>
      </c>
    </row>
    <row r="223" spans="1:1" x14ac:dyDescent="0.3">
      <c r="A223">
        <v>8056560.5323098851</v>
      </c>
    </row>
    <row r="224" spans="1:1" x14ac:dyDescent="0.3">
      <c r="A224">
        <v>5471334.4516439727</v>
      </c>
    </row>
    <row r="225" spans="1:1" x14ac:dyDescent="0.3">
      <c r="A225">
        <v>3356212.5517747849</v>
      </c>
    </row>
    <row r="226" spans="1:1" x14ac:dyDescent="0.3">
      <c r="A226">
        <v>2145487.4132715915</v>
      </c>
    </row>
    <row r="227" spans="1:1" x14ac:dyDescent="0.3">
      <c r="A227">
        <v>6385661.6994014829</v>
      </c>
    </row>
    <row r="228" spans="1:1" x14ac:dyDescent="0.3">
      <c r="A228">
        <v>1636411.5325187417</v>
      </c>
    </row>
    <row r="229" spans="1:1" x14ac:dyDescent="0.3">
      <c r="A229">
        <v>4326040.1758031826</v>
      </c>
    </row>
    <row r="230" spans="1:1" x14ac:dyDescent="0.3">
      <c r="A230">
        <v>4293612.5363006378</v>
      </c>
    </row>
    <row r="231" spans="1:1" x14ac:dyDescent="0.3">
      <c r="A231">
        <v>-381657.83223738434</v>
      </c>
    </row>
    <row r="232" spans="1:1" x14ac:dyDescent="0.3">
      <c r="A232">
        <v>3363389.8542563417</v>
      </c>
    </row>
    <row r="233" spans="1:1" x14ac:dyDescent="0.3">
      <c r="A233">
        <v>10348380.269905159</v>
      </c>
    </row>
    <row r="234" spans="1:1" x14ac:dyDescent="0.3">
      <c r="A234">
        <v>11908847.966808837</v>
      </c>
    </row>
    <row r="235" spans="1:1" x14ac:dyDescent="0.3">
      <c r="A235">
        <v>2945363.1660975553</v>
      </c>
    </row>
    <row r="236" spans="1:1" x14ac:dyDescent="0.3">
      <c r="A236">
        <v>1651563.5909635085</v>
      </c>
    </row>
    <row r="237" spans="1:1" x14ac:dyDescent="0.3">
      <c r="A237">
        <v>3948809.2016988592</v>
      </c>
    </row>
    <row r="238" spans="1:1" x14ac:dyDescent="0.3">
      <c r="A238">
        <v>14957384.109235363</v>
      </c>
    </row>
    <row r="239" spans="1:1" x14ac:dyDescent="0.3">
      <c r="A239">
        <v>9890399.6007920802</v>
      </c>
    </row>
    <row r="240" spans="1:1" x14ac:dyDescent="0.3">
      <c r="A240">
        <v>5796125.0048203208</v>
      </c>
    </row>
    <row r="241" spans="1:1" x14ac:dyDescent="0.3">
      <c r="A241">
        <v>3211290.7079247911</v>
      </c>
    </row>
    <row r="242" spans="1:1" x14ac:dyDescent="0.3">
      <c r="A242">
        <v>340740.51685840928</v>
      </c>
    </row>
    <row r="243" spans="1:1" x14ac:dyDescent="0.3">
      <c r="A243">
        <v>11149305.4537859</v>
      </c>
    </row>
    <row r="244" spans="1:1" x14ac:dyDescent="0.3">
      <c r="A244">
        <v>3866305.5411593653</v>
      </c>
    </row>
    <row r="245" spans="1:1" x14ac:dyDescent="0.3">
      <c r="A245">
        <v>13747126.282579632</v>
      </c>
    </row>
    <row r="246" spans="1:1" x14ac:dyDescent="0.3">
      <c r="A246">
        <v>13929676.317699049</v>
      </c>
    </row>
    <row r="247" spans="1:1" x14ac:dyDescent="0.3">
      <c r="A247">
        <v>1285400.2218355583</v>
      </c>
    </row>
    <row r="248" spans="1:1" x14ac:dyDescent="0.3">
      <c r="A248">
        <v>7711734.9704198577</v>
      </c>
    </row>
    <row r="249" spans="1:1" x14ac:dyDescent="0.3">
      <c r="A249">
        <v>6045617.7464758204</v>
      </c>
    </row>
    <row r="250" spans="1:1" x14ac:dyDescent="0.3">
      <c r="A250">
        <v>7411763.0632963674</v>
      </c>
    </row>
    <row r="251" spans="1:1" x14ac:dyDescent="0.3">
      <c r="A251">
        <v>14255423.747653935</v>
      </c>
    </row>
    <row r="252" spans="1:1" x14ac:dyDescent="0.3">
      <c r="A252">
        <v>3962307.1356965462</v>
      </c>
    </row>
    <row r="253" spans="1:1" x14ac:dyDescent="0.3">
      <c r="A253">
        <v>5935523.4602845004</v>
      </c>
    </row>
    <row r="254" spans="1:1" x14ac:dyDescent="0.3">
      <c r="A254">
        <v>2854651.3398942603</v>
      </c>
    </row>
    <row r="255" spans="1:1" x14ac:dyDescent="0.3">
      <c r="A255">
        <v>4745197.9830112094</v>
      </c>
    </row>
    <row r="256" spans="1:1" x14ac:dyDescent="0.3">
      <c r="A256">
        <v>3281597.994696755</v>
      </c>
    </row>
    <row r="257" spans="1:1" x14ac:dyDescent="0.3">
      <c r="A257">
        <v>5599053.6311385911</v>
      </c>
    </row>
    <row r="258" spans="1:1" x14ac:dyDescent="0.3">
      <c r="A258">
        <v>171796.43727575545</v>
      </c>
    </row>
    <row r="259" spans="1:1" x14ac:dyDescent="0.3">
      <c r="A259">
        <v>561209.57961769926</v>
      </c>
    </row>
    <row r="260" spans="1:1" x14ac:dyDescent="0.3">
      <c r="A260">
        <v>12681704.19358748</v>
      </c>
    </row>
    <row r="261" spans="1:1" x14ac:dyDescent="0.3">
      <c r="A261">
        <v>1466264.2656925828</v>
      </c>
    </row>
    <row r="262" spans="1:1" x14ac:dyDescent="0.3">
      <c r="A262">
        <v>6233559.8728501629</v>
      </c>
    </row>
    <row r="263" spans="1:1" x14ac:dyDescent="0.3">
      <c r="A263">
        <v>5992739.8057700843</v>
      </c>
    </row>
    <row r="264" spans="1:1" x14ac:dyDescent="0.3">
      <c r="A264">
        <v>9491096.1367780641</v>
      </c>
    </row>
    <row r="265" spans="1:1" x14ac:dyDescent="0.3">
      <c r="A265">
        <v>3779511.4977649814</v>
      </c>
    </row>
    <row r="266" spans="1:1" x14ac:dyDescent="0.3">
      <c r="A266">
        <v>7006885.1895576352</v>
      </c>
    </row>
    <row r="267" spans="1:1" x14ac:dyDescent="0.3">
      <c r="A267">
        <v>1783722.7929219713</v>
      </c>
    </row>
    <row r="268" spans="1:1" x14ac:dyDescent="0.3">
      <c r="A268">
        <v>1123679.6057011625</v>
      </c>
    </row>
    <row r="269" spans="1:1" x14ac:dyDescent="0.3">
      <c r="A269">
        <v>3057710.7838280974</v>
      </c>
    </row>
    <row r="270" spans="1:1" x14ac:dyDescent="0.3">
      <c r="A270">
        <v>1774750.8602308661</v>
      </c>
    </row>
    <row r="271" spans="1:1" x14ac:dyDescent="0.3">
      <c r="A271">
        <v>17504230.255660478</v>
      </c>
    </row>
    <row r="272" spans="1:1" x14ac:dyDescent="0.3">
      <c r="A272">
        <v>700055.7277105418</v>
      </c>
    </row>
    <row r="273" spans="1:1" x14ac:dyDescent="0.3">
      <c r="A273">
        <v>4975799.3910907917</v>
      </c>
    </row>
    <row r="274" spans="1:1" x14ac:dyDescent="0.3">
      <c r="A274">
        <v>1554899.9222489612</v>
      </c>
    </row>
    <row r="275" spans="1:1" x14ac:dyDescent="0.3">
      <c r="A275">
        <v>7000029.6447347682</v>
      </c>
    </row>
    <row r="276" spans="1:1" x14ac:dyDescent="0.3">
      <c r="A276">
        <v>6307720.0885542398</v>
      </c>
    </row>
    <row r="277" spans="1:1" x14ac:dyDescent="0.3">
      <c r="A277">
        <v>8897423.3489859197</v>
      </c>
    </row>
    <row r="278" spans="1:1" x14ac:dyDescent="0.3">
      <c r="A278">
        <v>7694226.648910176</v>
      </c>
    </row>
    <row r="279" spans="1:1" x14ac:dyDescent="0.3">
      <c r="A279">
        <v>281360.58174603491</v>
      </c>
    </row>
    <row r="280" spans="1:1" x14ac:dyDescent="0.3">
      <c r="A280">
        <v>9345558.4613914527</v>
      </c>
    </row>
    <row r="281" spans="1:1" x14ac:dyDescent="0.3">
      <c r="A281">
        <v>10900763.374578713</v>
      </c>
    </row>
    <row r="282" spans="1:1" x14ac:dyDescent="0.3">
      <c r="A282">
        <v>7771419.9599207863</v>
      </c>
    </row>
    <row r="283" spans="1:1" x14ac:dyDescent="0.3">
      <c r="A283">
        <v>8682629.7348578945</v>
      </c>
    </row>
    <row r="284" spans="1:1" x14ac:dyDescent="0.3">
      <c r="A284">
        <v>5613231.048607449</v>
      </c>
    </row>
    <row r="285" spans="1:1" x14ac:dyDescent="0.3">
      <c r="A285">
        <v>4218108.4952611309</v>
      </c>
    </row>
    <row r="286" spans="1:1" x14ac:dyDescent="0.3">
      <c r="A286">
        <v>4802938.8820414618</v>
      </c>
    </row>
    <row r="287" spans="1:1" x14ac:dyDescent="0.3">
      <c r="A287">
        <v>6895012.841843524</v>
      </c>
    </row>
    <row r="288" spans="1:1" x14ac:dyDescent="0.3">
      <c r="A288">
        <v>11041262.222207908</v>
      </c>
    </row>
    <row r="289" spans="1:1" x14ac:dyDescent="0.3">
      <c r="A289">
        <v>5595050.1057821959</v>
      </c>
    </row>
    <row r="290" spans="1:1" x14ac:dyDescent="0.3">
      <c r="A290">
        <v>10458358.829584071</v>
      </c>
    </row>
    <row r="291" spans="1:1" x14ac:dyDescent="0.3">
      <c r="A291">
        <v>7556866.6898603421</v>
      </c>
    </row>
    <row r="292" spans="1:1" x14ac:dyDescent="0.3">
      <c r="A292">
        <v>2180100.2810017853</v>
      </c>
    </row>
    <row r="293" spans="1:1" x14ac:dyDescent="0.3">
      <c r="A293">
        <v>20945584.722619686</v>
      </c>
    </row>
    <row r="294" spans="1:1" x14ac:dyDescent="0.3">
      <c r="A294">
        <v>4968301.1312034782</v>
      </c>
    </row>
    <row r="295" spans="1:1" x14ac:dyDescent="0.3">
      <c r="A295">
        <v>2899555.8757773046</v>
      </c>
    </row>
    <row r="296" spans="1:1" x14ac:dyDescent="0.3">
      <c r="A296">
        <v>6615571.2715715636</v>
      </c>
    </row>
    <row r="297" spans="1:1" x14ac:dyDescent="0.3">
      <c r="A297">
        <v>6857438.7816857677</v>
      </c>
    </row>
    <row r="298" spans="1:1" x14ac:dyDescent="0.3">
      <c r="A298">
        <v>14743.495799999568</v>
      </c>
    </row>
    <row r="299" spans="1:1" x14ac:dyDescent="0.3">
      <c r="A299">
        <v>10102036.217695137</v>
      </c>
    </row>
    <row r="300" spans="1:1" x14ac:dyDescent="0.3">
      <c r="A300">
        <v>4540760.2046463573</v>
      </c>
    </row>
    <row r="301" spans="1:1" x14ac:dyDescent="0.3">
      <c r="A301">
        <v>7507430.4731889311</v>
      </c>
    </row>
    <row r="302" spans="1:1" x14ac:dyDescent="0.3">
      <c r="A302">
        <v>4831322.8426869111</v>
      </c>
    </row>
    <row r="303" spans="1:1" x14ac:dyDescent="0.3">
      <c r="A303">
        <v>12998660.65084157</v>
      </c>
    </row>
    <row r="304" spans="1:1" x14ac:dyDescent="0.3">
      <c r="A304">
        <v>5828482.2009238824</v>
      </c>
    </row>
    <row r="305" spans="1:1" x14ac:dyDescent="0.3">
      <c r="A305">
        <v>11961351.999651128</v>
      </c>
    </row>
    <row r="306" spans="1:1" x14ac:dyDescent="0.3">
      <c r="A306">
        <v>4215568.4664969333</v>
      </c>
    </row>
    <row r="307" spans="1:1" x14ac:dyDescent="0.3">
      <c r="A307">
        <v>8835978.3172762226</v>
      </c>
    </row>
    <row r="308" spans="1:1" x14ac:dyDescent="0.3">
      <c r="A308">
        <v>1029661.1051965195</v>
      </c>
    </row>
    <row r="309" spans="1:1" x14ac:dyDescent="0.3">
      <c r="A309">
        <v>-208219.081329985</v>
      </c>
    </row>
    <row r="310" spans="1:1" x14ac:dyDescent="0.3">
      <c r="A310">
        <v>2794565.6918484</v>
      </c>
    </row>
    <row r="311" spans="1:1" x14ac:dyDescent="0.3">
      <c r="A311">
        <v>1675117.4059124093</v>
      </c>
    </row>
    <row r="312" spans="1:1" x14ac:dyDescent="0.3">
      <c r="A312">
        <v>3193668.906195411</v>
      </c>
    </row>
    <row r="313" spans="1:1" x14ac:dyDescent="0.3">
      <c r="A313">
        <v>13063111.682588719</v>
      </c>
    </row>
    <row r="314" spans="1:1" x14ac:dyDescent="0.3">
      <c r="A314">
        <v>18145075.087986402</v>
      </c>
    </row>
    <row r="315" spans="1:1" x14ac:dyDescent="0.3">
      <c r="A315">
        <v>985477.43328256207</v>
      </c>
    </row>
    <row r="316" spans="1:1" x14ac:dyDescent="0.3">
      <c r="A316">
        <v>6022718.8803047761</v>
      </c>
    </row>
    <row r="317" spans="1:1" x14ac:dyDescent="0.3">
      <c r="A317">
        <v>6290175.5153055238</v>
      </c>
    </row>
    <row r="318" spans="1:1" x14ac:dyDescent="0.3">
      <c r="A318">
        <v>7873030.9599351306</v>
      </c>
    </row>
    <row r="319" spans="1:1" x14ac:dyDescent="0.3">
      <c r="A319">
        <v>3960520.181156131</v>
      </c>
    </row>
    <row r="320" spans="1:1" x14ac:dyDescent="0.3">
      <c r="A320">
        <v>1245209.3111958462</v>
      </c>
    </row>
    <row r="321" spans="1:1" x14ac:dyDescent="0.3">
      <c r="A321">
        <v>598389.18542266346</v>
      </c>
    </row>
    <row r="322" spans="1:1" x14ac:dyDescent="0.3">
      <c r="A322">
        <v>3285267.2079784726</v>
      </c>
    </row>
    <row r="323" spans="1:1" x14ac:dyDescent="0.3">
      <c r="A323">
        <v>10103138.738213174</v>
      </c>
    </row>
    <row r="324" spans="1:1" x14ac:dyDescent="0.3">
      <c r="A324">
        <v>2266182.4084705613</v>
      </c>
    </row>
    <row r="325" spans="1:1" x14ac:dyDescent="0.3">
      <c r="A325">
        <v>5727517.82529651</v>
      </c>
    </row>
    <row r="326" spans="1:1" x14ac:dyDescent="0.3">
      <c r="A326">
        <v>-1031831.2571988613</v>
      </c>
    </row>
    <row r="327" spans="1:1" x14ac:dyDescent="0.3">
      <c r="A327">
        <v>748632.55757179169</v>
      </c>
    </row>
    <row r="328" spans="1:1" x14ac:dyDescent="0.3">
      <c r="A328">
        <v>3964268.8921056027</v>
      </c>
    </row>
    <row r="329" spans="1:1" x14ac:dyDescent="0.3">
      <c r="A329">
        <v>7327920.8220618106</v>
      </c>
    </row>
    <row r="330" spans="1:1" x14ac:dyDescent="0.3">
      <c r="A330">
        <v>4480016.3842016403</v>
      </c>
    </row>
    <row r="331" spans="1:1" x14ac:dyDescent="0.3">
      <c r="A331">
        <v>7541827.2105303025</v>
      </c>
    </row>
    <row r="332" spans="1:1" x14ac:dyDescent="0.3">
      <c r="A332">
        <v>3026960.4484510627</v>
      </c>
    </row>
    <row r="333" spans="1:1" x14ac:dyDescent="0.3">
      <c r="A333">
        <v>14891660.936028179</v>
      </c>
    </row>
    <row r="334" spans="1:1" x14ac:dyDescent="0.3">
      <c r="A334">
        <v>2247928.8331986638</v>
      </c>
    </row>
    <row r="335" spans="1:1" x14ac:dyDescent="0.3">
      <c r="A335">
        <v>6853914.9675578568</v>
      </c>
    </row>
    <row r="336" spans="1:1" x14ac:dyDescent="0.3">
      <c r="A336">
        <v>513244.92241693847</v>
      </c>
    </row>
    <row r="337" spans="1:1" x14ac:dyDescent="0.3">
      <c r="A337">
        <v>10053107.439482648</v>
      </c>
    </row>
    <row r="338" spans="1:1" x14ac:dyDescent="0.3">
      <c r="A338">
        <v>12906550.490359502</v>
      </c>
    </row>
    <row r="339" spans="1:1" x14ac:dyDescent="0.3">
      <c r="A339">
        <v>6551063.9787527295</v>
      </c>
    </row>
    <row r="340" spans="1:1" x14ac:dyDescent="0.3">
      <c r="A340">
        <v>8552455.436434444</v>
      </c>
    </row>
    <row r="341" spans="1:1" x14ac:dyDescent="0.3">
      <c r="A341">
        <v>13696640.208551908</v>
      </c>
    </row>
    <row r="342" spans="1:1" x14ac:dyDescent="0.3">
      <c r="A342">
        <v>1588192.3243105304</v>
      </c>
    </row>
    <row r="343" spans="1:1" x14ac:dyDescent="0.3">
      <c r="A343">
        <v>6027986.3222438637</v>
      </c>
    </row>
    <row r="344" spans="1:1" x14ac:dyDescent="0.3">
      <c r="A344">
        <v>202069.07213499874</v>
      </c>
    </row>
    <row r="345" spans="1:1" x14ac:dyDescent="0.3">
      <c r="A345">
        <v>6604729.1608104529</v>
      </c>
    </row>
    <row r="346" spans="1:1" x14ac:dyDescent="0.3">
      <c r="A346">
        <v>9790978.9210548531</v>
      </c>
    </row>
    <row r="347" spans="1:1" x14ac:dyDescent="0.3">
      <c r="A347">
        <v>12662277.207309213</v>
      </c>
    </row>
    <row r="348" spans="1:1" x14ac:dyDescent="0.3">
      <c r="A348">
        <v>8601882.8445465807</v>
      </c>
    </row>
    <row r="349" spans="1:1" x14ac:dyDescent="0.3">
      <c r="A349">
        <v>2937990.5875353203</v>
      </c>
    </row>
    <row r="350" spans="1:1" x14ac:dyDescent="0.3">
      <c r="A350">
        <v>4024739.5933016152</v>
      </c>
    </row>
    <row r="351" spans="1:1" x14ac:dyDescent="0.3">
      <c r="A351">
        <v>17514167.570725124</v>
      </c>
    </row>
    <row r="352" spans="1:1" x14ac:dyDescent="0.3">
      <c r="A352">
        <v>1453433.4505635034</v>
      </c>
    </row>
    <row r="353" spans="1:1" x14ac:dyDescent="0.3">
      <c r="A353">
        <v>6802136.6801767638</v>
      </c>
    </row>
    <row r="354" spans="1:1" x14ac:dyDescent="0.3">
      <c r="A354">
        <v>6854518.9394566193</v>
      </c>
    </row>
    <row r="355" spans="1:1" x14ac:dyDescent="0.3">
      <c r="A355">
        <v>2205896.2051946521</v>
      </c>
    </row>
    <row r="356" spans="1:1" x14ac:dyDescent="0.3">
      <c r="A356">
        <v>8015740.4938910417</v>
      </c>
    </row>
    <row r="357" spans="1:1" x14ac:dyDescent="0.3">
      <c r="A357">
        <v>8238860.6061586142</v>
      </c>
    </row>
    <row r="358" spans="1:1" x14ac:dyDescent="0.3">
      <c r="A358">
        <v>2750294.3676910568</v>
      </c>
    </row>
    <row r="359" spans="1:1" x14ac:dyDescent="0.3">
      <c r="A359">
        <v>5475104.7347031757</v>
      </c>
    </row>
    <row r="360" spans="1:1" x14ac:dyDescent="0.3">
      <c r="A360">
        <v>5199868.8046936626</v>
      </c>
    </row>
    <row r="361" spans="1:1" x14ac:dyDescent="0.3">
      <c r="A361">
        <v>4200133.1865567239</v>
      </c>
    </row>
    <row r="362" spans="1:1" x14ac:dyDescent="0.3">
      <c r="A362">
        <v>4965117.6117268922</v>
      </c>
    </row>
    <row r="363" spans="1:1" x14ac:dyDescent="0.3">
      <c r="A363">
        <v>9491704.0217975229</v>
      </c>
    </row>
    <row r="364" spans="1:1" x14ac:dyDescent="0.3">
      <c r="A364">
        <v>2139006.0529826842</v>
      </c>
    </row>
    <row r="365" spans="1:1" x14ac:dyDescent="0.3">
      <c r="A365">
        <v>6735140.4014625689</v>
      </c>
    </row>
    <row r="366" spans="1:1" x14ac:dyDescent="0.3">
      <c r="A366">
        <v>3711224.1044400046</v>
      </c>
    </row>
    <row r="367" spans="1:1" x14ac:dyDescent="0.3">
      <c r="A367">
        <v>9204412.244643826</v>
      </c>
    </row>
    <row r="368" spans="1:1" x14ac:dyDescent="0.3">
      <c r="A368">
        <v>3889819.5589100881</v>
      </c>
    </row>
    <row r="369" spans="1:1" x14ac:dyDescent="0.3">
      <c r="A369">
        <v>12042864.695964642</v>
      </c>
    </row>
    <row r="370" spans="1:1" x14ac:dyDescent="0.3">
      <c r="A370">
        <v>4196394.9203584306</v>
      </c>
    </row>
    <row r="371" spans="1:1" x14ac:dyDescent="0.3">
      <c r="A371">
        <v>11178283.028478004</v>
      </c>
    </row>
    <row r="372" spans="1:1" x14ac:dyDescent="0.3">
      <c r="A372">
        <v>4914109.8925306927</v>
      </c>
    </row>
    <row r="373" spans="1:1" x14ac:dyDescent="0.3">
      <c r="A373">
        <v>12500233.028415602</v>
      </c>
    </row>
    <row r="374" spans="1:1" x14ac:dyDescent="0.3">
      <c r="A374">
        <v>6413940.0962748658</v>
      </c>
    </row>
    <row r="375" spans="1:1" x14ac:dyDescent="0.3">
      <c r="A375">
        <v>2252001.4333151914</v>
      </c>
    </row>
    <row r="376" spans="1:1" x14ac:dyDescent="0.3">
      <c r="A376">
        <v>11559645.703151999</v>
      </c>
    </row>
    <row r="377" spans="1:1" x14ac:dyDescent="0.3">
      <c r="A377">
        <v>10714490.496032333</v>
      </c>
    </row>
    <row r="378" spans="1:1" x14ac:dyDescent="0.3">
      <c r="A378">
        <v>6659059.6700323215</v>
      </c>
    </row>
    <row r="379" spans="1:1" x14ac:dyDescent="0.3">
      <c r="A379">
        <v>12245998.095774191</v>
      </c>
    </row>
    <row r="380" spans="1:1" x14ac:dyDescent="0.3">
      <c r="A380">
        <v>3011798.0147123607</v>
      </c>
    </row>
    <row r="381" spans="1:1" x14ac:dyDescent="0.3">
      <c r="A381">
        <v>2132178.3903261293</v>
      </c>
    </row>
    <row r="382" spans="1:1" x14ac:dyDescent="0.3">
      <c r="A382">
        <v>3493608.6875780146</v>
      </c>
    </row>
    <row r="383" spans="1:1" x14ac:dyDescent="0.3">
      <c r="A383">
        <v>2162032.7643947406</v>
      </c>
    </row>
    <row r="384" spans="1:1" x14ac:dyDescent="0.3">
      <c r="A384">
        <v>8050407.1239879178</v>
      </c>
    </row>
    <row r="385" spans="1:1" x14ac:dyDescent="0.3">
      <c r="A385">
        <v>7639343.7450784864</v>
      </c>
    </row>
    <row r="386" spans="1:1" x14ac:dyDescent="0.3">
      <c r="A386">
        <v>1337825.6364347925</v>
      </c>
    </row>
    <row r="387" spans="1:1" x14ac:dyDescent="0.3">
      <c r="A387">
        <v>6306142.4892996</v>
      </c>
    </row>
    <row r="388" spans="1:1" x14ac:dyDescent="0.3">
      <c r="A388">
        <v>2346749.2811368206</v>
      </c>
    </row>
    <row r="389" spans="1:1" x14ac:dyDescent="0.3">
      <c r="A389">
        <v>18827480.343293469</v>
      </c>
    </row>
    <row r="390" spans="1:1" x14ac:dyDescent="0.3">
      <c r="A390">
        <v>6491409.1045992896</v>
      </c>
    </row>
    <row r="391" spans="1:1" x14ac:dyDescent="0.3">
      <c r="A391">
        <v>12750964.474352386</v>
      </c>
    </row>
    <row r="392" spans="1:1" x14ac:dyDescent="0.3">
      <c r="A392">
        <v>7184854.0788526405</v>
      </c>
    </row>
    <row r="393" spans="1:1" x14ac:dyDescent="0.3">
      <c r="A393">
        <v>8710587.3853519261</v>
      </c>
    </row>
    <row r="394" spans="1:1" x14ac:dyDescent="0.3">
      <c r="A394">
        <v>5609265.9613556759</v>
      </c>
    </row>
    <row r="395" spans="1:1" x14ac:dyDescent="0.3">
      <c r="A395">
        <v>2610041.6458100565</v>
      </c>
    </row>
    <row r="396" spans="1:1" x14ac:dyDescent="0.3">
      <c r="A396">
        <v>3734607.6941873515</v>
      </c>
    </row>
    <row r="397" spans="1:1" x14ac:dyDescent="0.3">
      <c r="A397">
        <v>7590226.2314770268</v>
      </c>
    </row>
    <row r="398" spans="1:1" x14ac:dyDescent="0.3">
      <c r="A398">
        <v>8154008.3025602167</v>
      </c>
    </row>
    <row r="399" spans="1:1" x14ac:dyDescent="0.3">
      <c r="A399">
        <v>7913340.5407811049</v>
      </c>
    </row>
    <row r="400" spans="1:1" x14ac:dyDescent="0.3">
      <c r="A400">
        <v>8757213.5832800902</v>
      </c>
    </row>
    <row r="401" spans="1:1" x14ac:dyDescent="0.3">
      <c r="A401">
        <v>13331468.87823917</v>
      </c>
    </row>
    <row r="402" spans="1:1" x14ac:dyDescent="0.3">
      <c r="A402">
        <v>7481080.7671184521</v>
      </c>
    </row>
    <row r="403" spans="1:1" x14ac:dyDescent="0.3">
      <c r="A403">
        <v>2860995.8105953531</v>
      </c>
    </row>
    <row r="404" spans="1:1" x14ac:dyDescent="0.3">
      <c r="A404">
        <v>7373191.8571289759</v>
      </c>
    </row>
    <row r="405" spans="1:1" x14ac:dyDescent="0.3">
      <c r="A405">
        <v>3521135.3743745661</v>
      </c>
    </row>
    <row r="406" spans="1:1" x14ac:dyDescent="0.3">
      <c r="A406">
        <v>59523.901437832741</v>
      </c>
    </row>
    <row r="407" spans="1:1" x14ac:dyDescent="0.3">
      <c r="A407">
        <v>8470695.521131862</v>
      </c>
    </row>
    <row r="408" spans="1:1" x14ac:dyDescent="0.3">
      <c r="A408">
        <v>9785900.7313480172</v>
      </c>
    </row>
    <row r="409" spans="1:1" x14ac:dyDescent="0.3">
      <c r="A409">
        <v>6948506.4657931812</v>
      </c>
    </row>
    <row r="410" spans="1:1" x14ac:dyDescent="0.3">
      <c r="A410">
        <v>2547488.4636069741</v>
      </c>
    </row>
    <row r="411" spans="1:1" x14ac:dyDescent="0.3">
      <c r="A411">
        <v>1363330.9192809153</v>
      </c>
    </row>
    <row r="412" spans="1:1" x14ac:dyDescent="0.3">
      <c r="A412">
        <v>7534043.1776003959</v>
      </c>
    </row>
    <row r="413" spans="1:1" x14ac:dyDescent="0.3">
      <c r="A413">
        <v>12846486.78074568</v>
      </c>
    </row>
    <row r="414" spans="1:1" x14ac:dyDescent="0.3">
      <c r="A414">
        <v>1651196.7240033061</v>
      </c>
    </row>
    <row r="415" spans="1:1" x14ac:dyDescent="0.3">
      <c r="A415">
        <v>5757462.7045650138</v>
      </c>
    </row>
    <row r="416" spans="1:1" x14ac:dyDescent="0.3">
      <c r="A416">
        <v>14689858.960059468</v>
      </c>
    </row>
    <row r="417" spans="1:1" x14ac:dyDescent="0.3">
      <c r="A417">
        <v>5269405.8197929272</v>
      </c>
    </row>
    <row r="418" spans="1:1" x14ac:dyDescent="0.3">
      <c r="A418">
        <v>5255008.0310941022</v>
      </c>
    </row>
    <row r="419" spans="1:1" x14ac:dyDescent="0.3">
      <c r="A419">
        <v>3091762.9316383251</v>
      </c>
    </row>
    <row r="420" spans="1:1" x14ac:dyDescent="0.3">
      <c r="A420">
        <v>8327237.3973373808</v>
      </c>
    </row>
    <row r="421" spans="1:1" x14ac:dyDescent="0.3">
      <c r="A421">
        <v>14640198.629016308</v>
      </c>
    </row>
    <row r="422" spans="1:1" x14ac:dyDescent="0.3">
      <c r="A422">
        <v>7590997.6460091285</v>
      </c>
    </row>
    <row r="423" spans="1:1" x14ac:dyDescent="0.3">
      <c r="A423">
        <v>10940045.740052275</v>
      </c>
    </row>
    <row r="424" spans="1:1" x14ac:dyDescent="0.3">
      <c r="A424">
        <v>3203496.624069619</v>
      </c>
    </row>
    <row r="425" spans="1:1" x14ac:dyDescent="0.3">
      <c r="A425">
        <v>14664192.487454964</v>
      </c>
    </row>
    <row r="426" spans="1:1" x14ac:dyDescent="0.3">
      <c r="A426">
        <v>3585853.4589401335</v>
      </c>
    </row>
    <row r="427" spans="1:1" x14ac:dyDescent="0.3">
      <c r="A427">
        <v>2004248.8343601527</v>
      </c>
    </row>
    <row r="428" spans="1:1" x14ac:dyDescent="0.3">
      <c r="A428">
        <v>3827916.27362329</v>
      </c>
    </row>
    <row r="429" spans="1:1" x14ac:dyDescent="0.3">
      <c r="A429">
        <v>6163988.3687516646</v>
      </c>
    </row>
    <row r="430" spans="1:1" x14ac:dyDescent="0.3">
      <c r="A430">
        <v>10157730.233352328</v>
      </c>
    </row>
    <row r="431" spans="1:1" x14ac:dyDescent="0.3">
      <c r="A431">
        <v>2582166.7757970854</v>
      </c>
    </row>
    <row r="432" spans="1:1" x14ac:dyDescent="0.3">
      <c r="A432">
        <v>7206592.4028982967</v>
      </c>
    </row>
    <row r="433" spans="1:1" x14ac:dyDescent="0.3">
      <c r="A433">
        <v>7502890.0058485372</v>
      </c>
    </row>
    <row r="434" spans="1:1" x14ac:dyDescent="0.3">
      <c r="A434">
        <v>18226700.918220911</v>
      </c>
    </row>
    <row r="435" spans="1:1" x14ac:dyDescent="0.3">
      <c r="A435">
        <v>4513812.1969914325</v>
      </c>
    </row>
    <row r="436" spans="1:1" x14ac:dyDescent="0.3">
      <c r="A436">
        <v>4864612.1095561078</v>
      </c>
    </row>
    <row r="437" spans="1:1" x14ac:dyDescent="0.3">
      <c r="A437">
        <v>11238951.683889007</v>
      </c>
    </row>
    <row r="438" spans="1:1" x14ac:dyDescent="0.3">
      <c r="A438">
        <v>4802068.9366224967</v>
      </c>
    </row>
    <row r="439" spans="1:1" x14ac:dyDescent="0.3">
      <c r="A439">
        <v>4907441.1409152392</v>
      </c>
    </row>
    <row r="440" spans="1:1" x14ac:dyDescent="0.3">
      <c r="A440">
        <v>1263595.3150993292</v>
      </c>
    </row>
    <row r="441" spans="1:1" x14ac:dyDescent="0.3">
      <c r="A441">
        <v>9925912.2141574007</v>
      </c>
    </row>
    <row r="442" spans="1:1" x14ac:dyDescent="0.3">
      <c r="A442">
        <v>6053201.5702600423</v>
      </c>
    </row>
    <row r="443" spans="1:1" x14ac:dyDescent="0.3">
      <c r="A443">
        <v>8236021.9434823012</v>
      </c>
    </row>
    <row r="444" spans="1:1" x14ac:dyDescent="0.3">
      <c r="A444">
        <v>2913721.1358133629</v>
      </c>
    </row>
    <row r="445" spans="1:1" x14ac:dyDescent="0.3">
      <c r="A445">
        <v>8163917.6109188162</v>
      </c>
    </row>
    <row r="446" spans="1:1" x14ac:dyDescent="0.3">
      <c r="A446">
        <v>6222589.2155776452</v>
      </c>
    </row>
    <row r="447" spans="1:1" x14ac:dyDescent="0.3">
      <c r="A447">
        <v>6020271.3408476468</v>
      </c>
    </row>
    <row r="448" spans="1:1" x14ac:dyDescent="0.3">
      <c r="A448">
        <v>3646238.0066469344</v>
      </c>
    </row>
    <row r="449" spans="1:1" x14ac:dyDescent="0.3">
      <c r="A449">
        <v>9468612.6321674734</v>
      </c>
    </row>
    <row r="450" spans="1:1" x14ac:dyDescent="0.3">
      <c r="A450">
        <v>2454509.3146904102</v>
      </c>
    </row>
    <row r="451" spans="1:1" x14ac:dyDescent="0.3">
      <c r="A451">
        <v>15366465.678873338</v>
      </c>
    </row>
    <row r="452" spans="1:1" x14ac:dyDescent="0.3">
      <c r="A452">
        <v>8023862.6060524378</v>
      </c>
    </row>
    <row r="453" spans="1:1" x14ac:dyDescent="0.3">
      <c r="A453">
        <v>-182619.6854399945</v>
      </c>
    </row>
    <row r="454" spans="1:1" x14ac:dyDescent="0.3">
      <c r="A454">
        <v>13539729.386270875</v>
      </c>
    </row>
    <row r="455" spans="1:1" x14ac:dyDescent="0.3">
      <c r="A455">
        <v>3444059.7181139123</v>
      </c>
    </row>
    <row r="456" spans="1:1" x14ac:dyDescent="0.3">
      <c r="A456">
        <v>7318778.4031086611</v>
      </c>
    </row>
    <row r="457" spans="1:1" x14ac:dyDescent="0.3">
      <c r="A457">
        <v>540172.77819977421</v>
      </c>
    </row>
    <row r="458" spans="1:1" x14ac:dyDescent="0.3">
      <c r="A458">
        <v>4616758.6704018917</v>
      </c>
    </row>
    <row r="459" spans="1:1" x14ac:dyDescent="0.3">
      <c r="A459">
        <v>16115193.230746953</v>
      </c>
    </row>
    <row r="460" spans="1:1" x14ac:dyDescent="0.3">
      <c r="A460">
        <v>2145285.3551554196</v>
      </c>
    </row>
    <row r="461" spans="1:1" x14ac:dyDescent="0.3">
      <c r="A461">
        <v>12778337.660522085</v>
      </c>
    </row>
    <row r="462" spans="1:1" x14ac:dyDescent="0.3">
      <c r="A462">
        <v>3749355.6533968444</v>
      </c>
    </row>
    <row r="463" spans="1:1" x14ac:dyDescent="0.3">
      <c r="A463">
        <v>14855821.252318947</v>
      </c>
    </row>
    <row r="464" spans="1:1" x14ac:dyDescent="0.3">
      <c r="A464">
        <v>8639150.3152899351</v>
      </c>
    </row>
    <row r="465" spans="1:1" x14ac:dyDescent="0.3">
      <c r="A465">
        <v>5130456.1313480418</v>
      </c>
    </row>
    <row r="466" spans="1:1" x14ac:dyDescent="0.3">
      <c r="A466">
        <v>6420903.6625996269</v>
      </c>
    </row>
    <row r="467" spans="1:1" x14ac:dyDescent="0.3">
      <c r="A467">
        <v>9108534.7835050561</v>
      </c>
    </row>
    <row r="468" spans="1:1" x14ac:dyDescent="0.3">
      <c r="A468">
        <v>1913444.5496414215</v>
      </c>
    </row>
    <row r="469" spans="1:1" x14ac:dyDescent="0.3">
      <c r="A469">
        <v>4548712.8404971939</v>
      </c>
    </row>
    <row r="470" spans="1:1" x14ac:dyDescent="0.3">
      <c r="A470">
        <v>4139759.2897237916</v>
      </c>
    </row>
    <row r="471" spans="1:1" x14ac:dyDescent="0.3">
      <c r="A471">
        <v>2684614.3313501095</v>
      </c>
    </row>
    <row r="472" spans="1:1" x14ac:dyDescent="0.3">
      <c r="A472">
        <v>3962385.4338051374</v>
      </c>
    </row>
    <row r="473" spans="1:1" x14ac:dyDescent="0.3">
      <c r="A473">
        <v>-613753.19513064215</v>
      </c>
    </row>
    <row r="474" spans="1:1" x14ac:dyDescent="0.3">
      <c r="A474">
        <v>6188113.2893925058</v>
      </c>
    </row>
    <row r="475" spans="1:1" x14ac:dyDescent="0.3">
      <c r="A475">
        <v>5201430.1692831134</v>
      </c>
    </row>
    <row r="476" spans="1:1" x14ac:dyDescent="0.3">
      <c r="A476">
        <v>5780325.9306936935</v>
      </c>
    </row>
    <row r="477" spans="1:1" x14ac:dyDescent="0.3">
      <c r="A477">
        <v>1244941.6083309655</v>
      </c>
    </row>
    <row r="478" spans="1:1" x14ac:dyDescent="0.3">
      <c r="A478">
        <v>5122867.8552971128</v>
      </c>
    </row>
    <row r="479" spans="1:1" x14ac:dyDescent="0.3">
      <c r="A479">
        <v>1818775.6148638849</v>
      </c>
    </row>
    <row r="480" spans="1:1" x14ac:dyDescent="0.3">
      <c r="A480">
        <v>7075472.9290250102</v>
      </c>
    </row>
    <row r="481" spans="1:1" x14ac:dyDescent="0.3">
      <c r="A481">
        <v>3298375.5360037647</v>
      </c>
    </row>
    <row r="482" spans="1:1" x14ac:dyDescent="0.3">
      <c r="A482">
        <v>8838313.9713761564</v>
      </c>
    </row>
    <row r="483" spans="1:1" x14ac:dyDescent="0.3">
      <c r="A483">
        <v>4085105.8114335993</v>
      </c>
    </row>
    <row r="484" spans="1:1" x14ac:dyDescent="0.3">
      <c r="A484">
        <v>11114284.180830909</v>
      </c>
    </row>
    <row r="485" spans="1:1" x14ac:dyDescent="0.3">
      <c r="A485">
        <v>6817900.982770863</v>
      </c>
    </row>
    <row r="486" spans="1:1" x14ac:dyDescent="0.3">
      <c r="A486">
        <v>8508455.5808817744</v>
      </c>
    </row>
    <row r="487" spans="1:1" x14ac:dyDescent="0.3">
      <c r="A487">
        <v>2821968.1350708939</v>
      </c>
    </row>
    <row r="488" spans="1:1" x14ac:dyDescent="0.3">
      <c r="A488">
        <v>8144701.8564011091</v>
      </c>
    </row>
    <row r="489" spans="1:1" x14ac:dyDescent="0.3">
      <c r="A489">
        <v>1542682.1132145319</v>
      </c>
    </row>
    <row r="490" spans="1:1" x14ac:dyDescent="0.3">
      <c r="A490">
        <v>8936548.5773912594</v>
      </c>
    </row>
    <row r="491" spans="1:1" x14ac:dyDescent="0.3">
      <c r="A491">
        <v>6036569.6980331931</v>
      </c>
    </row>
    <row r="492" spans="1:1" x14ac:dyDescent="0.3">
      <c r="A492">
        <v>14130024.010592096</v>
      </c>
    </row>
    <row r="493" spans="1:1" x14ac:dyDescent="0.3">
      <c r="A493">
        <v>-699285.89259901445</v>
      </c>
    </row>
    <row r="494" spans="1:1" x14ac:dyDescent="0.3">
      <c r="A494">
        <v>8573158.2357382886</v>
      </c>
    </row>
    <row r="495" spans="1:1" x14ac:dyDescent="0.3">
      <c r="A495">
        <v>5290145.1843201565</v>
      </c>
    </row>
    <row r="496" spans="1:1" x14ac:dyDescent="0.3">
      <c r="A496">
        <v>12106723.108006328</v>
      </c>
    </row>
    <row r="497" spans="1:1" x14ac:dyDescent="0.3">
      <c r="A497">
        <v>11185700.201356836</v>
      </c>
    </row>
    <row r="498" spans="1:1" x14ac:dyDescent="0.3">
      <c r="A498">
        <v>11691554.857089087</v>
      </c>
    </row>
    <row r="499" spans="1:1" x14ac:dyDescent="0.3">
      <c r="A499">
        <v>12241683.271793297</v>
      </c>
    </row>
    <row r="500" spans="1:1" x14ac:dyDescent="0.3">
      <c r="A500">
        <v>5198617.4059133735</v>
      </c>
    </row>
    <row r="501" spans="1:1" x14ac:dyDescent="0.3">
      <c r="A501">
        <v>3864596.3017667406</v>
      </c>
    </row>
    <row r="502" spans="1:1" x14ac:dyDescent="0.3">
      <c r="A502">
        <v>7990885.9781154469</v>
      </c>
    </row>
    <row r="503" spans="1:1" x14ac:dyDescent="0.3">
      <c r="A503">
        <v>6024432.7958539911</v>
      </c>
    </row>
    <row r="504" spans="1:1" x14ac:dyDescent="0.3">
      <c r="A504">
        <v>3157730.6130903522</v>
      </c>
    </row>
    <row r="505" spans="1:1" x14ac:dyDescent="0.3">
      <c r="A505">
        <v>3348033.4768017018</v>
      </c>
    </row>
    <row r="506" spans="1:1" x14ac:dyDescent="0.3">
      <c r="A506">
        <v>9042041.8949133437</v>
      </c>
    </row>
    <row r="507" spans="1:1" x14ac:dyDescent="0.3">
      <c r="A507">
        <v>2897751.8076833049</v>
      </c>
    </row>
    <row r="508" spans="1:1" x14ac:dyDescent="0.3">
      <c r="A508">
        <v>6820809.6451000888</v>
      </c>
    </row>
    <row r="509" spans="1:1" x14ac:dyDescent="0.3">
      <c r="A509">
        <v>12237263.411092712</v>
      </c>
    </row>
    <row r="510" spans="1:1" x14ac:dyDescent="0.3">
      <c r="A510">
        <v>14620935.385692766</v>
      </c>
    </row>
    <row r="511" spans="1:1" x14ac:dyDescent="0.3">
      <c r="A511">
        <v>2845254.2169346199</v>
      </c>
    </row>
    <row r="512" spans="1:1" x14ac:dyDescent="0.3">
      <c r="A512">
        <v>15006943.904207723</v>
      </c>
    </row>
    <row r="513" spans="1:1" x14ac:dyDescent="0.3">
      <c r="A513">
        <v>9239972.4331440013</v>
      </c>
    </row>
    <row r="514" spans="1:1" x14ac:dyDescent="0.3">
      <c r="A514">
        <v>3287469.488629235</v>
      </c>
    </row>
    <row r="515" spans="1:1" x14ac:dyDescent="0.3">
      <c r="A515">
        <v>2319066.9057681733</v>
      </c>
    </row>
    <row r="516" spans="1:1" x14ac:dyDescent="0.3">
      <c r="A516">
        <v>5568129.2464867542</v>
      </c>
    </row>
    <row r="517" spans="1:1" x14ac:dyDescent="0.3">
      <c r="A517">
        <v>18456814.542230427</v>
      </c>
    </row>
    <row r="518" spans="1:1" x14ac:dyDescent="0.3">
      <c r="A518">
        <v>2036860.8099740043</v>
      </c>
    </row>
    <row r="519" spans="1:1" x14ac:dyDescent="0.3">
      <c r="A519">
        <v>5097996.7693082718</v>
      </c>
    </row>
    <row r="520" spans="1:1" x14ac:dyDescent="0.3">
      <c r="A520">
        <v>3652826.3228326896</v>
      </c>
    </row>
    <row r="521" spans="1:1" x14ac:dyDescent="0.3">
      <c r="A521">
        <v>8866203.4636010155</v>
      </c>
    </row>
    <row r="522" spans="1:1" x14ac:dyDescent="0.3">
      <c r="A522">
        <v>9491434.7030041851</v>
      </c>
    </row>
    <row r="523" spans="1:1" x14ac:dyDescent="0.3">
      <c r="A523">
        <v>10988489.507535376</v>
      </c>
    </row>
    <row r="524" spans="1:1" x14ac:dyDescent="0.3">
      <c r="A524">
        <v>6295008.8217235971</v>
      </c>
    </row>
    <row r="525" spans="1:1" x14ac:dyDescent="0.3">
      <c r="A525">
        <v>12529952.001641024</v>
      </c>
    </row>
    <row r="526" spans="1:1" x14ac:dyDescent="0.3">
      <c r="A526">
        <v>4822290.9725622507</v>
      </c>
    </row>
    <row r="527" spans="1:1" x14ac:dyDescent="0.3">
      <c r="A527">
        <v>3201419.6375210071</v>
      </c>
    </row>
    <row r="528" spans="1:1" x14ac:dyDescent="0.3">
      <c r="A528">
        <v>17274543.205372084</v>
      </c>
    </row>
    <row r="529" spans="1:1" x14ac:dyDescent="0.3">
      <c r="A529">
        <v>2517518.8528160509</v>
      </c>
    </row>
    <row r="530" spans="1:1" x14ac:dyDescent="0.3">
      <c r="A530">
        <v>2912945.1053201356</v>
      </c>
    </row>
    <row r="531" spans="1:1" x14ac:dyDescent="0.3">
      <c r="A531">
        <v>5569157.1247624913</v>
      </c>
    </row>
    <row r="532" spans="1:1" x14ac:dyDescent="0.3">
      <c r="A532">
        <v>4911184.8513321495</v>
      </c>
    </row>
    <row r="533" spans="1:1" x14ac:dyDescent="0.3">
      <c r="A533">
        <v>8092559.6998472465</v>
      </c>
    </row>
    <row r="534" spans="1:1" x14ac:dyDescent="0.3">
      <c r="A534">
        <v>9049859.3461258113</v>
      </c>
    </row>
    <row r="535" spans="1:1" x14ac:dyDescent="0.3">
      <c r="A535">
        <v>3316929.3336772043</v>
      </c>
    </row>
    <row r="536" spans="1:1" x14ac:dyDescent="0.3">
      <c r="A536">
        <v>4128257.5444962541</v>
      </c>
    </row>
    <row r="537" spans="1:1" x14ac:dyDescent="0.3">
      <c r="A537">
        <v>2209341.7340694759</v>
      </c>
    </row>
    <row r="538" spans="1:1" x14ac:dyDescent="0.3">
      <c r="A538">
        <v>5749507.9737516725</v>
      </c>
    </row>
    <row r="539" spans="1:1" x14ac:dyDescent="0.3">
      <c r="A539">
        <v>12527353.769536654</v>
      </c>
    </row>
    <row r="540" spans="1:1" x14ac:dyDescent="0.3">
      <c r="A540">
        <v>11596769.636886958</v>
      </c>
    </row>
    <row r="541" spans="1:1" x14ac:dyDescent="0.3">
      <c r="A541">
        <v>12231743.474642146</v>
      </c>
    </row>
    <row r="542" spans="1:1" x14ac:dyDescent="0.3">
      <c r="A542">
        <v>9750514.4872364607</v>
      </c>
    </row>
    <row r="543" spans="1:1" x14ac:dyDescent="0.3">
      <c r="A543">
        <v>12290722.900789609</v>
      </c>
    </row>
    <row r="544" spans="1:1" x14ac:dyDescent="0.3">
      <c r="A544">
        <v>5401297.9874596652</v>
      </c>
    </row>
    <row r="545" spans="1:1" x14ac:dyDescent="0.3">
      <c r="A545">
        <v>10591858.230171308</v>
      </c>
    </row>
    <row r="546" spans="1:1" x14ac:dyDescent="0.3">
      <c r="A546">
        <v>1309060.0946876528</v>
      </c>
    </row>
    <row r="547" spans="1:1" x14ac:dyDescent="0.3">
      <c r="A547">
        <v>8523288.7271641437</v>
      </c>
    </row>
    <row r="548" spans="1:1" x14ac:dyDescent="0.3">
      <c r="A548">
        <v>8706976.6220516656</v>
      </c>
    </row>
    <row r="549" spans="1:1" x14ac:dyDescent="0.3">
      <c r="A549">
        <v>11587664.720166976</v>
      </c>
    </row>
    <row r="550" spans="1:1" x14ac:dyDescent="0.3">
      <c r="A550">
        <v>7813038.8738901364</v>
      </c>
    </row>
    <row r="551" spans="1:1" x14ac:dyDescent="0.3">
      <c r="A551">
        <v>8553906.5301990639</v>
      </c>
    </row>
    <row r="552" spans="1:1" x14ac:dyDescent="0.3">
      <c r="A552">
        <v>8861868.8773328736</v>
      </c>
    </row>
    <row r="553" spans="1:1" x14ac:dyDescent="0.3">
      <c r="A553">
        <v>3444449.0621320028</v>
      </c>
    </row>
    <row r="554" spans="1:1" x14ac:dyDescent="0.3">
      <c r="A554">
        <v>3940407.9593053949</v>
      </c>
    </row>
    <row r="555" spans="1:1" x14ac:dyDescent="0.3">
      <c r="A555">
        <v>8864154.0628797263</v>
      </c>
    </row>
    <row r="556" spans="1:1" x14ac:dyDescent="0.3">
      <c r="A556">
        <v>5296258.3137008455</v>
      </c>
    </row>
    <row r="557" spans="1:1" x14ac:dyDescent="0.3">
      <c r="A557">
        <v>15965489.810854511</v>
      </c>
    </row>
    <row r="558" spans="1:1" x14ac:dyDescent="0.3">
      <c r="A558">
        <v>7808933.639314549</v>
      </c>
    </row>
    <row r="559" spans="1:1" x14ac:dyDescent="0.3">
      <c r="A559">
        <v>4527478.2083007451</v>
      </c>
    </row>
    <row r="560" spans="1:1" x14ac:dyDescent="0.3">
      <c r="A560">
        <v>8224531.0525765168</v>
      </c>
    </row>
    <row r="561" spans="1:1" x14ac:dyDescent="0.3">
      <c r="A561">
        <v>5167954.2817376992</v>
      </c>
    </row>
    <row r="562" spans="1:1" x14ac:dyDescent="0.3">
      <c r="A562">
        <v>2632660.6091307634</v>
      </c>
    </row>
    <row r="563" spans="1:1" x14ac:dyDescent="0.3">
      <c r="A563">
        <v>2024733.6964059821</v>
      </c>
    </row>
    <row r="564" spans="1:1" x14ac:dyDescent="0.3">
      <c r="A564">
        <v>6241375.3517314214</v>
      </c>
    </row>
    <row r="565" spans="1:1" x14ac:dyDescent="0.3">
      <c r="A565">
        <v>2654915.9197059171</v>
      </c>
    </row>
    <row r="566" spans="1:1" x14ac:dyDescent="0.3">
      <c r="A566">
        <v>7346321.4980213335</v>
      </c>
    </row>
    <row r="567" spans="1:1" x14ac:dyDescent="0.3">
      <c r="A567">
        <v>-135193.04352614371</v>
      </c>
    </row>
    <row r="568" spans="1:1" x14ac:dyDescent="0.3">
      <c r="A568">
        <v>4754386.3739602612</v>
      </c>
    </row>
    <row r="569" spans="1:1" x14ac:dyDescent="0.3">
      <c r="A569">
        <v>14867801.804968718</v>
      </c>
    </row>
    <row r="570" spans="1:1" x14ac:dyDescent="0.3">
      <c r="A570">
        <v>11179155.304925194</v>
      </c>
    </row>
    <row r="571" spans="1:1" x14ac:dyDescent="0.3">
      <c r="A571">
        <v>14664565.921404928</v>
      </c>
    </row>
    <row r="572" spans="1:1" x14ac:dyDescent="0.3">
      <c r="A572">
        <v>1705069.5694328235</v>
      </c>
    </row>
    <row r="573" spans="1:1" x14ac:dyDescent="0.3">
      <c r="A573">
        <v>2034148.5931086089</v>
      </c>
    </row>
    <row r="574" spans="1:1" x14ac:dyDescent="0.3">
      <c r="A574">
        <v>3774379.445943126</v>
      </c>
    </row>
    <row r="575" spans="1:1" x14ac:dyDescent="0.3">
      <c r="A575">
        <v>4715683.2038360406</v>
      </c>
    </row>
    <row r="576" spans="1:1" x14ac:dyDescent="0.3">
      <c r="A576">
        <v>6407828.8784809802</v>
      </c>
    </row>
    <row r="577" spans="1:1" x14ac:dyDescent="0.3">
      <c r="A577">
        <v>1359297.82661429</v>
      </c>
    </row>
    <row r="578" spans="1:1" x14ac:dyDescent="0.3">
      <c r="A578">
        <v>1733871.9150991873</v>
      </c>
    </row>
    <row r="579" spans="1:1" x14ac:dyDescent="0.3">
      <c r="A579">
        <v>4005350.7172112903</v>
      </c>
    </row>
    <row r="580" spans="1:1" x14ac:dyDescent="0.3">
      <c r="A580">
        <v>14596557.405765662</v>
      </c>
    </row>
    <row r="581" spans="1:1" x14ac:dyDescent="0.3">
      <c r="A581">
        <v>1881513.5971879035</v>
      </c>
    </row>
    <row r="582" spans="1:1" x14ac:dyDescent="0.3">
      <c r="A582">
        <v>9134601.3905293196</v>
      </c>
    </row>
    <row r="583" spans="1:1" x14ac:dyDescent="0.3">
      <c r="A583">
        <v>11521615.455751842</v>
      </c>
    </row>
    <row r="584" spans="1:1" x14ac:dyDescent="0.3">
      <c r="A584">
        <v>1105725.0353313731</v>
      </c>
    </row>
    <row r="585" spans="1:1" x14ac:dyDescent="0.3">
      <c r="A585">
        <v>5914940.0175746921</v>
      </c>
    </row>
    <row r="586" spans="1:1" x14ac:dyDescent="0.3">
      <c r="A586">
        <v>8424926.3031538147</v>
      </c>
    </row>
    <row r="587" spans="1:1" x14ac:dyDescent="0.3">
      <c r="A587">
        <v>7502078.5303529175</v>
      </c>
    </row>
    <row r="588" spans="1:1" x14ac:dyDescent="0.3">
      <c r="A588">
        <v>1930847.8828671267</v>
      </c>
    </row>
    <row r="589" spans="1:1" x14ac:dyDescent="0.3">
      <c r="A589">
        <v>15220825.578386415</v>
      </c>
    </row>
    <row r="590" spans="1:1" x14ac:dyDescent="0.3">
      <c r="A590">
        <v>7691526.3360786596</v>
      </c>
    </row>
    <row r="591" spans="1:1" x14ac:dyDescent="0.3">
      <c r="A591">
        <v>-876076.30019390956</v>
      </c>
    </row>
    <row r="592" spans="1:1" x14ac:dyDescent="0.3">
      <c r="A592">
        <v>4065410.4237970691</v>
      </c>
    </row>
    <row r="593" spans="1:1" x14ac:dyDescent="0.3">
      <c r="A593">
        <v>4679013.5472475467</v>
      </c>
    </row>
    <row r="594" spans="1:1" x14ac:dyDescent="0.3">
      <c r="A594">
        <v>8741788.9921725392</v>
      </c>
    </row>
    <row r="595" spans="1:1" x14ac:dyDescent="0.3">
      <c r="A595">
        <v>6005936.6702134553</v>
      </c>
    </row>
    <row r="596" spans="1:1" x14ac:dyDescent="0.3">
      <c r="A596">
        <v>1422925.1963800581</v>
      </c>
    </row>
    <row r="597" spans="1:1" x14ac:dyDescent="0.3">
      <c r="A597">
        <v>5061490.7772212513</v>
      </c>
    </row>
    <row r="598" spans="1:1" x14ac:dyDescent="0.3">
      <c r="A598">
        <v>9504035.7969821189</v>
      </c>
    </row>
    <row r="599" spans="1:1" x14ac:dyDescent="0.3">
      <c r="A599">
        <v>8127965.9653073829</v>
      </c>
    </row>
    <row r="600" spans="1:1" x14ac:dyDescent="0.3">
      <c r="A600">
        <v>1894343.1503827949</v>
      </c>
    </row>
    <row r="601" spans="1:1" x14ac:dyDescent="0.3">
      <c r="A601">
        <v>1068884.6008360416</v>
      </c>
    </row>
    <row r="602" spans="1:1" x14ac:dyDescent="0.3">
      <c r="A602">
        <v>10471591.677244119</v>
      </c>
    </row>
    <row r="603" spans="1:1" x14ac:dyDescent="0.3">
      <c r="A603">
        <v>2540908.9421302141</v>
      </c>
    </row>
    <row r="604" spans="1:1" x14ac:dyDescent="0.3">
      <c r="A604">
        <v>13167835.310522566</v>
      </c>
    </row>
    <row r="605" spans="1:1" x14ac:dyDescent="0.3">
      <c r="A605">
        <v>13440045.739105845</v>
      </c>
    </row>
    <row r="606" spans="1:1" x14ac:dyDescent="0.3">
      <c r="A606">
        <v>6880234.1122532878</v>
      </c>
    </row>
    <row r="607" spans="1:1" x14ac:dyDescent="0.3">
      <c r="A607">
        <v>9737792.8630574215</v>
      </c>
    </row>
    <row r="608" spans="1:1" x14ac:dyDescent="0.3">
      <c r="A608">
        <v>5543807.2486359021</v>
      </c>
    </row>
    <row r="609" spans="1:1" x14ac:dyDescent="0.3">
      <c r="A609">
        <v>-716929.43607507145</v>
      </c>
    </row>
    <row r="610" spans="1:1" x14ac:dyDescent="0.3">
      <c r="A610">
        <v>7589803.1333788875</v>
      </c>
    </row>
    <row r="611" spans="1:1" x14ac:dyDescent="0.3">
      <c r="A611">
        <v>9293440.1094292458</v>
      </c>
    </row>
    <row r="612" spans="1:1" x14ac:dyDescent="0.3">
      <c r="A612">
        <v>4166312.4973914083</v>
      </c>
    </row>
    <row r="613" spans="1:1" x14ac:dyDescent="0.3">
      <c r="A613">
        <v>2796749.1015718989</v>
      </c>
    </row>
    <row r="614" spans="1:1" x14ac:dyDescent="0.3">
      <c r="A614">
        <v>1652328.6224824213</v>
      </c>
    </row>
    <row r="615" spans="1:1" x14ac:dyDescent="0.3">
      <c r="A615">
        <v>1112783.9472639505</v>
      </c>
    </row>
    <row r="616" spans="1:1" x14ac:dyDescent="0.3">
      <c r="A616">
        <v>6426912.7319551818</v>
      </c>
    </row>
    <row r="617" spans="1:1" x14ac:dyDescent="0.3">
      <c r="A617">
        <v>5353779.23700298</v>
      </c>
    </row>
    <row r="618" spans="1:1" x14ac:dyDescent="0.3">
      <c r="A618">
        <v>11148454.963397723</v>
      </c>
    </row>
    <row r="619" spans="1:1" x14ac:dyDescent="0.3">
      <c r="A619">
        <v>10907547.117593046</v>
      </c>
    </row>
    <row r="620" spans="1:1" x14ac:dyDescent="0.3">
      <c r="A620">
        <v>1293987.5488798791</v>
      </c>
    </row>
    <row r="621" spans="1:1" x14ac:dyDescent="0.3">
      <c r="A621">
        <v>2459731.9714216404</v>
      </c>
    </row>
    <row r="622" spans="1:1" x14ac:dyDescent="0.3">
      <c r="A622">
        <v>4974468.5895526335</v>
      </c>
    </row>
    <row r="623" spans="1:1" x14ac:dyDescent="0.3">
      <c r="A623">
        <v>5633377.6612452669</v>
      </c>
    </row>
    <row r="624" spans="1:1" x14ac:dyDescent="0.3">
      <c r="A624">
        <v>12842374.223153083</v>
      </c>
    </row>
    <row r="625" spans="1:1" x14ac:dyDescent="0.3">
      <c r="A625">
        <v>4401082.0981618166</v>
      </c>
    </row>
    <row r="626" spans="1:1" x14ac:dyDescent="0.3">
      <c r="A626">
        <v>-398942.37573024025</v>
      </c>
    </row>
    <row r="627" spans="1:1" x14ac:dyDescent="0.3">
      <c r="A627">
        <v>6573711.4854203034</v>
      </c>
    </row>
    <row r="628" spans="1:1" x14ac:dyDescent="0.3">
      <c r="A628">
        <v>6139645.1058696015</v>
      </c>
    </row>
    <row r="629" spans="1:1" x14ac:dyDescent="0.3">
      <c r="A629">
        <v>7106730.2623516237</v>
      </c>
    </row>
    <row r="630" spans="1:1" x14ac:dyDescent="0.3">
      <c r="A630">
        <v>926481.68018253823</v>
      </c>
    </row>
    <row r="631" spans="1:1" x14ac:dyDescent="0.3">
      <c r="A631">
        <v>8345874.9575170148</v>
      </c>
    </row>
    <row r="632" spans="1:1" x14ac:dyDescent="0.3">
      <c r="A632">
        <v>2404148.3598022298</v>
      </c>
    </row>
    <row r="633" spans="1:1" x14ac:dyDescent="0.3">
      <c r="A633">
        <v>6256005.6762745194</v>
      </c>
    </row>
    <row r="634" spans="1:1" x14ac:dyDescent="0.3">
      <c r="A634">
        <v>13221257.576862263</v>
      </c>
    </row>
    <row r="635" spans="1:1" x14ac:dyDescent="0.3">
      <c r="A635">
        <v>8042040.1010925975</v>
      </c>
    </row>
    <row r="636" spans="1:1" x14ac:dyDescent="0.3">
      <c r="A636">
        <v>16387293.085186804</v>
      </c>
    </row>
    <row r="637" spans="1:1" x14ac:dyDescent="0.3">
      <c r="A637">
        <v>15277244.497730037</v>
      </c>
    </row>
    <row r="638" spans="1:1" x14ac:dyDescent="0.3">
      <c r="A638">
        <v>7779646.3313440047</v>
      </c>
    </row>
    <row r="639" spans="1:1" x14ac:dyDescent="0.3">
      <c r="A639">
        <v>15360943.317805838</v>
      </c>
    </row>
    <row r="640" spans="1:1" x14ac:dyDescent="0.3">
      <c r="A640">
        <v>16652151.142539974</v>
      </c>
    </row>
    <row r="641" spans="1:1" x14ac:dyDescent="0.3">
      <c r="A641">
        <v>7844760.5864295214</v>
      </c>
    </row>
    <row r="642" spans="1:1" x14ac:dyDescent="0.3">
      <c r="A642">
        <v>2863927.9608408762</v>
      </c>
    </row>
    <row r="643" spans="1:1" x14ac:dyDescent="0.3">
      <c r="A643">
        <v>1874405.3500640611</v>
      </c>
    </row>
    <row r="644" spans="1:1" x14ac:dyDescent="0.3">
      <c r="A644">
        <v>3475123.6390708634</v>
      </c>
    </row>
    <row r="645" spans="1:1" x14ac:dyDescent="0.3">
      <c r="A645">
        <v>1931916.1140288166</v>
      </c>
    </row>
    <row r="646" spans="1:1" x14ac:dyDescent="0.3">
      <c r="A646">
        <v>6322065.9707042584</v>
      </c>
    </row>
    <row r="647" spans="1:1" x14ac:dyDescent="0.3">
      <c r="A647">
        <v>1269165.4969720265</v>
      </c>
    </row>
    <row r="648" spans="1:1" x14ac:dyDescent="0.3">
      <c r="A648">
        <v>2742226.6970870197</v>
      </c>
    </row>
    <row r="649" spans="1:1" x14ac:dyDescent="0.3">
      <c r="A649">
        <v>7183104.8346717991</v>
      </c>
    </row>
    <row r="650" spans="1:1" x14ac:dyDescent="0.3">
      <c r="A650">
        <v>4784606.4072500207</v>
      </c>
    </row>
    <row r="651" spans="1:1" x14ac:dyDescent="0.3">
      <c r="A651">
        <v>5058948.7946733031</v>
      </c>
    </row>
    <row r="652" spans="1:1" x14ac:dyDescent="0.3">
      <c r="A652">
        <v>3979539.9095326206</v>
      </c>
    </row>
    <row r="653" spans="1:1" x14ac:dyDescent="0.3">
      <c r="A653">
        <v>6557088.8107345197</v>
      </c>
    </row>
    <row r="654" spans="1:1" x14ac:dyDescent="0.3">
      <c r="A654">
        <v>12034213.667490233</v>
      </c>
    </row>
    <row r="655" spans="1:1" x14ac:dyDescent="0.3">
      <c r="A655">
        <v>2324446.7703930642</v>
      </c>
    </row>
    <row r="656" spans="1:1" x14ac:dyDescent="0.3">
      <c r="A656">
        <v>5857401.7903791014</v>
      </c>
    </row>
    <row r="657" spans="1:1" x14ac:dyDescent="0.3">
      <c r="A657">
        <v>17706598.809709687</v>
      </c>
    </row>
    <row r="658" spans="1:1" x14ac:dyDescent="0.3">
      <c r="A658">
        <v>21564883.278989989</v>
      </c>
    </row>
    <row r="659" spans="1:1" x14ac:dyDescent="0.3">
      <c r="A659">
        <v>9546042.0334783606</v>
      </c>
    </row>
    <row r="660" spans="1:1" x14ac:dyDescent="0.3">
      <c r="A660">
        <v>505639.55108132493</v>
      </c>
    </row>
    <row r="661" spans="1:1" x14ac:dyDescent="0.3">
      <c r="A661">
        <v>10554919.312173929</v>
      </c>
    </row>
    <row r="662" spans="1:1" x14ac:dyDescent="0.3">
      <c r="A662">
        <v>6304832.5624301173</v>
      </c>
    </row>
    <row r="663" spans="1:1" x14ac:dyDescent="0.3">
      <c r="A663">
        <v>7651494.6525072046</v>
      </c>
    </row>
    <row r="664" spans="1:1" x14ac:dyDescent="0.3">
      <c r="A664">
        <v>4459676.2303297119</v>
      </c>
    </row>
    <row r="665" spans="1:1" x14ac:dyDescent="0.3">
      <c r="A665">
        <v>15323878.778601319</v>
      </c>
    </row>
    <row r="666" spans="1:1" x14ac:dyDescent="0.3">
      <c r="A666">
        <v>5437872.7947186083</v>
      </c>
    </row>
    <row r="667" spans="1:1" x14ac:dyDescent="0.3">
      <c r="A667">
        <v>7063496.5191401234</v>
      </c>
    </row>
    <row r="668" spans="1:1" x14ac:dyDescent="0.3">
      <c r="A668">
        <v>5767105.909714208</v>
      </c>
    </row>
    <row r="669" spans="1:1" x14ac:dyDescent="0.3">
      <c r="A669">
        <v>6604160.1713820733</v>
      </c>
    </row>
    <row r="670" spans="1:1" x14ac:dyDescent="0.3">
      <c r="A670">
        <v>13900673.233270269</v>
      </c>
    </row>
    <row r="671" spans="1:1" x14ac:dyDescent="0.3">
      <c r="A671">
        <v>7835267.9930494158</v>
      </c>
    </row>
    <row r="672" spans="1:1" x14ac:dyDescent="0.3">
      <c r="A672">
        <v>6139263.0406324435</v>
      </c>
    </row>
    <row r="673" spans="1:1" x14ac:dyDescent="0.3">
      <c r="A673">
        <v>1807012.3115786368</v>
      </c>
    </row>
    <row r="674" spans="1:1" x14ac:dyDescent="0.3">
      <c r="A674">
        <v>8311028.8954452351</v>
      </c>
    </row>
    <row r="675" spans="1:1" x14ac:dyDescent="0.3">
      <c r="A675">
        <v>149419.4353934261</v>
      </c>
    </row>
    <row r="676" spans="1:1" x14ac:dyDescent="0.3">
      <c r="A676">
        <v>2868559.0442763115</v>
      </c>
    </row>
    <row r="677" spans="1:1" x14ac:dyDescent="0.3">
      <c r="A677">
        <v>12868866.242626289</v>
      </c>
    </row>
    <row r="678" spans="1:1" x14ac:dyDescent="0.3">
      <c r="A678">
        <v>592821.37357606308</v>
      </c>
    </row>
    <row r="679" spans="1:1" x14ac:dyDescent="0.3">
      <c r="A679">
        <v>5122255.7549242415</v>
      </c>
    </row>
    <row r="680" spans="1:1" x14ac:dyDescent="0.3">
      <c r="A680">
        <v>2131330.3410694483</v>
      </c>
    </row>
    <row r="681" spans="1:1" x14ac:dyDescent="0.3">
      <c r="A681">
        <v>9468256.8357770517</v>
      </c>
    </row>
    <row r="682" spans="1:1" x14ac:dyDescent="0.3">
      <c r="A682">
        <v>6448583.0360633675</v>
      </c>
    </row>
    <row r="683" spans="1:1" x14ac:dyDescent="0.3">
      <c r="A683">
        <v>23596717.261503614</v>
      </c>
    </row>
    <row r="684" spans="1:1" x14ac:dyDescent="0.3">
      <c r="A684">
        <v>6418754.2793199886</v>
      </c>
    </row>
    <row r="685" spans="1:1" x14ac:dyDescent="0.3">
      <c r="A685">
        <v>1443804.0922687897</v>
      </c>
    </row>
    <row r="686" spans="1:1" x14ac:dyDescent="0.3">
      <c r="A686">
        <v>4431015.7984263189</v>
      </c>
    </row>
    <row r="687" spans="1:1" x14ac:dyDescent="0.3">
      <c r="A687">
        <v>6379516.4751194874</v>
      </c>
    </row>
    <row r="688" spans="1:1" x14ac:dyDescent="0.3">
      <c r="A688">
        <v>5560400.7182235923</v>
      </c>
    </row>
    <row r="689" spans="1:1" x14ac:dyDescent="0.3">
      <c r="A689">
        <v>5181582.8568721805</v>
      </c>
    </row>
    <row r="690" spans="1:1" x14ac:dyDescent="0.3">
      <c r="A690">
        <v>6544684.3589171953</v>
      </c>
    </row>
    <row r="691" spans="1:1" x14ac:dyDescent="0.3">
      <c r="A691">
        <v>5045981.2732847342</v>
      </c>
    </row>
    <row r="692" spans="1:1" x14ac:dyDescent="0.3">
      <c r="A692">
        <v>9191012.3935081754</v>
      </c>
    </row>
    <row r="693" spans="1:1" x14ac:dyDescent="0.3">
      <c r="A693">
        <v>2742567.7721940237</v>
      </c>
    </row>
    <row r="694" spans="1:1" x14ac:dyDescent="0.3">
      <c r="A694">
        <v>6182772.2282363828</v>
      </c>
    </row>
    <row r="695" spans="1:1" x14ac:dyDescent="0.3">
      <c r="A695">
        <v>11647883.659968168</v>
      </c>
    </row>
    <row r="696" spans="1:1" x14ac:dyDescent="0.3">
      <c r="A696">
        <v>5162044.6785743255</v>
      </c>
    </row>
    <row r="697" spans="1:1" x14ac:dyDescent="0.3">
      <c r="A697">
        <v>9759991.8572180476</v>
      </c>
    </row>
    <row r="698" spans="1:1" x14ac:dyDescent="0.3">
      <c r="A698">
        <v>473750.66408307711</v>
      </c>
    </row>
    <row r="699" spans="1:1" x14ac:dyDescent="0.3">
      <c r="A699">
        <v>936207.18415439944</v>
      </c>
    </row>
    <row r="700" spans="1:1" x14ac:dyDescent="0.3">
      <c r="A700">
        <v>7420287.0753147602</v>
      </c>
    </row>
    <row r="701" spans="1:1" x14ac:dyDescent="0.3">
      <c r="A701">
        <v>12990479.716737188</v>
      </c>
    </row>
    <row r="702" spans="1:1" x14ac:dyDescent="0.3">
      <c r="A702">
        <v>6655534.623927637</v>
      </c>
    </row>
    <row r="703" spans="1:1" x14ac:dyDescent="0.3">
      <c r="A703">
        <v>6384711.1312277336</v>
      </c>
    </row>
    <row r="704" spans="1:1" x14ac:dyDescent="0.3">
      <c r="A704">
        <v>3103276.9771395992</v>
      </c>
    </row>
    <row r="705" spans="1:1" x14ac:dyDescent="0.3">
      <c r="A705">
        <v>19606845.034848586</v>
      </c>
    </row>
    <row r="706" spans="1:1" x14ac:dyDescent="0.3">
      <c r="A706">
        <v>12661524.894154884</v>
      </c>
    </row>
    <row r="707" spans="1:1" x14ac:dyDescent="0.3">
      <c r="A707">
        <v>2379114.8307401733</v>
      </c>
    </row>
    <row r="708" spans="1:1" x14ac:dyDescent="0.3">
      <c r="A708">
        <v>13852963.946482114</v>
      </c>
    </row>
    <row r="709" spans="1:1" x14ac:dyDescent="0.3">
      <c r="A709">
        <v>5787158.7165557127</v>
      </c>
    </row>
    <row r="710" spans="1:1" x14ac:dyDescent="0.3">
      <c r="A710">
        <v>1975963.1851320169</v>
      </c>
    </row>
    <row r="711" spans="1:1" x14ac:dyDescent="0.3">
      <c r="A711">
        <v>11939947.19758136</v>
      </c>
    </row>
    <row r="712" spans="1:1" x14ac:dyDescent="0.3">
      <c r="A712">
        <v>1633775.2183625819</v>
      </c>
    </row>
    <row r="713" spans="1:1" x14ac:dyDescent="0.3">
      <c r="A713">
        <v>5917013.8099959409</v>
      </c>
    </row>
    <row r="714" spans="1:1" x14ac:dyDescent="0.3">
      <c r="A714">
        <v>3131416.1530159423</v>
      </c>
    </row>
    <row r="715" spans="1:1" x14ac:dyDescent="0.3">
      <c r="A715">
        <v>14645543.984455546</v>
      </c>
    </row>
    <row r="716" spans="1:1" x14ac:dyDescent="0.3">
      <c r="A716">
        <v>4949423.9384886976</v>
      </c>
    </row>
    <row r="717" spans="1:1" x14ac:dyDescent="0.3">
      <c r="A717">
        <v>3256607.0211518849</v>
      </c>
    </row>
    <row r="718" spans="1:1" x14ac:dyDescent="0.3">
      <c r="A718">
        <v>1895647.8773008916</v>
      </c>
    </row>
    <row r="719" spans="1:1" x14ac:dyDescent="0.3">
      <c r="A719">
        <v>9164384.3692674041</v>
      </c>
    </row>
    <row r="720" spans="1:1" x14ac:dyDescent="0.3">
      <c r="A720">
        <v>-319838.56204211473</v>
      </c>
    </row>
    <row r="721" spans="1:1" x14ac:dyDescent="0.3">
      <c r="A721">
        <v>4271626.1739082262</v>
      </c>
    </row>
    <row r="722" spans="1:1" x14ac:dyDescent="0.3">
      <c r="A722">
        <v>3545076.8504554797</v>
      </c>
    </row>
    <row r="723" spans="1:1" x14ac:dyDescent="0.3">
      <c r="A723">
        <v>4956315.0265659243</v>
      </c>
    </row>
    <row r="724" spans="1:1" x14ac:dyDescent="0.3">
      <c r="A724">
        <v>4032012.2350675329</v>
      </c>
    </row>
    <row r="725" spans="1:1" x14ac:dyDescent="0.3">
      <c r="A725">
        <v>3256490.6037519188</v>
      </c>
    </row>
    <row r="726" spans="1:1" x14ac:dyDescent="0.3">
      <c r="A726">
        <v>5620233.0346166324</v>
      </c>
    </row>
    <row r="727" spans="1:1" x14ac:dyDescent="0.3">
      <c r="A727">
        <v>3314527.5238416344</v>
      </c>
    </row>
    <row r="728" spans="1:1" x14ac:dyDescent="0.3">
      <c r="A728">
        <v>1485545.933376471</v>
      </c>
    </row>
    <row r="729" spans="1:1" x14ac:dyDescent="0.3">
      <c r="A729">
        <v>12615999.552238505</v>
      </c>
    </row>
    <row r="730" spans="1:1" x14ac:dyDescent="0.3">
      <c r="A730">
        <v>4110741.3369898773</v>
      </c>
    </row>
    <row r="731" spans="1:1" x14ac:dyDescent="0.3">
      <c r="A731">
        <v>7967807.6231904346</v>
      </c>
    </row>
    <row r="732" spans="1:1" x14ac:dyDescent="0.3">
      <c r="A732">
        <v>13178805.431178473</v>
      </c>
    </row>
    <row r="733" spans="1:1" x14ac:dyDescent="0.3">
      <c r="A733">
        <v>6750250.9338089479</v>
      </c>
    </row>
    <row r="734" spans="1:1" x14ac:dyDescent="0.3">
      <c r="A734">
        <v>1152079.2454050854</v>
      </c>
    </row>
    <row r="735" spans="1:1" x14ac:dyDescent="0.3">
      <c r="A735">
        <v>5947747.2986987708</v>
      </c>
    </row>
    <row r="736" spans="1:1" x14ac:dyDescent="0.3">
      <c r="A736">
        <v>9243410.1102435198</v>
      </c>
    </row>
    <row r="737" spans="1:1" x14ac:dyDescent="0.3">
      <c r="A737">
        <v>4992227.7344126692</v>
      </c>
    </row>
    <row r="738" spans="1:1" x14ac:dyDescent="0.3">
      <c r="A738">
        <v>-160521.8122080749</v>
      </c>
    </row>
    <row r="739" spans="1:1" x14ac:dyDescent="0.3">
      <c r="A739">
        <v>13471664.515162628</v>
      </c>
    </row>
    <row r="740" spans="1:1" x14ac:dyDescent="0.3">
      <c r="A740">
        <v>6940388.1959481146</v>
      </c>
    </row>
    <row r="741" spans="1:1" x14ac:dyDescent="0.3">
      <c r="A741">
        <v>2875305.3991002049</v>
      </c>
    </row>
    <row r="742" spans="1:1" x14ac:dyDescent="0.3">
      <c r="A742">
        <v>3234059.1943181558</v>
      </c>
    </row>
    <row r="743" spans="1:1" x14ac:dyDescent="0.3">
      <c r="A743">
        <v>4117462.9917484103</v>
      </c>
    </row>
    <row r="744" spans="1:1" x14ac:dyDescent="0.3">
      <c r="A744">
        <v>16172168.229181614</v>
      </c>
    </row>
    <row r="745" spans="1:1" x14ac:dyDescent="0.3">
      <c r="A745">
        <v>3244534.1892295033</v>
      </c>
    </row>
    <row r="746" spans="1:1" x14ac:dyDescent="0.3">
      <c r="A746">
        <v>8144329.9028956071</v>
      </c>
    </row>
    <row r="747" spans="1:1" x14ac:dyDescent="0.3">
      <c r="A747">
        <v>13279720.470844125</v>
      </c>
    </row>
    <row r="748" spans="1:1" x14ac:dyDescent="0.3">
      <c r="A748">
        <v>2990516.8620508965</v>
      </c>
    </row>
    <row r="749" spans="1:1" x14ac:dyDescent="0.3">
      <c r="A749">
        <v>7896284.6865778649</v>
      </c>
    </row>
    <row r="750" spans="1:1" x14ac:dyDescent="0.3">
      <c r="A750">
        <v>3675903.7128901947</v>
      </c>
    </row>
    <row r="751" spans="1:1" x14ac:dyDescent="0.3">
      <c r="A751">
        <v>12568362.713233318</v>
      </c>
    </row>
    <row r="752" spans="1:1" x14ac:dyDescent="0.3">
      <c r="A752">
        <v>5195517.5992539339</v>
      </c>
    </row>
    <row r="753" spans="1:1" x14ac:dyDescent="0.3">
      <c r="A753">
        <v>7726770.2376106828</v>
      </c>
    </row>
    <row r="754" spans="1:1" x14ac:dyDescent="0.3">
      <c r="A754">
        <v>6197945.6125482684</v>
      </c>
    </row>
    <row r="755" spans="1:1" x14ac:dyDescent="0.3">
      <c r="A755">
        <v>4428626.1844603634</v>
      </c>
    </row>
    <row r="756" spans="1:1" x14ac:dyDescent="0.3">
      <c r="A756">
        <v>3421070.9971021265</v>
      </c>
    </row>
    <row r="757" spans="1:1" x14ac:dyDescent="0.3">
      <c r="A757">
        <v>1575998.2696216526</v>
      </c>
    </row>
    <row r="758" spans="1:1" x14ac:dyDescent="0.3">
      <c r="A758">
        <v>5208119.7101163659</v>
      </c>
    </row>
    <row r="759" spans="1:1" x14ac:dyDescent="0.3">
      <c r="A759">
        <v>4790281.8210916584</v>
      </c>
    </row>
    <row r="760" spans="1:1" x14ac:dyDescent="0.3">
      <c r="A760">
        <v>6249211.6012164569</v>
      </c>
    </row>
    <row r="761" spans="1:1" x14ac:dyDescent="0.3">
      <c r="A761">
        <v>1956560.7094014462</v>
      </c>
    </row>
    <row r="762" spans="1:1" x14ac:dyDescent="0.3">
      <c r="A762">
        <v>3176488.5573517764</v>
      </c>
    </row>
    <row r="763" spans="1:1" x14ac:dyDescent="0.3">
      <c r="A763">
        <v>8623608.8314389698</v>
      </c>
    </row>
    <row r="764" spans="1:1" x14ac:dyDescent="0.3">
      <c r="A764">
        <v>7243790.2916541081</v>
      </c>
    </row>
    <row r="765" spans="1:1" x14ac:dyDescent="0.3">
      <c r="A765">
        <v>5378914.7975624641</v>
      </c>
    </row>
    <row r="766" spans="1:1" x14ac:dyDescent="0.3">
      <c r="A766">
        <v>2400413.0676447945</v>
      </c>
    </row>
    <row r="767" spans="1:1" x14ac:dyDescent="0.3">
      <c r="A767">
        <v>8782991.8087501414</v>
      </c>
    </row>
    <row r="768" spans="1:1" x14ac:dyDescent="0.3">
      <c r="A768">
        <v>967524.72156489722</v>
      </c>
    </row>
    <row r="769" spans="1:1" x14ac:dyDescent="0.3">
      <c r="A769">
        <v>7113951.7940366287</v>
      </c>
    </row>
    <row r="770" spans="1:1" x14ac:dyDescent="0.3">
      <c r="A770">
        <v>4014184.8404172133</v>
      </c>
    </row>
    <row r="771" spans="1:1" x14ac:dyDescent="0.3">
      <c r="A771">
        <v>8131598.0134802284</v>
      </c>
    </row>
    <row r="772" spans="1:1" x14ac:dyDescent="0.3">
      <c r="A772">
        <v>3122190.4847434191</v>
      </c>
    </row>
    <row r="773" spans="1:1" x14ac:dyDescent="0.3">
      <c r="A773">
        <v>8284003.5135093126</v>
      </c>
    </row>
    <row r="774" spans="1:1" x14ac:dyDescent="0.3">
      <c r="A774">
        <v>1141176.4390133247</v>
      </c>
    </row>
    <row r="775" spans="1:1" x14ac:dyDescent="0.3">
      <c r="A775">
        <v>11532262.42876778</v>
      </c>
    </row>
    <row r="776" spans="1:1" x14ac:dyDescent="0.3">
      <c r="A776">
        <v>2532172.0992738162</v>
      </c>
    </row>
    <row r="777" spans="1:1" x14ac:dyDescent="0.3">
      <c r="A777">
        <v>6999341.7669056468</v>
      </c>
    </row>
    <row r="778" spans="1:1" x14ac:dyDescent="0.3">
      <c r="A778">
        <v>4986611.4655440776</v>
      </c>
    </row>
    <row r="779" spans="1:1" x14ac:dyDescent="0.3">
      <c r="A779">
        <v>13133862.769918086</v>
      </c>
    </row>
    <row r="780" spans="1:1" x14ac:dyDescent="0.3">
      <c r="A780">
        <v>17706093.954552822</v>
      </c>
    </row>
    <row r="781" spans="1:1" x14ac:dyDescent="0.3">
      <c r="A781">
        <v>547805.18195722776</v>
      </c>
    </row>
    <row r="782" spans="1:1" x14ac:dyDescent="0.3">
      <c r="A782">
        <v>10907068.485033432</v>
      </c>
    </row>
    <row r="783" spans="1:1" x14ac:dyDescent="0.3">
      <c r="A783">
        <v>8075912.7827991042</v>
      </c>
    </row>
    <row r="784" spans="1:1" x14ac:dyDescent="0.3">
      <c r="A784">
        <v>16980595.618585199</v>
      </c>
    </row>
    <row r="785" spans="1:1" x14ac:dyDescent="0.3">
      <c r="A785">
        <v>7854912.7017522268</v>
      </c>
    </row>
    <row r="786" spans="1:1" x14ac:dyDescent="0.3">
      <c r="A786">
        <v>4800256.1155777751</v>
      </c>
    </row>
    <row r="787" spans="1:1" x14ac:dyDescent="0.3">
      <c r="A787">
        <v>12155880.637592629</v>
      </c>
    </row>
    <row r="788" spans="1:1" x14ac:dyDescent="0.3">
      <c r="A788">
        <v>5834963.087204515</v>
      </c>
    </row>
    <row r="789" spans="1:1" x14ac:dyDescent="0.3">
      <c r="A789">
        <v>3969093.0337981354</v>
      </c>
    </row>
    <row r="790" spans="1:1" x14ac:dyDescent="0.3">
      <c r="A790">
        <v>13256842.484751383</v>
      </c>
    </row>
    <row r="791" spans="1:1" x14ac:dyDescent="0.3">
      <c r="A791">
        <v>8255081.6422758764</v>
      </c>
    </row>
    <row r="792" spans="1:1" x14ac:dyDescent="0.3">
      <c r="A792">
        <v>5042407.724724168</v>
      </c>
    </row>
    <row r="793" spans="1:1" x14ac:dyDescent="0.3">
      <c r="A793">
        <v>10210082.281379819</v>
      </c>
    </row>
    <row r="794" spans="1:1" x14ac:dyDescent="0.3">
      <c r="A794">
        <v>1118363.9399786079</v>
      </c>
    </row>
    <row r="795" spans="1:1" x14ac:dyDescent="0.3">
      <c r="A795">
        <v>10434329.39135764</v>
      </c>
    </row>
    <row r="796" spans="1:1" x14ac:dyDescent="0.3">
      <c r="A796">
        <v>1939325.8003805676</v>
      </c>
    </row>
    <row r="797" spans="1:1" x14ac:dyDescent="0.3">
      <c r="A797">
        <v>2065538.4319856414</v>
      </c>
    </row>
    <row r="798" spans="1:1" x14ac:dyDescent="0.3">
      <c r="A798">
        <v>8778441.2987586129</v>
      </c>
    </row>
    <row r="799" spans="1:1" x14ac:dyDescent="0.3">
      <c r="A799">
        <v>2699500.7036046558</v>
      </c>
    </row>
    <row r="800" spans="1:1" x14ac:dyDescent="0.3">
      <c r="A800">
        <v>3272242.9593841345</v>
      </c>
    </row>
    <row r="801" spans="1:1" x14ac:dyDescent="0.3">
      <c r="A801">
        <v>7924040.4608929344</v>
      </c>
    </row>
    <row r="802" spans="1:1" x14ac:dyDescent="0.3">
      <c r="A802">
        <v>6339700.5645516487</v>
      </c>
    </row>
    <row r="803" spans="1:1" x14ac:dyDescent="0.3">
      <c r="A803">
        <v>1603791.5223073992</v>
      </c>
    </row>
    <row r="804" spans="1:1" x14ac:dyDescent="0.3">
      <c r="A804">
        <v>1364977.1004669406</v>
      </c>
    </row>
    <row r="805" spans="1:1" x14ac:dyDescent="0.3">
      <c r="A805">
        <v>1250102.3592492235</v>
      </c>
    </row>
    <row r="806" spans="1:1" x14ac:dyDescent="0.3">
      <c r="A806">
        <v>1514276.2241807445</v>
      </c>
    </row>
    <row r="807" spans="1:1" x14ac:dyDescent="0.3">
      <c r="A807">
        <v>3350272.4709026911</v>
      </c>
    </row>
    <row r="808" spans="1:1" x14ac:dyDescent="0.3">
      <c r="A808">
        <v>13377488.433658488</v>
      </c>
    </row>
    <row r="809" spans="1:1" x14ac:dyDescent="0.3">
      <c r="A809">
        <v>8474998.2118506469</v>
      </c>
    </row>
    <row r="810" spans="1:1" x14ac:dyDescent="0.3">
      <c r="A810">
        <v>1827225.2843057865</v>
      </c>
    </row>
    <row r="811" spans="1:1" x14ac:dyDescent="0.3">
      <c r="A811">
        <v>4980205.6803971305</v>
      </c>
    </row>
    <row r="812" spans="1:1" x14ac:dyDescent="0.3">
      <c r="A812">
        <v>3980489.7019283683</v>
      </c>
    </row>
    <row r="813" spans="1:1" x14ac:dyDescent="0.3">
      <c r="A813">
        <v>-218238.10991157452</v>
      </c>
    </row>
    <row r="814" spans="1:1" x14ac:dyDescent="0.3">
      <c r="A814">
        <v>16828133.701651931</v>
      </c>
    </row>
    <row r="815" spans="1:1" x14ac:dyDescent="0.3">
      <c r="A815">
        <v>7865797.9738214929</v>
      </c>
    </row>
    <row r="816" spans="1:1" x14ac:dyDescent="0.3">
      <c r="A816">
        <v>20209174.029572964</v>
      </c>
    </row>
    <row r="817" spans="1:1" x14ac:dyDescent="0.3">
      <c r="A817">
        <v>907235.51386150753</v>
      </c>
    </row>
    <row r="818" spans="1:1" x14ac:dyDescent="0.3">
      <c r="A818">
        <v>4642775.600274371</v>
      </c>
    </row>
    <row r="819" spans="1:1" x14ac:dyDescent="0.3">
      <c r="A819">
        <v>1949867.1815046445</v>
      </c>
    </row>
    <row r="820" spans="1:1" x14ac:dyDescent="0.3">
      <c r="A820">
        <v>5944265.1507116212</v>
      </c>
    </row>
    <row r="821" spans="1:1" x14ac:dyDescent="0.3">
      <c r="A821">
        <v>4021925.946853376</v>
      </c>
    </row>
    <row r="822" spans="1:1" x14ac:dyDescent="0.3">
      <c r="A822">
        <v>1883741.0876831496</v>
      </c>
    </row>
    <row r="823" spans="1:1" x14ac:dyDescent="0.3">
      <c r="A823">
        <v>2968319.5467740707</v>
      </c>
    </row>
    <row r="824" spans="1:1" x14ac:dyDescent="0.3">
      <c r="A824">
        <v>8104996.6595591828</v>
      </c>
    </row>
    <row r="825" spans="1:1" x14ac:dyDescent="0.3">
      <c r="A825">
        <v>7648601.2250094656</v>
      </c>
    </row>
    <row r="826" spans="1:1" x14ac:dyDescent="0.3">
      <c r="A826">
        <v>4981065.5492528789</v>
      </c>
    </row>
    <row r="827" spans="1:1" x14ac:dyDescent="0.3">
      <c r="A827">
        <v>4388200.0671705725</v>
      </c>
    </row>
    <row r="828" spans="1:1" x14ac:dyDescent="0.3">
      <c r="A828">
        <v>8375832.7041571327</v>
      </c>
    </row>
    <row r="829" spans="1:1" x14ac:dyDescent="0.3">
      <c r="A829">
        <v>15843826.556488292</v>
      </c>
    </row>
    <row r="830" spans="1:1" x14ac:dyDescent="0.3">
      <c r="A830">
        <v>5675567.1346726567</v>
      </c>
    </row>
    <row r="831" spans="1:1" x14ac:dyDescent="0.3">
      <c r="A831">
        <v>2656350.3644937025</v>
      </c>
    </row>
    <row r="832" spans="1:1" x14ac:dyDescent="0.3">
      <c r="A832">
        <v>6482745.7086089924</v>
      </c>
    </row>
    <row r="833" spans="1:1" x14ac:dyDescent="0.3">
      <c r="A833">
        <v>7569332.1581580844</v>
      </c>
    </row>
    <row r="834" spans="1:1" x14ac:dyDescent="0.3">
      <c r="A834">
        <v>8034566.8476855233</v>
      </c>
    </row>
    <row r="835" spans="1:1" x14ac:dyDescent="0.3">
      <c r="A835">
        <v>1941826.1738494562</v>
      </c>
    </row>
    <row r="836" spans="1:1" x14ac:dyDescent="0.3">
      <c r="A836">
        <v>5443620.8086101487</v>
      </c>
    </row>
    <row r="837" spans="1:1" x14ac:dyDescent="0.3">
      <c r="A837">
        <v>4035634.9458276387</v>
      </c>
    </row>
    <row r="838" spans="1:1" x14ac:dyDescent="0.3">
      <c r="A838">
        <v>3209185.8054806897</v>
      </c>
    </row>
    <row r="839" spans="1:1" x14ac:dyDescent="0.3">
      <c r="A839">
        <v>7552584.1725837635</v>
      </c>
    </row>
    <row r="840" spans="1:1" x14ac:dyDescent="0.3">
      <c r="A840">
        <v>-100082.75560406048</v>
      </c>
    </row>
    <row r="841" spans="1:1" x14ac:dyDescent="0.3">
      <c r="A841">
        <v>6094577.0704057617</v>
      </c>
    </row>
    <row r="842" spans="1:1" x14ac:dyDescent="0.3">
      <c r="A842">
        <v>1817608.0824002228</v>
      </c>
    </row>
    <row r="843" spans="1:1" x14ac:dyDescent="0.3">
      <c r="A843">
        <v>11029985.183860105</v>
      </c>
    </row>
    <row r="844" spans="1:1" x14ac:dyDescent="0.3">
      <c r="A844">
        <v>3528003.8463366614</v>
      </c>
    </row>
    <row r="845" spans="1:1" x14ac:dyDescent="0.3">
      <c r="A845">
        <v>4570598.705512342</v>
      </c>
    </row>
    <row r="846" spans="1:1" x14ac:dyDescent="0.3">
      <c r="A846">
        <v>4733070.3482849821</v>
      </c>
    </row>
    <row r="847" spans="1:1" x14ac:dyDescent="0.3">
      <c r="A847">
        <v>14021931.399572385</v>
      </c>
    </row>
    <row r="848" spans="1:1" x14ac:dyDescent="0.3">
      <c r="A848">
        <v>6829409.7522847932</v>
      </c>
    </row>
    <row r="849" spans="1:1" x14ac:dyDescent="0.3">
      <c r="A849">
        <v>5977349.2340201186</v>
      </c>
    </row>
    <row r="850" spans="1:1" x14ac:dyDescent="0.3">
      <c r="A850">
        <v>17623837.079881087</v>
      </c>
    </row>
    <row r="851" spans="1:1" x14ac:dyDescent="0.3">
      <c r="A851">
        <v>5009181.9638544107</v>
      </c>
    </row>
    <row r="852" spans="1:1" x14ac:dyDescent="0.3">
      <c r="A852">
        <v>8863991.7407425717</v>
      </c>
    </row>
    <row r="853" spans="1:1" x14ac:dyDescent="0.3">
      <c r="A853">
        <v>10755086.132234655</v>
      </c>
    </row>
    <row r="854" spans="1:1" x14ac:dyDescent="0.3">
      <c r="A854">
        <v>-1047648.6620161351</v>
      </c>
    </row>
    <row r="855" spans="1:1" x14ac:dyDescent="0.3">
      <c r="A855">
        <v>13148899.72948662</v>
      </c>
    </row>
    <row r="856" spans="1:1" x14ac:dyDescent="0.3">
      <c r="A856">
        <v>8142644.1563949641</v>
      </c>
    </row>
    <row r="857" spans="1:1" x14ac:dyDescent="0.3">
      <c r="A857">
        <v>11460091.726089362</v>
      </c>
    </row>
    <row r="858" spans="1:1" x14ac:dyDescent="0.3">
      <c r="A858">
        <v>4873982.2544924635</v>
      </c>
    </row>
    <row r="859" spans="1:1" x14ac:dyDescent="0.3">
      <c r="A859">
        <v>3161242.2143496964</v>
      </c>
    </row>
    <row r="860" spans="1:1" x14ac:dyDescent="0.3">
      <c r="A860">
        <v>4893520.4432424959</v>
      </c>
    </row>
    <row r="861" spans="1:1" x14ac:dyDescent="0.3">
      <c r="A861">
        <v>3010484.1617924594</v>
      </c>
    </row>
    <row r="862" spans="1:1" x14ac:dyDescent="0.3">
      <c r="A862">
        <v>2012361.8576720944</v>
      </c>
    </row>
    <row r="863" spans="1:1" x14ac:dyDescent="0.3">
      <c r="A863">
        <v>13480294.543377912</v>
      </c>
    </row>
    <row r="864" spans="1:1" x14ac:dyDescent="0.3">
      <c r="A864">
        <v>6369196.3886864027</v>
      </c>
    </row>
    <row r="865" spans="1:1" x14ac:dyDescent="0.3">
      <c r="A865">
        <v>8729851.0003917366</v>
      </c>
    </row>
    <row r="866" spans="1:1" x14ac:dyDescent="0.3">
      <c r="A866">
        <v>7505631.1420701006</v>
      </c>
    </row>
    <row r="867" spans="1:1" x14ac:dyDescent="0.3">
      <c r="A867">
        <v>2943487.3011795022</v>
      </c>
    </row>
    <row r="868" spans="1:1" x14ac:dyDescent="0.3">
      <c r="A868">
        <v>-215866.94536799664</v>
      </c>
    </row>
    <row r="869" spans="1:1" x14ac:dyDescent="0.3">
      <c r="A869">
        <v>5124785.4932282129</v>
      </c>
    </row>
    <row r="870" spans="1:1" x14ac:dyDescent="0.3">
      <c r="A870">
        <v>13981820.438984165</v>
      </c>
    </row>
    <row r="871" spans="1:1" x14ac:dyDescent="0.3">
      <c r="A871">
        <v>7875586.8382134624</v>
      </c>
    </row>
    <row r="872" spans="1:1" x14ac:dyDescent="0.3">
      <c r="A872">
        <v>4587066.3596647773</v>
      </c>
    </row>
    <row r="873" spans="1:1" x14ac:dyDescent="0.3">
      <c r="A873">
        <v>10416894.987523185</v>
      </c>
    </row>
    <row r="874" spans="1:1" x14ac:dyDescent="0.3">
      <c r="A874">
        <v>13445545.281467654</v>
      </c>
    </row>
    <row r="875" spans="1:1" x14ac:dyDescent="0.3">
      <c r="A875">
        <v>3201318.5480595133</v>
      </c>
    </row>
    <row r="876" spans="1:1" x14ac:dyDescent="0.3">
      <c r="A876">
        <v>7056669.7976731518</v>
      </c>
    </row>
    <row r="877" spans="1:1" x14ac:dyDescent="0.3">
      <c r="A877">
        <v>5008219.3730924185</v>
      </c>
    </row>
    <row r="878" spans="1:1" x14ac:dyDescent="0.3">
      <c r="A878">
        <v>3280379.3264569542</v>
      </c>
    </row>
    <row r="879" spans="1:1" x14ac:dyDescent="0.3">
      <c r="A879">
        <v>291412.41707006854</v>
      </c>
    </row>
    <row r="880" spans="1:1" x14ac:dyDescent="0.3">
      <c r="A880">
        <v>1807325.5103156311</v>
      </c>
    </row>
    <row r="881" spans="1:1" x14ac:dyDescent="0.3">
      <c r="A881">
        <v>5546108.4490937376</v>
      </c>
    </row>
    <row r="882" spans="1:1" x14ac:dyDescent="0.3">
      <c r="A882">
        <v>2433169.7516796449</v>
      </c>
    </row>
    <row r="883" spans="1:1" x14ac:dyDescent="0.3">
      <c r="A883">
        <v>4224331.0064313114</v>
      </c>
    </row>
    <row r="884" spans="1:1" x14ac:dyDescent="0.3">
      <c r="A884">
        <v>6047437.8368546944</v>
      </c>
    </row>
    <row r="885" spans="1:1" x14ac:dyDescent="0.3">
      <c r="A885">
        <v>3116702.7129692952</v>
      </c>
    </row>
    <row r="886" spans="1:1" x14ac:dyDescent="0.3">
      <c r="A886">
        <v>999017.529434892</v>
      </c>
    </row>
    <row r="887" spans="1:1" x14ac:dyDescent="0.3">
      <c r="A887">
        <v>6647122.4755380824</v>
      </c>
    </row>
    <row r="888" spans="1:1" x14ac:dyDescent="0.3">
      <c r="A888">
        <v>4916044.4633446522</v>
      </c>
    </row>
    <row r="889" spans="1:1" x14ac:dyDescent="0.3">
      <c r="A889">
        <v>6321469.1691888757</v>
      </c>
    </row>
    <row r="890" spans="1:1" x14ac:dyDescent="0.3">
      <c r="A890">
        <v>4849383.4308943786</v>
      </c>
    </row>
    <row r="891" spans="1:1" x14ac:dyDescent="0.3">
      <c r="A891">
        <v>7157202.1659430433</v>
      </c>
    </row>
    <row r="892" spans="1:1" x14ac:dyDescent="0.3">
      <c r="A892">
        <v>4912216.3637913177</v>
      </c>
    </row>
    <row r="893" spans="1:1" x14ac:dyDescent="0.3">
      <c r="A893">
        <v>6679284.090945824</v>
      </c>
    </row>
    <row r="894" spans="1:1" x14ac:dyDescent="0.3">
      <c r="A894">
        <v>10423141.476047736</v>
      </c>
    </row>
    <row r="895" spans="1:1" x14ac:dyDescent="0.3">
      <c r="A895">
        <v>4070942.040388017</v>
      </c>
    </row>
    <row r="896" spans="1:1" x14ac:dyDescent="0.3">
      <c r="A896">
        <v>1038423.0960175542</v>
      </c>
    </row>
    <row r="897" spans="1:1" x14ac:dyDescent="0.3">
      <c r="A897">
        <v>8030653.925116499</v>
      </c>
    </row>
    <row r="898" spans="1:1" x14ac:dyDescent="0.3">
      <c r="A898">
        <v>2144003.0925585036</v>
      </c>
    </row>
    <row r="899" spans="1:1" x14ac:dyDescent="0.3">
      <c r="A899">
        <v>1650875.4939300595</v>
      </c>
    </row>
    <row r="900" spans="1:1" x14ac:dyDescent="0.3">
      <c r="A900">
        <v>6434197.584422417</v>
      </c>
    </row>
    <row r="901" spans="1:1" x14ac:dyDescent="0.3">
      <c r="A901">
        <v>4066911.8145041978</v>
      </c>
    </row>
    <row r="902" spans="1:1" x14ac:dyDescent="0.3">
      <c r="A902">
        <v>2320920.6015345771</v>
      </c>
    </row>
    <row r="903" spans="1:1" x14ac:dyDescent="0.3">
      <c r="A903">
        <v>12465968.838669203</v>
      </c>
    </row>
    <row r="904" spans="1:1" x14ac:dyDescent="0.3">
      <c r="A904">
        <v>6542295.9126281356</v>
      </c>
    </row>
    <row r="905" spans="1:1" x14ac:dyDescent="0.3">
      <c r="A905">
        <v>15232134.372976653</v>
      </c>
    </row>
    <row r="906" spans="1:1" x14ac:dyDescent="0.3">
      <c r="A906">
        <v>8995601.4335375465</v>
      </c>
    </row>
    <row r="907" spans="1:1" x14ac:dyDescent="0.3">
      <c r="A907">
        <v>4019439.3572842497</v>
      </c>
    </row>
    <row r="908" spans="1:1" x14ac:dyDescent="0.3">
      <c r="A908">
        <v>3615384.1668382678</v>
      </c>
    </row>
    <row r="909" spans="1:1" x14ac:dyDescent="0.3">
      <c r="A909">
        <v>6791951.057588662</v>
      </c>
    </row>
    <row r="910" spans="1:1" x14ac:dyDescent="0.3">
      <c r="A910">
        <v>9467011.3486419003</v>
      </c>
    </row>
    <row r="911" spans="1:1" x14ac:dyDescent="0.3">
      <c r="A911">
        <v>12781463.12723848</v>
      </c>
    </row>
    <row r="912" spans="1:1" x14ac:dyDescent="0.3">
      <c r="A912">
        <v>7177049.4812637093</v>
      </c>
    </row>
    <row r="913" spans="1:1" x14ac:dyDescent="0.3">
      <c r="A913">
        <v>1042593.8241820968</v>
      </c>
    </row>
    <row r="914" spans="1:1" x14ac:dyDescent="0.3">
      <c r="A914">
        <v>9397899.8082913719</v>
      </c>
    </row>
    <row r="915" spans="1:1" x14ac:dyDescent="0.3">
      <c r="A915">
        <v>12754627.793530259</v>
      </c>
    </row>
    <row r="916" spans="1:1" x14ac:dyDescent="0.3">
      <c r="A916">
        <v>6855218.8513387572</v>
      </c>
    </row>
    <row r="917" spans="1:1" x14ac:dyDescent="0.3">
      <c r="A917">
        <v>1329802.7256719097</v>
      </c>
    </row>
    <row r="918" spans="1:1" x14ac:dyDescent="0.3">
      <c r="A918">
        <v>8394351.739871718</v>
      </c>
    </row>
    <row r="919" spans="1:1" x14ac:dyDescent="0.3">
      <c r="A919">
        <v>8602846.2140744757</v>
      </c>
    </row>
    <row r="920" spans="1:1" x14ac:dyDescent="0.3">
      <c r="A920">
        <v>4512803.9346195087</v>
      </c>
    </row>
    <row r="921" spans="1:1" x14ac:dyDescent="0.3">
      <c r="A921">
        <v>5434085.4327692362</v>
      </c>
    </row>
    <row r="922" spans="1:1" x14ac:dyDescent="0.3">
      <c r="A922">
        <v>11259026.200117849</v>
      </c>
    </row>
    <row r="923" spans="1:1" x14ac:dyDescent="0.3">
      <c r="A923">
        <v>12789585.758788813</v>
      </c>
    </row>
    <row r="924" spans="1:1" x14ac:dyDescent="0.3">
      <c r="A924">
        <v>8996371.2220643908</v>
      </c>
    </row>
    <row r="925" spans="1:1" x14ac:dyDescent="0.3">
      <c r="A925">
        <v>8093903.8321965653</v>
      </c>
    </row>
    <row r="926" spans="1:1" x14ac:dyDescent="0.3">
      <c r="A926">
        <v>13074195.881361557</v>
      </c>
    </row>
    <row r="927" spans="1:1" x14ac:dyDescent="0.3">
      <c r="A927">
        <v>4706881.7908546692</v>
      </c>
    </row>
    <row r="928" spans="1:1" x14ac:dyDescent="0.3">
      <c r="A928">
        <v>2833348.6795886541</v>
      </c>
    </row>
    <row r="929" spans="1:1" x14ac:dyDescent="0.3">
      <c r="A929">
        <v>3700368.7564335722</v>
      </c>
    </row>
    <row r="930" spans="1:1" x14ac:dyDescent="0.3">
      <c r="A930">
        <v>121177.20605615922</v>
      </c>
    </row>
    <row r="931" spans="1:1" x14ac:dyDescent="0.3">
      <c r="A931">
        <v>10813177.454119315</v>
      </c>
    </row>
    <row r="932" spans="1:1" x14ac:dyDescent="0.3">
      <c r="A932">
        <v>7487725.9581364961</v>
      </c>
    </row>
    <row r="933" spans="1:1" x14ac:dyDescent="0.3">
      <c r="A933">
        <v>3890676.2067170586</v>
      </c>
    </row>
    <row r="934" spans="1:1" x14ac:dyDescent="0.3">
      <c r="A934">
        <v>9448812.1085472517</v>
      </c>
    </row>
    <row r="935" spans="1:1" x14ac:dyDescent="0.3">
      <c r="A935">
        <v>10025174.069453983</v>
      </c>
    </row>
    <row r="936" spans="1:1" x14ac:dyDescent="0.3">
      <c r="A936">
        <v>12071881.51318473</v>
      </c>
    </row>
    <row r="937" spans="1:1" x14ac:dyDescent="0.3">
      <c r="A937">
        <v>4431987.9700887678</v>
      </c>
    </row>
    <row r="938" spans="1:1" x14ac:dyDescent="0.3">
      <c r="A938">
        <v>5926571.0895693302</v>
      </c>
    </row>
    <row r="939" spans="1:1" x14ac:dyDescent="0.3">
      <c r="A939">
        <v>3560091.5388039192</v>
      </c>
    </row>
    <row r="940" spans="1:1" x14ac:dyDescent="0.3">
      <c r="A940">
        <v>3840794.4171505319</v>
      </c>
    </row>
    <row r="941" spans="1:1" x14ac:dyDescent="0.3">
      <c r="A941">
        <v>-713128.08774381084</v>
      </c>
    </row>
    <row r="942" spans="1:1" x14ac:dyDescent="0.3">
      <c r="A942">
        <v>9588258.5819686167</v>
      </c>
    </row>
    <row r="943" spans="1:1" x14ac:dyDescent="0.3">
      <c r="A943">
        <v>5608503.5197899193</v>
      </c>
    </row>
    <row r="944" spans="1:1" x14ac:dyDescent="0.3">
      <c r="A944">
        <v>1221183.5158929643</v>
      </c>
    </row>
    <row r="945" spans="1:1" x14ac:dyDescent="0.3">
      <c r="A945">
        <v>6578381.6598704243</v>
      </c>
    </row>
    <row r="946" spans="1:1" x14ac:dyDescent="0.3">
      <c r="A946">
        <v>3962684.1882860395</v>
      </c>
    </row>
    <row r="947" spans="1:1" x14ac:dyDescent="0.3">
      <c r="A947">
        <v>4555100.376108381</v>
      </c>
    </row>
    <row r="948" spans="1:1" x14ac:dyDescent="0.3">
      <c r="A948">
        <v>2030856.0584724075</v>
      </c>
    </row>
    <row r="949" spans="1:1" x14ac:dyDescent="0.3">
      <c r="A949">
        <v>9107921.8255226593</v>
      </c>
    </row>
    <row r="950" spans="1:1" x14ac:dyDescent="0.3">
      <c r="A950">
        <v>4629016.3579251757</v>
      </c>
    </row>
    <row r="951" spans="1:1" x14ac:dyDescent="0.3">
      <c r="A951">
        <v>2661928.0006294474</v>
      </c>
    </row>
    <row r="952" spans="1:1" x14ac:dyDescent="0.3">
      <c r="A952">
        <v>576986.01327777118</v>
      </c>
    </row>
    <row r="953" spans="1:1" x14ac:dyDescent="0.3">
      <c r="A953">
        <v>7808391.5304272082</v>
      </c>
    </row>
    <row r="954" spans="1:1" x14ac:dyDescent="0.3">
      <c r="A954">
        <v>7782378.7783418596</v>
      </c>
    </row>
    <row r="955" spans="1:1" x14ac:dyDescent="0.3">
      <c r="A955">
        <v>7100735.5934098512</v>
      </c>
    </row>
    <row r="956" spans="1:1" x14ac:dyDescent="0.3">
      <c r="A956">
        <v>13881842.297673026</v>
      </c>
    </row>
    <row r="957" spans="1:1" x14ac:dyDescent="0.3">
      <c r="A957">
        <v>12334561.219494004</v>
      </c>
    </row>
    <row r="958" spans="1:1" x14ac:dyDescent="0.3">
      <c r="A958">
        <v>2205023.2968228254</v>
      </c>
    </row>
    <row r="959" spans="1:1" x14ac:dyDescent="0.3">
      <c r="A959">
        <v>11084920.36622769</v>
      </c>
    </row>
    <row r="960" spans="1:1" x14ac:dyDescent="0.3">
      <c r="A960">
        <v>2031067.7426226633</v>
      </c>
    </row>
    <row r="961" spans="1:1" x14ac:dyDescent="0.3">
      <c r="A961">
        <v>7057562.9644143302</v>
      </c>
    </row>
    <row r="962" spans="1:1" x14ac:dyDescent="0.3">
      <c r="A962">
        <v>9022079.2881171033</v>
      </c>
    </row>
    <row r="963" spans="1:1" x14ac:dyDescent="0.3">
      <c r="A963">
        <v>2693909.1284684073</v>
      </c>
    </row>
    <row r="964" spans="1:1" x14ac:dyDescent="0.3">
      <c r="A964">
        <v>3651960.5642060176</v>
      </c>
    </row>
    <row r="965" spans="1:1" x14ac:dyDescent="0.3">
      <c r="A965">
        <v>8117215.70169672</v>
      </c>
    </row>
    <row r="966" spans="1:1" x14ac:dyDescent="0.3">
      <c r="A966">
        <v>9112093.4493617788</v>
      </c>
    </row>
    <row r="967" spans="1:1" x14ac:dyDescent="0.3">
      <c r="A967">
        <v>4452117.9343151711</v>
      </c>
    </row>
    <row r="968" spans="1:1" x14ac:dyDescent="0.3">
      <c r="A968">
        <v>2830805.6747804792</v>
      </c>
    </row>
    <row r="969" spans="1:1" x14ac:dyDescent="0.3">
      <c r="A969">
        <v>4894909.4727922538</v>
      </c>
    </row>
    <row r="970" spans="1:1" x14ac:dyDescent="0.3">
      <c r="A970">
        <v>8149429.8637995012</v>
      </c>
    </row>
    <row r="971" spans="1:1" x14ac:dyDescent="0.3">
      <c r="A971">
        <v>10486129.623301683</v>
      </c>
    </row>
    <row r="972" spans="1:1" x14ac:dyDescent="0.3">
      <c r="A972">
        <v>2611374.1265116315</v>
      </c>
    </row>
    <row r="973" spans="1:1" x14ac:dyDescent="0.3">
      <c r="A973">
        <v>342303.53981437907</v>
      </c>
    </row>
    <row r="974" spans="1:1" x14ac:dyDescent="0.3">
      <c r="A974">
        <v>10273006.163734436</v>
      </c>
    </row>
    <row r="975" spans="1:1" x14ac:dyDescent="0.3">
      <c r="A975">
        <v>727299.00493565644</v>
      </c>
    </row>
    <row r="976" spans="1:1" x14ac:dyDescent="0.3">
      <c r="A976">
        <v>773797.93286043231</v>
      </c>
    </row>
    <row r="977" spans="1:1" x14ac:dyDescent="0.3">
      <c r="A977">
        <v>9488086.334636949</v>
      </c>
    </row>
    <row r="978" spans="1:1" x14ac:dyDescent="0.3">
      <c r="A978">
        <v>3772371.4126441134</v>
      </c>
    </row>
    <row r="979" spans="1:1" x14ac:dyDescent="0.3">
      <c r="A979">
        <v>2046865.2422725726</v>
      </c>
    </row>
    <row r="980" spans="1:1" x14ac:dyDescent="0.3">
      <c r="A980">
        <v>5487013.4209850244</v>
      </c>
    </row>
    <row r="981" spans="1:1" x14ac:dyDescent="0.3">
      <c r="A981">
        <v>8516293.5756439492</v>
      </c>
    </row>
    <row r="982" spans="1:1" x14ac:dyDescent="0.3">
      <c r="A982">
        <v>7996835.8512608772</v>
      </c>
    </row>
    <row r="983" spans="1:1" x14ac:dyDescent="0.3">
      <c r="A983">
        <v>7535753.0830578282</v>
      </c>
    </row>
    <row r="984" spans="1:1" x14ac:dyDescent="0.3">
      <c r="A984">
        <v>3076247.1253043413</v>
      </c>
    </row>
    <row r="985" spans="1:1" x14ac:dyDescent="0.3">
      <c r="A985">
        <v>7442386.8330486249</v>
      </c>
    </row>
    <row r="986" spans="1:1" x14ac:dyDescent="0.3">
      <c r="A986">
        <v>3461979.8458025688</v>
      </c>
    </row>
    <row r="987" spans="1:1" x14ac:dyDescent="0.3">
      <c r="A987">
        <v>5985074.0337225506</v>
      </c>
    </row>
    <row r="988" spans="1:1" x14ac:dyDescent="0.3">
      <c r="A988">
        <v>1307630.2125448238</v>
      </c>
    </row>
    <row r="989" spans="1:1" x14ac:dyDescent="0.3">
      <c r="A989">
        <v>11002189.248411942</v>
      </c>
    </row>
    <row r="990" spans="1:1" x14ac:dyDescent="0.3">
      <c r="A990">
        <v>5869595.5526451534</v>
      </c>
    </row>
    <row r="991" spans="1:1" x14ac:dyDescent="0.3">
      <c r="A991">
        <v>12008673.713603185</v>
      </c>
    </row>
    <row r="992" spans="1:1" x14ac:dyDescent="0.3">
      <c r="A992">
        <v>4523357.8925476121</v>
      </c>
    </row>
    <row r="993" spans="1:1" x14ac:dyDescent="0.3">
      <c r="A993">
        <v>9625112.786596613</v>
      </c>
    </row>
    <row r="994" spans="1:1" x14ac:dyDescent="0.3">
      <c r="A994">
        <v>2457275.9958251775</v>
      </c>
    </row>
    <row r="995" spans="1:1" x14ac:dyDescent="0.3">
      <c r="A995">
        <v>4451370.5469269892</v>
      </c>
    </row>
    <row r="996" spans="1:1" x14ac:dyDescent="0.3">
      <c r="A996">
        <v>8274415.4499992076</v>
      </c>
    </row>
    <row r="997" spans="1:1" x14ac:dyDescent="0.3">
      <c r="A997">
        <v>2243274.0136272367</v>
      </c>
    </row>
    <row r="998" spans="1:1" x14ac:dyDescent="0.3">
      <c r="A998">
        <v>8196046.8608528432</v>
      </c>
    </row>
    <row r="999" spans="1:1" x14ac:dyDescent="0.3">
      <c r="A999">
        <v>19903285.151697505</v>
      </c>
    </row>
    <row r="1000" spans="1:1" x14ac:dyDescent="0.3">
      <c r="A1000">
        <v>11207969.276169561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F340B-4566-46BF-A4A5-EB99A73BAD5C}">
  <sheetPr codeName="Sheet7"/>
  <dimension ref="A1:H52"/>
  <sheetViews>
    <sheetView topLeftCell="A4" workbookViewId="0">
      <selection activeCell="M29" sqref="M29"/>
    </sheetView>
  </sheetViews>
  <sheetFormatPr defaultRowHeight="14.4" x14ac:dyDescent="0.3"/>
  <cols>
    <col min="2" max="2" width="13.6640625" bestFit="1" customWidth="1"/>
    <col min="6" max="6" width="9.6640625" bestFit="1" customWidth="1"/>
    <col min="7" max="7" width="0" hidden="1" customWidth="1"/>
    <col min="8" max="8" width="8.88671875" style="56"/>
  </cols>
  <sheetData>
    <row r="1" spans="1:8" x14ac:dyDescent="0.3">
      <c r="A1" t="s">
        <v>70</v>
      </c>
      <c r="B1">
        <v>50</v>
      </c>
      <c r="E1" t="s">
        <v>70</v>
      </c>
      <c r="F1" t="s">
        <v>59</v>
      </c>
      <c r="G1" t="s">
        <v>71</v>
      </c>
      <c r="H1" s="56" t="s">
        <v>72</v>
      </c>
    </row>
    <row r="2" spans="1:8" x14ac:dyDescent="0.3">
      <c r="A2" t="s">
        <v>63</v>
      </c>
      <c r="B2" s="37">
        <f>MIN(Data)</f>
        <v>-1047648.6620161351</v>
      </c>
      <c r="E2">
        <v>1</v>
      </c>
      <c r="F2">
        <f>B7</f>
        <v>-10000000</v>
      </c>
      <c r="G2">
        <f t="shared" ref="G2:G33" si="0">COUNTIFS(Data,"&gt;"&amp;F2,Data,"&lt;="&amp;F3)</f>
        <v>0</v>
      </c>
      <c r="H2" s="56">
        <f>G2/MC_SIM!$C$10</f>
        <v>0</v>
      </c>
    </row>
    <row r="3" spans="1:8" x14ac:dyDescent="0.3">
      <c r="A3" t="s">
        <v>64</v>
      </c>
      <c r="B3" s="37">
        <f>MAX(Data)</f>
        <v>23596717.261503614</v>
      </c>
      <c r="E3">
        <v>2</v>
      </c>
      <c r="F3">
        <f>F2+$B$9/$B$1</f>
        <v>-9200000</v>
      </c>
      <c r="G3">
        <f t="shared" si="0"/>
        <v>0</v>
      </c>
      <c r="H3" s="56">
        <f>G3/MC_SIM!$C$10</f>
        <v>0</v>
      </c>
    </row>
    <row r="4" spans="1:8" x14ac:dyDescent="0.3">
      <c r="A4" t="s">
        <v>65</v>
      </c>
      <c r="B4" s="37">
        <f>B3-B2</f>
        <v>24644365.923519749</v>
      </c>
      <c r="E4">
        <v>3</v>
      </c>
      <c r="F4">
        <f t="shared" ref="F4:F52" si="1">F3+$B$9/$B$1</f>
        <v>-8400000</v>
      </c>
      <c r="G4">
        <f t="shared" si="0"/>
        <v>0</v>
      </c>
      <c r="H4" s="56">
        <f>G4/MC_SIM!$C$10</f>
        <v>0</v>
      </c>
    </row>
    <row r="5" spans="1:8" x14ac:dyDescent="0.3">
      <c r="A5" t="s">
        <v>66</v>
      </c>
      <c r="B5" s="37">
        <f>ROUND(B4,0)</f>
        <v>24644366</v>
      </c>
      <c r="E5">
        <v>4</v>
      </c>
      <c r="F5">
        <f t="shared" si="1"/>
        <v>-7600000</v>
      </c>
      <c r="G5">
        <f t="shared" si="0"/>
        <v>0</v>
      </c>
      <c r="H5" s="56">
        <f>G5/MC_SIM!$C$10</f>
        <v>0</v>
      </c>
    </row>
    <row r="6" spans="1:8" x14ac:dyDescent="0.3">
      <c r="B6" s="37">
        <f>10^(LEN(B5)-1)</f>
        <v>10000000</v>
      </c>
      <c r="E6">
        <v>5</v>
      </c>
      <c r="F6">
        <f t="shared" si="1"/>
        <v>-6800000</v>
      </c>
      <c r="G6">
        <f t="shared" si="0"/>
        <v>0</v>
      </c>
      <c r="H6" s="56">
        <f>G6/MC_SIM!$C$10</f>
        <v>0</v>
      </c>
    </row>
    <row r="7" spans="1:8" x14ac:dyDescent="0.3">
      <c r="A7" t="s">
        <v>67</v>
      </c>
      <c r="B7">
        <f>IF(B2&lt;0,ROUNDUP(B2/$B$6,0)*$B$6,ROUNDDOWN(B2/$B$6,0)*$B$6)</f>
        <v>-10000000</v>
      </c>
      <c r="E7">
        <v>6</v>
      </c>
      <c r="F7">
        <f t="shared" si="1"/>
        <v>-6000000</v>
      </c>
      <c r="G7">
        <f t="shared" si="0"/>
        <v>0</v>
      </c>
      <c r="H7" s="56">
        <f>G7/MC_SIM!$C$10</f>
        <v>0</v>
      </c>
    </row>
    <row r="8" spans="1:8" x14ac:dyDescent="0.3">
      <c r="A8" t="s">
        <v>68</v>
      </c>
      <c r="B8">
        <f>IF(B3&lt;0,ROUNDDOWN(B3/$B$6,0)*$B$6,ROUNDUP(B3/$B$6,0)*$B$6)</f>
        <v>30000000</v>
      </c>
      <c r="E8">
        <v>7</v>
      </c>
      <c r="F8">
        <f t="shared" si="1"/>
        <v>-5200000</v>
      </c>
      <c r="G8">
        <f t="shared" si="0"/>
        <v>0</v>
      </c>
      <c r="H8" s="56">
        <f>G8/MC_SIM!$C$10</f>
        <v>0</v>
      </c>
    </row>
    <row r="9" spans="1:8" x14ac:dyDescent="0.3">
      <c r="A9" t="s">
        <v>69</v>
      </c>
      <c r="B9">
        <f>B8-B7</f>
        <v>40000000</v>
      </c>
      <c r="E9">
        <v>8</v>
      </c>
      <c r="F9">
        <f t="shared" si="1"/>
        <v>-4400000</v>
      </c>
      <c r="G9">
        <f t="shared" si="0"/>
        <v>0</v>
      </c>
      <c r="H9" s="56">
        <f>G9/MC_SIM!$C$10</f>
        <v>0</v>
      </c>
    </row>
    <row r="10" spans="1:8" x14ac:dyDescent="0.3">
      <c r="E10">
        <v>9</v>
      </c>
      <c r="F10">
        <f t="shared" si="1"/>
        <v>-3600000</v>
      </c>
      <c r="G10">
        <f t="shared" si="0"/>
        <v>0</v>
      </c>
      <c r="H10" s="56">
        <f>G10/MC_SIM!$C$10</f>
        <v>0</v>
      </c>
    </row>
    <row r="11" spans="1:8" x14ac:dyDescent="0.3">
      <c r="E11">
        <v>10</v>
      </c>
      <c r="F11">
        <f t="shared" si="1"/>
        <v>-2800000</v>
      </c>
      <c r="G11">
        <f t="shared" si="0"/>
        <v>0</v>
      </c>
      <c r="H11" s="56">
        <f>G11/MC_SIM!$C$10</f>
        <v>0</v>
      </c>
    </row>
    <row r="12" spans="1:8" x14ac:dyDescent="0.3">
      <c r="E12">
        <v>11</v>
      </c>
      <c r="F12">
        <f t="shared" si="1"/>
        <v>-2000000</v>
      </c>
      <c r="G12">
        <f t="shared" si="0"/>
        <v>0</v>
      </c>
      <c r="H12" s="56">
        <f>G12/MC_SIM!$C$10</f>
        <v>0</v>
      </c>
    </row>
    <row r="13" spans="1:8" x14ac:dyDescent="0.3">
      <c r="E13">
        <v>12</v>
      </c>
      <c r="F13">
        <f t="shared" si="1"/>
        <v>-1200000</v>
      </c>
      <c r="G13">
        <f t="shared" si="0"/>
        <v>9</v>
      </c>
      <c r="H13" s="56">
        <f>G13/MC_SIM!$C$10</f>
        <v>8.9999999999999993E-3</v>
      </c>
    </row>
    <row r="14" spans="1:8" x14ac:dyDescent="0.3">
      <c r="E14">
        <v>13</v>
      </c>
      <c r="F14">
        <f t="shared" si="1"/>
        <v>-400000</v>
      </c>
      <c r="G14">
        <f t="shared" si="0"/>
        <v>25</v>
      </c>
      <c r="H14" s="56">
        <f>G14/MC_SIM!$C$10</f>
        <v>2.5000000000000001E-2</v>
      </c>
    </row>
    <row r="15" spans="1:8" x14ac:dyDescent="0.3">
      <c r="E15">
        <v>14</v>
      </c>
      <c r="F15">
        <f t="shared" si="1"/>
        <v>400000</v>
      </c>
      <c r="G15">
        <f t="shared" si="0"/>
        <v>42</v>
      </c>
      <c r="H15" s="56">
        <f>G15/MC_SIM!$C$10</f>
        <v>4.2000000000000003E-2</v>
      </c>
    </row>
    <row r="16" spans="1:8" x14ac:dyDescent="0.3">
      <c r="E16">
        <v>15</v>
      </c>
      <c r="F16">
        <f t="shared" si="1"/>
        <v>1200000</v>
      </c>
      <c r="G16">
        <f t="shared" si="0"/>
        <v>64</v>
      </c>
      <c r="H16" s="56">
        <f>G16/MC_SIM!$C$10</f>
        <v>6.4000000000000001E-2</v>
      </c>
    </row>
    <row r="17" spans="5:8" x14ac:dyDescent="0.3">
      <c r="E17">
        <v>16</v>
      </c>
      <c r="F17">
        <f t="shared" si="1"/>
        <v>2000000</v>
      </c>
      <c r="G17">
        <f t="shared" si="0"/>
        <v>63</v>
      </c>
      <c r="H17" s="56">
        <f>G17/MC_SIM!$C$10</f>
        <v>6.3E-2</v>
      </c>
    </row>
    <row r="18" spans="5:8" x14ac:dyDescent="0.3">
      <c r="E18">
        <v>17</v>
      </c>
      <c r="F18">
        <f t="shared" si="1"/>
        <v>2800000</v>
      </c>
      <c r="G18">
        <f t="shared" si="0"/>
        <v>82</v>
      </c>
      <c r="H18" s="56">
        <f>G18/MC_SIM!$C$10</f>
        <v>8.2000000000000003E-2</v>
      </c>
    </row>
    <row r="19" spans="5:8" x14ac:dyDescent="0.3">
      <c r="E19">
        <v>18</v>
      </c>
      <c r="F19">
        <f t="shared" si="1"/>
        <v>3600000</v>
      </c>
      <c r="G19">
        <f t="shared" si="0"/>
        <v>64</v>
      </c>
      <c r="H19" s="56">
        <f>G19/MC_SIM!$C$10</f>
        <v>6.4000000000000001E-2</v>
      </c>
    </row>
    <row r="20" spans="5:8" x14ac:dyDescent="0.3">
      <c r="E20">
        <v>19</v>
      </c>
      <c r="F20">
        <f t="shared" si="1"/>
        <v>4400000</v>
      </c>
      <c r="G20">
        <f t="shared" si="0"/>
        <v>85</v>
      </c>
      <c r="H20" s="56">
        <f>G20/MC_SIM!$C$10</f>
        <v>8.5000000000000006E-2</v>
      </c>
    </row>
    <row r="21" spans="5:8" x14ac:dyDescent="0.3">
      <c r="E21">
        <v>20</v>
      </c>
      <c r="F21">
        <f t="shared" si="1"/>
        <v>5200000</v>
      </c>
      <c r="G21">
        <f t="shared" si="0"/>
        <v>65</v>
      </c>
      <c r="H21" s="56">
        <f>G21/MC_SIM!$C$10</f>
        <v>6.5000000000000002E-2</v>
      </c>
    </row>
    <row r="22" spans="5:8" x14ac:dyDescent="0.3">
      <c r="E22">
        <v>21</v>
      </c>
      <c r="F22">
        <f t="shared" si="1"/>
        <v>6000000</v>
      </c>
      <c r="G22">
        <f t="shared" si="0"/>
        <v>77</v>
      </c>
      <c r="H22" s="56">
        <f>G22/MC_SIM!$C$10</f>
        <v>7.6999999999999999E-2</v>
      </c>
    </row>
    <row r="23" spans="5:8" x14ac:dyDescent="0.3">
      <c r="E23">
        <v>22</v>
      </c>
      <c r="F23">
        <f t="shared" si="1"/>
        <v>6800000</v>
      </c>
      <c r="G23">
        <f t="shared" si="0"/>
        <v>64</v>
      </c>
      <c r="H23" s="56">
        <f>G23/MC_SIM!$C$10</f>
        <v>6.4000000000000001E-2</v>
      </c>
    </row>
    <row r="24" spans="5:8" x14ac:dyDescent="0.3">
      <c r="E24">
        <v>23</v>
      </c>
      <c r="F24">
        <f t="shared" si="1"/>
        <v>7600000</v>
      </c>
      <c r="G24">
        <f t="shared" si="0"/>
        <v>71</v>
      </c>
      <c r="H24" s="56">
        <f>G24/MC_SIM!$C$10</f>
        <v>7.0999999999999994E-2</v>
      </c>
    </row>
    <row r="25" spans="5:8" x14ac:dyDescent="0.3">
      <c r="E25">
        <v>24</v>
      </c>
      <c r="F25">
        <f t="shared" si="1"/>
        <v>8400000</v>
      </c>
      <c r="G25">
        <f t="shared" si="0"/>
        <v>51</v>
      </c>
      <c r="H25" s="56">
        <f>G25/MC_SIM!$C$10</f>
        <v>5.0999999999999997E-2</v>
      </c>
    </row>
    <row r="26" spans="5:8" x14ac:dyDescent="0.3">
      <c r="E26">
        <v>25</v>
      </c>
      <c r="F26">
        <f t="shared" si="1"/>
        <v>9200000</v>
      </c>
      <c r="G26">
        <f t="shared" si="0"/>
        <v>37</v>
      </c>
      <c r="H26" s="56">
        <f>G26/MC_SIM!$C$10</f>
        <v>3.6999999999999998E-2</v>
      </c>
    </row>
    <row r="27" spans="5:8" x14ac:dyDescent="0.3">
      <c r="E27">
        <v>26</v>
      </c>
      <c r="F27">
        <f t="shared" si="1"/>
        <v>10000000</v>
      </c>
      <c r="G27">
        <f t="shared" si="0"/>
        <v>27</v>
      </c>
      <c r="H27" s="56">
        <f>G27/MC_SIM!$C$10</f>
        <v>2.7E-2</v>
      </c>
    </row>
    <row r="28" spans="5:8" x14ac:dyDescent="0.3">
      <c r="E28">
        <v>27</v>
      </c>
      <c r="F28">
        <f t="shared" si="1"/>
        <v>10800000</v>
      </c>
      <c r="G28">
        <f t="shared" si="0"/>
        <v>29</v>
      </c>
      <c r="H28" s="56">
        <f>G28/MC_SIM!$C$10</f>
        <v>2.9000000000000001E-2</v>
      </c>
    </row>
    <row r="29" spans="5:8" x14ac:dyDescent="0.3">
      <c r="E29">
        <v>28</v>
      </c>
      <c r="F29">
        <f t="shared" si="1"/>
        <v>11600000</v>
      </c>
      <c r="G29">
        <f t="shared" si="0"/>
        <v>27</v>
      </c>
      <c r="H29" s="56">
        <f>G29/MC_SIM!$C$10</f>
        <v>2.7E-2</v>
      </c>
    </row>
    <row r="30" spans="5:8" x14ac:dyDescent="0.3">
      <c r="E30">
        <v>29</v>
      </c>
      <c r="F30">
        <f t="shared" si="1"/>
        <v>12400000</v>
      </c>
      <c r="G30">
        <f t="shared" si="0"/>
        <v>33</v>
      </c>
      <c r="H30" s="56">
        <f>G30/MC_SIM!$C$10</f>
        <v>3.3000000000000002E-2</v>
      </c>
    </row>
    <row r="31" spans="5:8" x14ac:dyDescent="0.3">
      <c r="E31">
        <v>30</v>
      </c>
      <c r="F31">
        <f t="shared" si="1"/>
        <v>13200000</v>
      </c>
      <c r="G31">
        <f t="shared" si="0"/>
        <v>21</v>
      </c>
      <c r="H31" s="56">
        <f>G31/MC_SIM!$C$10</f>
        <v>2.1000000000000001E-2</v>
      </c>
    </row>
    <row r="32" spans="5:8" x14ac:dyDescent="0.3">
      <c r="E32">
        <v>31</v>
      </c>
      <c r="F32">
        <f t="shared" si="1"/>
        <v>14000000</v>
      </c>
      <c r="G32">
        <f t="shared" si="0"/>
        <v>15</v>
      </c>
      <c r="H32" s="56">
        <f>G32/MC_SIM!$C$10</f>
        <v>1.4999999999999999E-2</v>
      </c>
    </row>
    <row r="33" spans="5:8" x14ac:dyDescent="0.3">
      <c r="E33">
        <v>32</v>
      </c>
      <c r="F33">
        <f t="shared" si="1"/>
        <v>14800000</v>
      </c>
      <c r="G33">
        <f t="shared" si="0"/>
        <v>14</v>
      </c>
      <c r="H33" s="56">
        <f>G33/MC_SIM!$C$10</f>
        <v>1.4E-2</v>
      </c>
    </row>
    <row r="34" spans="5:8" x14ac:dyDescent="0.3">
      <c r="E34">
        <v>33</v>
      </c>
      <c r="F34">
        <f t="shared" si="1"/>
        <v>15600000</v>
      </c>
      <c r="G34">
        <f t="shared" ref="G34:G52" si="2">COUNTIFS(Data,"&gt;"&amp;F34,Data,"&lt;="&amp;F35)</f>
        <v>6</v>
      </c>
      <c r="H34" s="56">
        <f>G34/MC_SIM!$C$10</f>
        <v>6.0000000000000001E-3</v>
      </c>
    </row>
    <row r="35" spans="5:8" x14ac:dyDescent="0.3">
      <c r="E35">
        <v>34</v>
      </c>
      <c r="F35">
        <f t="shared" si="1"/>
        <v>16400000</v>
      </c>
      <c r="G35">
        <f t="shared" si="2"/>
        <v>7</v>
      </c>
      <c r="H35" s="56">
        <f>G35/MC_SIM!$C$10</f>
        <v>7.0000000000000001E-3</v>
      </c>
    </row>
    <row r="36" spans="5:8" x14ac:dyDescent="0.3">
      <c r="E36">
        <v>35</v>
      </c>
      <c r="F36">
        <f t="shared" si="1"/>
        <v>17200000</v>
      </c>
      <c r="G36">
        <f t="shared" si="2"/>
        <v>7</v>
      </c>
      <c r="H36" s="56">
        <f>G36/MC_SIM!$C$10</f>
        <v>7.0000000000000001E-3</v>
      </c>
    </row>
    <row r="37" spans="5:8" x14ac:dyDescent="0.3">
      <c r="E37">
        <v>36</v>
      </c>
      <c r="F37">
        <f t="shared" si="1"/>
        <v>18000000</v>
      </c>
      <c r="G37">
        <f t="shared" si="2"/>
        <v>4</v>
      </c>
      <c r="H37" s="56">
        <f>G37/MC_SIM!$C$10</f>
        <v>4.0000000000000001E-3</v>
      </c>
    </row>
    <row r="38" spans="5:8" x14ac:dyDescent="0.3">
      <c r="E38">
        <v>37</v>
      </c>
      <c r="F38">
        <f t="shared" si="1"/>
        <v>18800000</v>
      </c>
      <c r="G38">
        <f t="shared" si="2"/>
        <v>3</v>
      </c>
      <c r="H38" s="56">
        <f>G38/MC_SIM!$C$10</f>
        <v>3.0000000000000001E-3</v>
      </c>
    </row>
    <row r="39" spans="5:8" x14ac:dyDescent="0.3">
      <c r="E39">
        <v>38</v>
      </c>
      <c r="F39">
        <f t="shared" si="1"/>
        <v>19600000</v>
      </c>
      <c r="G39">
        <f t="shared" si="2"/>
        <v>4</v>
      </c>
      <c r="H39" s="56">
        <f>G39/MC_SIM!$C$10</f>
        <v>4.0000000000000001E-3</v>
      </c>
    </row>
    <row r="40" spans="5:8" x14ac:dyDescent="0.3">
      <c r="E40">
        <v>39</v>
      </c>
      <c r="F40">
        <f t="shared" si="1"/>
        <v>20400000</v>
      </c>
      <c r="G40">
        <f t="shared" si="2"/>
        <v>2</v>
      </c>
      <c r="H40" s="56">
        <f>G40/MC_SIM!$C$10</f>
        <v>2E-3</v>
      </c>
    </row>
    <row r="41" spans="5:8" x14ac:dyDescent="0.3">
      <c r="E41">
        <v>40</v>
      </c>
      <c r="F41">
        <f t="shared" si="1"/>
        <v>21200000</v>
      </c>
      <c r="G41">
        <f t="shared" si="2"/>
        <v>1</v>
      </c>
      <c r="H41" s="56">
        <f>G41/MC_SIM!$C$10</f>
        <v>1E-3</v>
      </c>
    </row>
    <row r="42" spans="5:8" x14ac:dyDescent="0.3">
      <c r="E42">
        <v>41</v>
      </c>
      <c r="F42">
        <f t="shared" si="1"/>
        <v>22000000</v>
      </c>
      <c r="G42">
        <f t="shared" si="2"/>
        <v>0</v>
      </c>
      <c r="H42" s="56">
        <f>G42/MC_SIM!$C$10</f>
        <v>0</v>
      </c>
    </row>
    <row r="43" spans="5:8" x14ac:dyDescent="0.3">
      <c r="E43">
        <v>42</v>
      </c>
      <c r="F43">
        <f t="shared" si="1"/>
        <v>22800000</v>
      </c>
      <c r="G43">
        <f t="shared" si="2"/>
        <v>1</v>
      </c>
      <c r="H43" s="56">
        <f>G43/MC_SIM!$C$10</f>
        <v>1E-3</v>
      </c>
    </row>
    <row r="44" spans="5:8" x14ac:dyDescent="0.3">
      <c r="E44">
        <v>43</v>
      </c>
      <c r="F44">
        <f t="shared" si="1"/>
        <v>23600000</v>
      </c>
      <c r="G44">
        <f t="shared" si="2"/>
        <v>0</v>
      </c>
      <c r="H44" s="56">
        <f>G44/MC_SIM!$C$10</f>
        <v>0</v>
      </c>
    </row>
    <row r="45" spans="5:8" x14ac:dyDescent="0.3">
      <c r="E45">
        <v>44</v>
      </c>
      <c r="F45">
        <f t="shared" si="1"/>
        <v>24400000</v>
      </c>
      <c r="G45">
        <f t="shared" si="2"/>
        <v>0</v>
      </c>
      <c r="H45" s="56">
        <f>G45/MC_SIM!$C$10</f>
        <v>0</v>
      </c>
    </row>
    <row r="46" spans="5:8" x14ac:dyDescent="0.3">
      <c r="E46">
        <v>45</v>
      </c>
      <c r="F46">
        <f t="shared" si="1"/>
        <v>25200000</v>
      </c>
      <c r="G46">
        <f t="shared" si="2"/>
        <v>0</v>
      </c>
      <c r="H46" s="56">
        <f>G46/MC_SIM!$C$10</f>
        <v>0</v>
      </c>
    </row>
    <row r="47" spans="5:8" x14ac:dyDescent="0.3">
      <c r="E47">
        <v>46</v>
      </c>
      <c r="F47">
        <f t="shared" si="1"/>
        <v>26000000</v>
      </c>
      <c r="G47">
        <f t="shared" si="2"/>
        <v>0</v>
      </c>
      <c r="H47" s="56">
        <f>G47/MC_SIM!$C$10</f>
        <v>0</v>
      </c>
    </row>
    <row r="48" spans="5:8" x14ac:dyDescent="0.3">
      <c r="E48">
        <v>47</v>
      </c>
      <c r="F48">
        <f t="shared" si="1"/>
        <v>26800000</v>
      </c>
      <c r="G48">
        <f t="shared" si="2"/>
        <v>0</v>
      </c>
      <c r="H48" s="56">
        <f>G48/MC_SIM!$C$10</f>
        <v>0</v>
      </c>
    </row>
    <row r="49" spans="5:8" x14ac:dyDescent="0.3">
      <c r="E49">
        <v>48</v>
      </c>
      <c r="F49">
        <f t="shared" si="1"/>
        <v>27600000</v>
      </c>
      <c r="G49">
        <f t="shared" si="2"/>
        <v>0</v>
      </c>
      <c r="H49" s="56">
        <f>G49/MC_SIM!$C$10</f>
        <v>0</v>
      </c>
    </row>
    <row r="50" spans="5:8" x14ac:dyDescent="0.3">
      <c r="E50">
        <v>49</v>
      </c>
      <c r="F50">
        <f t="shared" si="1"/>
        <v>28400000</v>
      </c>
      <c r="G50">
        <f t="shared" si="2"/>
        <v>0</v>
      </c>
      <c r="H50" s="56">
        <f>G50/MC_SIM!$C$10</f>
        <v>0</v>
      </c>
    </row>
    <row r="51" spans="5:8" x14ac:dyDescent="0.3">
      <c r="E51">
        <v>50</v>
      </c>
      <c r="F51">
        <f t="shared" si="1"/>
        <v>29200000</v>
      </c>
      <c r="G51">
        <f t="shared" si="2"/>
        <v>0</v>
      </c>
      <c r="H51" s="56">
        <f>G51/MC_SIM!$C$10</f>
        <v>0</v>
      </c>
    </row>
    <row r="52" spans="5:8" x14ac:dyDescent="0.3">
      <c r="E52">
        <v>51</v>
      </c>
      <c r="F52">
        <f t="shared" si="1"/>
        <v>30000000</v>
      </c>
      <c r="G52">
        <f t="shared" si="2"/>
        <v>0</v>
      </c>
      <c r="H52" s="56">
        <f>G52/MC_SIM!$C$10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Calculations</vt:lpstr>
      <vt:lpstr>MC_SIM</vt:lpstr>
      <vt:lpstr>sensitivity</vt:lpstr>
      <vt:lpstr>Scenario Summary</vt:lpstr>
      <vt:lpstr>Report</vt:lpstr>
      <vt:lpstr>ANSWERS</vt:lpstr>
      <vt:lpstr>MC_DATA</vt:lpstr>
      <vt:lpstr>Simulation</vt:lpstr>
      <vt:lpstr>MC_HI</vt:lpstr>
      <vt:lpstr>Cost_Price</vt:lpstr>
      <vt:lpstr>Data</vt:lpstr>
      <vt:lpstr>Estimated_Sales</vt:lpstr>
      <vt:lpstr>Inflation_Rate</vt:lpstr>
      <vt:lpstr>Selling_Price</vt:lpstr>
      <vt:lpstr>Tax_Rate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Prashant Shrestha</dc:creator>
  <cp:lastModifiedBy>Prashant Shrestha</cp:lastModifiedBy>
  <cp:lastPrinted>2021-08-15T17:54:30Z</cp:lastPrinted>
  <dcterms:created xsi:type="dcterms:W3CDTF">2015-06-05T18:17:20Z</dcterms:created>
  <dcterms:modified xsi:type="dcterms:W3CDTF">2021-10-15T08:01:01Z</dcterms:modified>
</cp:coreProperties>
</file>